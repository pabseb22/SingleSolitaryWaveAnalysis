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josetorresconstante/Desktop/"/>
    </mc:Choice>
  </mc:AlternateContent>
  <xr:revisionPtr revIDLastSave="0" documentId="13_ncr:1_{79A22B75-B0C3-384D-B8FD-7257E7B24BF3}" xr6:coauthVersionLast="47" xr6:coauthVersionMax="47" xr10:uidLastSave="{00000000-0000-0000-0000-000000000000}"/>
  <bookViews>
    <workbookView xWindow="780" yWindow="1000" windowWidth="27640" windowHeight="15240" xr2:uid="{C702EB33-CE73-4447-BD08-349C10DA05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N5" i="1"/>
  <c r="M5" i="1"/>
  <c r="H5" i="1"/>
  <c r="N13" i="1"/>
  <c r="P13" i="1" s="1"/>
  <c r="K13" i="1"/>
  <c r="M13" i="1" s="1"/>
  <c r="O13" i="1" s="1"/>
  <c r="N12" i="1"/>
  <c r="P12" i="1" s="1"/>
  <c r="K12" i="1"/>
  <c r="M12" i="1" s="1"/>
  <c r="O12" i="1" s="1"/>
  <c r="N11" i="1"/>
  <c r="P11" i="1" s="1"/>
  <c r="K11" i="1"/>
  <c r="M11" i="1" s="1"/>
  <c r="O11" i="1" s="1"/>
  <c r="Q11" i="1" s="1"/>
  <c r="R11" i="1" s="1"/>
  <c r="N10" i="1"/>
  <c r="P10" i="1" s="1"/>
  <c r="K10" i="1"/>
  <c r="M10" i="1" s="1"/>
  <c r="O10" i="1" s="1"/>
  <c r="K9" i="1"/>
  <c r="M9" i="1" s="1"/>
  <c r="O9" i="1" s="1"/>
  <c r="N9" i="1"/>
  <c r="P9" i="1" s="1"/>
  <c r="P5" i="1"/>
  <c r="K5" i="1"/>
  <c r="Q10" i="1" l="1"/>
  <c r="R10" i="1" s="1"/>
  <c r="Q13" i="1"/>
  <c r="R13" i="1" s="1"/>
  <c r="Q12" i="1"/>
  <c r="R12" i="1" s="1"/>
  <c r="Q9" i="1"/>
  <c r="R9" i="1" s="1"/>
  <c r="R14" i="1" s="1"/>
  <c r="R16" i="1" s="1"/>
  <c r="O5" i="1"/>
  <c r="Q6" i="1" s="1"/>
  <c r="R6" i="1" s="1"/>
  <c r="R5" i="1" l="1"/>
</calcChain>
</file>

<file path=xl/sharedStrings.xml><?xml version="1.0" encoding="utf-8"?>
<sst xmlns="http://schemas.openxmlformats.org/spreadsheetml/2006/main" count="34" uniqueCount="26">
  <si>
    <t>#</t>
  </si>
  <si>
    <t>Descripción</t>
  </si>
  <si>
    <t>AE</t>
  </si>
  <si>
    <t>TV1</t>
  </si>
  <si>
    <t>TV2</t>
  </si>
  <si>
    <t>TV3</t>
  </si>
  <si>
    <t>TV prom</t>
  </si>
  <si>
    <t xml:space="preserve">Altura </t>
  </si>
  <si>
    <t>Masa</t>
  </si>
  <si>
    <t>Volumen</t>
  </si>
  <si>
    <t>nu</t>
  </si>
  <si>
    <t>densidad</t>
  </si>
  <si>
    <t>Vp</t>
  </si>
  <si>
    <t>E</t>
  </si>
  <si>
    <t>(us)</t>
  </si>
  <si>
    <t>(cm)</t>
  </si>
  <si>
    <t>(gramos)</t>
  </si>
  <si>
    <t>(cm3)</t>
  </si>
  <si>
    <t>g/cm3</t>
  </si>
  <si>
    <t>(cm/us)</t>
  </si>
  <si>
    <t>(kg/m3)</t>
  </si>
  <si>
    <t>(m/s)</t>
  </si>
  <si>
    <t>Pa</t>
  </si>
  <si>
    <t xml:space="preserve">Suelo </t>
  </si>
  <si>
    <t>Mpa</t>
  </si>
  <si>
    <t xml:space="preserve">Modulo de corte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</si>
</sst>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5" xfId="0" applyBorder="1"/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0" fillId="4" borderId="6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164" fontId="0" fillId="4" borderId="3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6" borderId="1" xfId="0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96D50-2AAA-194D-B34C-593DC6EBF5C2}">
  <dimension ref="B3:V16"/>
  <sheetViews>
    <sheetView tabSelected="1" workbookViewId="0">
      <selection activeCell="Q6" sqref="Q6"/>
    </sheetView>
  </sheetViews>
  <sheetFormatPr baseColWidth="10" defaultRowHeight="16" x14ac:dyDescent="0.2"/>
  <cols>
    <col min="1" max="6" width="10.83203125" style="1"/>
    <col min="7" max="16" width="11" style="1" bestFit="1" customWidth="1"/>
    <col min="17" max="17" width="15.33203125" style="1" bestFit="1" customWidth="1"/>
    <col min="18" max="18" width="15" style="1" bestFit="1" customWidth="1"/>
    <col min="19" max="16384" width="10.83203125" style="1"/>
  </cols>
  <sheetData>
    <row r="3" spans="2:22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3" t="s">
        <v>10</v>
      </c>
      <c r="M3" s="3" t="s">
        <v>11</v>
      </c>
      <c r="N3" s="3" t="s">
        <v>12</v>
      </c>
      <c r="O3" s="3" t="s">
        <v>11</v>
      </c>
      <c r="P3" s="3" t="s">
        <v>12</v>
      </c>
      <c r="Q3" s="13" t="s">
        <v>13</v>
      </c>
      <c r="R3" s="2" t="s">
        <v>13</v>
      </c>
    </row>
    <row r="4" spans="2:22" x14ac:dyDescent="0.2">
      <c r="B4" s="4"/>
      <c r="C4" s="5"/>
      <c r="D4" s="5"/>
      <c r="E4" s="5"/>
      <c r="F4" s="5"/>
      <c r="G4" s="5"/>
      <c r="H4" s="5" t="s">
        <v>14</v>
      </c>
      <c r="I4" s="5" t="s">
        <v>15</v>
      </c>
      <c r="J4" s="5" t="s">
        <v>16</v>
      </c>
      <c r="K4" s="6" t="s">
        <v>17</v>
      </c>
      <c r="L4" s="7"/>
      <c r="M4" s="6" t="s">
        <v>18</v>
      </c>
      <c r="N4" s="6" t="s">
        <v>19</v>
      </c>
      <c r="O4" s="6" t="s">
        <v>20</v>
      </c>
      <c r="P4" s="6" t="s">
        <v>21</v>
      </c>
      <c r="Q4" s="6" t="s">
        <v>22</v>
      </c>
      <c r="R4" s="15" t="s">
        <v>24</v>
      </c>
    </row>
    <row r="5" spans="2:22" x14ac:dyDescent="0.2">
      <c r="B5" s="8">
        <v>1</v>
      </c>
      <c r="C5" s="8" t="s">
        <v>23</v>
      </c>
      <c r="D5" s="8"/>
      <c r="E5" s="8">
        <v>200.9</v>
      </c>
      <c r="F5" s="8">
        <v>227</v>
      </c>
      <c r="G5" s="8">
        <v>170</v>
      </c>
      <c r="H5" s="8">
        <f>AVERAGE(E5:G5)</f>
        <v>199.29999999999998</v>
      </c>
      <c r="I5" s="8">
        <v>10.1</v>
      </c>
      <c r="J5" s="8">
        <v>1627</v>
      </c>
      <c r="K5" s="9">
        <f>((PI()*(10.25)^2)/4)*I5</f>
        <v>833.41053487363843</v>
      </c>
      <c r="L5" s="10">
        <v>0.48</v>
      </c>
      <c r="M5" s="11">
        <f>J5/K5</f>
        <v>1.9522191428101943</v>
      </c>
      <c r="N5" s="11">
        <f>I5/H5</f>
        <v>5.0677370797792276E-2</v>
      </c>
      <c r="O5" s="11">
        <f>M5*1000</f>
        <v>1952.2191428101942</v>
      </c>
      <c r="P5" s="11">
        <f>N5*10000</f>
        <v>506.77370797792275</v>
      </c>
      <c r="Q5" s="14">
        <f>(P5^2)*((O5*(1+L5)*(1-2*(L5)))/(1-L5))</f>
        <v>57078832.349585585</v>
      </c>
      <c r="R5" s="12">
        <f>Q5/1000000</f>
        <v>57.078832349585582</v>
      </c>
    </row>
    <row r="6" spans="2:22" x14ac:dyDescent="0.2">
      <c r="E6" s="1">
        <v>227</v>
      </c>
      <c r="F6" s="1">
        <v>172.77</v>
      </c>
      <c r="G6" s="1">
        <v>173</v>
      </c>
      <c r="Q6" s="16">
        <f>(P5^2)*O5</f>
        <v>501368121.98960268</v>
      </c>
      <c r="R6" s="17">
        <f>Q6/1000000</f>
        <v>501.36812198960268</v>
      </c>
      <c r="U6" s="1">
        <v>163.9</v>
      </c>
      <c r="V6" s="1">
        <v>60</v>
      </c>
    </row>
    <row r="7" spans="2:22" x14ac:dyDescent="0.2">
      <c r="Q7" s="16"/>
      <c r="R7" s="17"/>
    </row>
    <row r="8" spans="2:22" x14ac:dyDescent="0.2">
      <c r="R8" s="20" t="s">
        <v>25</v>
      </c>
    </row>
    <row r="9" spans="2:22" x14ac:dyDescent="0.2">
      <c r="B9" s="8">
        <v>1</v>
      </c>
      <c r="C9" s="8" t="s">
        <v>23</v>
      </c>
      <c r="D9" s="8"/>
      <c r="E9" s="8"/>
      <c r="F9" s="8"/>
      <c r="G9" s="8"/>
      <c r="H9" s="8">
        <v>163.9</v>
      </c>
      <c r="I9" s="8">
        <v>6</v>
      </c>
      <c r="J9" s="8">
        <v>1627</v>
      </c>
      <c r="K9" s="9">
        <f>((PI()*(10.25)^2)/4)*I9</f>
        <v>495.0953672516664</v>
      </c>
      <c r="L9" s="10">
        <v>0.46</v>
      </c>
      <c r="M9" s="12">
        <f>J9/K9</f>
        <v>3.2862355570638271</v>
      </c>
      <c r="N9" s="12">
        <f>I9/H9</f>
        <v>3.6607687614399025E-2</v>
      </c>
      <c r="O9" s="12">
        <f>M9*1000</f>
        <v>3286.2355570638269</v>
      </c>
      <c r="P9" s="12">
        <f>N9*10000</f>
        <v>366.07687614399026</v>
      </c>
      <c r="Q9" s="18">
        <f>(P9^2)*O9</f>
        <v>440395917.14578331</v>
      </c>
      <c r="R9" s="19">
        <f>Q9/1000000</f>
        <v>440.3959171457833</v>
      </c>
    </row>
    <row r="10" spans="2:22" x14ac:dyDescent="0.2">
      <c r="B10" s="8">
        <v>1</v>
      </c>
      <c r="C10" s="8" t="s">
        <v>23</v>
      </c>
      <c r="D10" s="8"/>
      <c r="E10" s="8"/>
      <c r="F10" s="8"/>
      <c r="G10" s="8"/>
      <c r="H10" s="8">
        <v>140</v>
      </c>
      <c r="I10" s="8">
        <v>5.6</v>
      </c>
      <c r="J10" s="8">
        <v>1627</v>
      </c>
      <c r="K10" s="9">
        <f>((PI()*(10.25)^2)/4)*I10</f>
        <v>462.08900943488862</v>
      </c>
      <c r="L10" s="10">
        <v>0.46</v>
      </c>
      <c r="M10" s="12">
        <f>J10/K10</f>
        <v>3.5209666682826719</v>
      </c>
      <c r="N10" s="12">
        <f>I10/H10</f>
        <v>0.04</v>
      </c>
      <c r="O10" s="12">
        <f>M10*1000</f>
        <v>3520.9666682826719</v>
      </c>
      <c r="P10" s="12">
        <f>N10*10000</f>
        <v>400</v>
      </c>
      <c r="Q10" s="18">
        <f>(P10^2)*O10</f>
        <v>563354666.92522752</v>
      </c>
      <c r="R10" s="19">
        <f>Q10/1000000</f>
        <v>563.35466692522755</v>
      </c>
    </row>
    <row r="11" spans="2:22" x14ac:dyDescent="0.2">
      <c r="B11" s="8">
        <v>1</v>
      </c>
      <c r="C11" s="8" t="s">
        <v>23</v>
      </c>
      <c r="D11" s="8"/>
      <c r="E11" s="8"/>
      <c r="F11" s="8"/>
      <c r="G11" s="8"/>
      <c r="H11" s="8">
        <v>120</v>
      </c>
      <c r="I11" s="8">
        <v>5.6</v>
      </c>
      <c r="J11" s="8">
        <v>1627</v>
      </c>
      <c r="K11" s="9">
        <f>((PI()*(10.25)^2)/4)*I11</f>
        <v>462.08900943488862</v>
      </c>
      <c r="L11" s="10">
        <v>0.46</v>
      </c>
      <c r="M11" s="12">
        <f>J11/K11</f>
        <v>3.5209666682826719</v>
      </c>
      <c r="N11" s="12">
        <f>I11/H11</f>
        <v>4.6666666666666662E-2</v>
      </c>
      <c r="O11" s="12">
        <f>M11*1000</f>
        <v>3520.9666682826719</v>
      </c>
      <c r="P11" s="12">
        <f>N11*10000</f>
        <v>466.66666666666663</v>
      </c>
      <c r="Q11" s="18">
        <f>(P11^2)*O11</f>
        <v>766788296.64822626</v>
      </c>
      <c r="R11" s="19">
        <f>Q11/1000000</f>
        <v>766.78829664822626</v>
      </c>
    </row>
    <row r="12" spans="2:22" x14ac:dyDescent="0.2">
      <c r="B12" s="8">
        <v>1</v>
      </c>
      <c r="C12" s="8" t="s">
        <v>23</v>
      </c>
      <c r="D12" s="8"/>
      <c r="E12" s="8"/>
      <c r="F12" s="8"/>
      <c r="G12" s="8"/>
      <c r="H12" s="8">
        <v>108</v>
      </c>
      <c r="I12" s="8">
        <v>5.6</v>
      </c>
      <c r="J12" s="8">
        <v>1627</v>
      </c>
      <c r="K12" s="9">
        <f>((PI()*(10.25)^2)/4)*I12</f>
        <v>462.08900943488862</v>
      </c>
      <c r="L12" s="10">
        <v>0.46</v>
      </c>
      <c r="M12" s="12">
        <f>J12/K12</f>
        <v>3.5209666682826719</v>
      </c>
      <c r="N12" s="12">
        <f>I12/H12</f>
        <v>5.185185185185185E-2</v>
      </c>
      <c r="O12" s="12">
        <f>M12*1000</f>
        <v>3520.9666682826719</v>
      </c>
      <c r="P12" s="12">
        <f>N12*10000</f>
        <v>518.51851851851848</v>
      </c>
      <c r="Q12" s="18">
        <f>(P12^2)*O12</f>
        <v>946652218.08422995</v>
      </c>
      <c r="R12" s="19">
        <f>Q12/1000000</f>
        <v>946.65221808422996</v>
      </c>
    </row>
    <row r="13" spans="2:22" x14ac:dyDescent="0.2">
      <c r="B13" s="8">
        <v>1</v>
      </c>
      <c r="C13" s="8" t="s">
        <v>23</v>
      </c>
      <c r="D13" s="8"/>
      <c r="E13" s="8"/>
      <c r="F13" s="8"/>
      <c r="G13" s="8"/>
      <c r="H13" s="8">
        <v>108</v>
      </c>
      <c r="I13" s="8">
        <v>5.6</v>
      </c>
      <c r="J13" s="8">
        <v>1627</v>
      </c>
      <c r="K13" s="9">
        <f>((PI()*(10.25)^2)/4)*I13</f>
        <v>462.08900943488862</v>
      </c>
      <c r="L13" s="10">
        <v>0.46</v>
      </c>
      <c r="M13" s="12">
        <f>J13/K13</f>
        <v>3.5209666682826719</v>
      </c>
      <c r="N13" s="12">
        <f>I13/H13</f>
        <v>5.185185185185185E-2</v>
      </c>
      <c r="O13" s="12">
        <f>M13*1000</f>
        <v>3520.9666682826719</v>
      </c>
      <c r="P13" s="12">
        <f>N13*10000</f>
        <v>518.51851851851848</v>
      </c>
      <c r="Q13" s="18">
        <f>(P13^2)*O13</f>
        <v>946652218.08422995</v>
      </c>
      <c r="R13" s="19">
        <f>Q13/1000000</f>
        <v>946.65221808422996</v>
      </c>
    </row>
    <row r="14" spans="2:22" x14ac:dyDescent="0.2">
      <c r="R14" s="17">
        <f>AVERAGE(R9:R13)</f>
        <v>732.76866337753938</v>
      </c>
    </row>
    <row r="16" spans="2:22" x14ac:dyDescent="0.2">
      <c r="P16" s="16"/>
      <c r="R16" s="17">
        <f>R14*2*(1+L5)</f>
        <v>2168.9952435975165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José Torres Constante</dc:creator>
  <cp:lastModifiedBy>María José Torres Constante</cp:lastModifiedBy>
  <dcterms:created xsi:type="dcterms:W3CDTF">2023-09-19T19:18:51Z</dcterms:created>
  <dcterms:modified xsi:type="dcterms:W3CDTF">2023-09-23T15:55:23Z</dcterms:modified>
</cp:coreProperties>
</file>