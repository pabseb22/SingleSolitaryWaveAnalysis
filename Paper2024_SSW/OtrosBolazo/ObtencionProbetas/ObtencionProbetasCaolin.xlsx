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InvestigacionUSFQ\DatosExperimentalesBolazo\ObtencionProbetas\"/>
    </mc:Choice>
  </mc:AlternateContent>
  <xr:revisionPtr revIDLastSave="0" documentId="13_ncr:1_{EB276E90-9358-4461-A20B-45E452C0A032}" xr6:coauthVersionLast="47" xr6:coauthVersionMax="47" xr10:uidLastSave="{00000000-0000-0000-0000-000000000000}"/>
  <bookViews>
    <workbookView xWindow="-98" yWindow="-98" windowWidth="21795" windowHeight="12975" xr2:uid="{E8EF20DA-5D4A-7541-AAAD-FD823B895947}"/>
  </bookViews>
  <sheets>
    <sheet name="ObtencionProbetas" sheetId="2" r:id="rId1"/>
    <sheet name="MedicionesEquip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2" l="1"/>
  <c r="T5" i="2"/>
  <c r="E38" i="2"/>
  <c r="D38" i="2"/>
  <c r="E36" i="2"/>
  <c r="D36" i="2"/>
  <c r="C36" i="2"/>
  <c r="B36" i="2"/>
  <c r="I31" i="2"/>
  <c r="I32" i="2"/>
  <c r="I30" i="2"/>
  <c r="Y6" i="2"/>
  <c r="Y7" i="2"/>
  <c r="Y8" i="2"/>
  <c r="Y9" i="2"/>
  <c r="Y10" i="2"/>
  <c r="Y11" i="2"/>
  <c r="Y12" i="2"/>
  <c r="T6" i="2"/>
  <c r="T7" i="2"/>
  <c r="T8" i="2"/>
  <c r="T9" i="2"/>
  <c r="T10" i="2"/>
  <c r="T11" i="2"/>
  <c r="T12" i="2"/>
  <c r="O5" i="2"/>
  <c r="O6" i="2"/>
  <c r="O7" i="2"/>
  <c r="O8" i="2"/>
  <c r="O9" i="2"/>
  <c r="O10" i="2"/>
  <c r="O11" i="2"/>
  <c r="O12" i="2"/>
  <c r="C21" i="2"/>
  <c r="C22" i="2" s="1"/>
  <c r="G6" i="2" s="1"/>
  <c r="H6" i="2" s="1"/>
  <c r="M32" i="1"/>
  <c r="L25" i="1"/>
  <c r="L26" i="1" s="1"/>
  <c r="L30" i="1" s="1"/>
  <c r="L32" i="1" s="1"/>
  <c r="I32" i="1"/>
  <c r="H25" i="1"/>
  <c r="H26" i="1" s="1"/>
  <c r="H30" i="1" s="1"/>
  <c r="H32" i="1" s="1"/>
  <c r="G5" i="2" l="1"/>
  <c r="H5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17" i="1"/>
  <c r="I16" i="1" s="1"/>
  <c r="H16" i="1" l="1"/>
  <c r="J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tc={D4B4C166-5BEC-4EE6-B4EE-F401273E7B8E}</author>
    <author>tc={E40CCD5D-3553-4A19-AD35-5C81F461AC36}</author>
    <author>tc={CB58BC76-94DD-4789-8FA1-F00D8D9571AA}</author>
    <author>tc={FE8CEB9D-44BA-4A6B-9865-11C077DCC059}</author>
    <author>tc={31E6C0F7-7307-40EF-8B0C-9E28854AA308}</author>
    <author>tc={D5BDCB6C-4A65-4380-A243-CA2A8903433E}</author>
    <author>tc={7FE12595-A0A9-475E-9B58-BBE4453F7ACE}</author>
    <author>tc={C1895F9E-9332-46F9-81FA-139293C5EDCC}</author>
    <author>tc={B60D0BE5-E727-4B9E-9109-CAB60C179D0A}</author>
  </authors>
  <commentList>
    <comment ref="N4" authorId="0" shapeId="0" xr:uid="{D4B4C166-5BEC-4EE6-B4EE-F401273E7B8E}">
      <text>
        <t>[Threaded comment]
Your version of Excel allows you to read this threaded comment; however, any edits to it will get removed if the file is opened in a newer version of Excel. Learn more: https://go.microsoft.com/fwlink/?linkid=870924
Comment:
    Altura Luego de Colocar la capa y de presionar un poco con la carga. Es decir, la altura del suelo con la que va a ingresar a la prensa.</t>
      </text>
    </comment>
    <comment ref="O4" authorId="1" shapeId="0" xr:uid="{E40CCD5D-3553-4A19-AD35-5C81F461AC3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al cual se debe colocar la marca de referencia para compactar</t>
      </text>
    </comment>
    <comment ref="P4" authorId="2" shapeId="0" xr:uid="{CB58BC76-94DD-4789-8FA1-F00D8D9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Altura Final Luego de compactar hasta la marca en la prensa</t>
      </text>
    </comment>
    <comment ref="S4" authorId="3" shapeId="0" xr:uid="{FE8CEB9D-44BA-4A6B-9865-11C077DCC059}">
      <text>
        <t>[Threaded comment]
Your version of Excel allows you to read this threaded comment; however, any edits to it will get removed if the file is opened in a newer version of Excel. Learn more: https://go.microsoft.com/fwlink/?linkid=870924
Comment:
    Altura Luego de Colocar la capa y de presionar un poco con la carga. Es decir, la altura del suelo con la que va a ingresar a la prensa.</t>
      </text>
    </comment>
    <comment ref="T4" authorId="4" shapeId="0" xr:uid="{31E6C0F7-7307-40EF-8B0C-9E28854AA3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al cual se debe colocar la marca de referencia para compactar</t>
      </text>
    </comment>
    <comment ref="U4" authorId="5" shapeId="0" xr:uid="{D5BDCB6C-4A65-4380-A243-CA2A8903433E}">
      <text>
        <t>[Threaded comment]
Your version of Excel allows you to read this threaded comment; however, any edits to it will get removed if the file is opened in a newer version of Excel. Learn more: https://go.microsoft.com/fwlink/?linkid=870924
Comment:
    Altura Final Luego de compactar hasta la marca en la prensa</t>
      </text>
    </comment>
    <comment ref="X4" authorId="6" shapeId="0" xr:uid="{7FE12595-A0A9-475E-9B58-BBE4453F7ACE}">
      <text>
        <t>[Threaded comment]
Your version of Excel allows you to read this threaded comment; however, any edits to it will get removed if the file is opened in a newer version of Excel. Learn more: https://go.microsoft.com/fwlink/?linkid=870924
Comment:
    Altura Luego de Colocar la capa y de presionar un poco con la carga. Es decir, la altura del suelo con la que va a ingresar a la prensa.</t>
      </text>
    </comment>
    <comment ref="Y4" authorId="7" shapeId="0" xr:uid="{C1895F9E-9332-46F9-81FA-139293C5ED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al cual se debe colocar la marca de referencia para compactar</t>
      </text>
    </comment>
    <comment ref="Z4" authorId="8" shapeId="0" xr:uid="{B60D0BE5-E727-4B9E-9109-CAB60C179D0A}">
      <text>
        <t>[Threaded comment]
Your version of Excel allows you to read this threaded comment; however, any edits to it will get removed if the file is opened in a newer version of Excel. Learn more: https://go.microsoft.com/fwlink/?linkid=870924
Comment:
    Altura Final Luego de compactar hasta la marca en la prensa</t>
      </text>
    </comment>
  </commentList>
</comments>
</file>

<file path=xl/sharedStrings.xml><?xml version="1.0" encoding="utf-8"?>
<sst xmlns="http://schemas.openxmlformats.org/spreadsheetml/2006/main" count="154" uniqueCount="112">
  <si>
    <t>-0.06706333198870595,</t>
  </si>
  <si>
    <t>0.10074626865671643</t>
  </si>
  <si>
    <t>0.09850746268656718</t>
  </si>
  <si>
    <t>0.10298507462686579</t>
  </si>
  <si>
    <t>0.10746268656716429</t>
  </si>
  <si>
    <t>0.11865671641791053</t>
  </si>
  <si>
    <t>0.14328358208955227</t>
  </si>
  <si>
    <t>0.19925373134328372</t>
  </si>
  <si>
    <t>0.3380597014925374</t>
  </si>
  <si>
    <t>0.4074626865671642</t>
  </si>
  <si>
    <t>0.44552238805970157</t>
  </si>
  <si>
    <t>0.4611940298507463</t>
  </si>
  <si>
    <t>0.4701492537313433</t>
  </si>
  <si>
    <t>Masa</t>
  </si>
  <si>
    <t>Volumen</t>
  </si>
  <si>
    <t>Energía (#golpes)</t>
  </si>
  <si>
    <t>Clasificación de suelo</t>
  </si>
  <si>
    <t>G.S</t>
  </si>
  <si>
    <t>Nombre (de la probeta)</t>
  </si>
  <si>
    <t>Masa (g)</t>
  </si>
  <si>
    <t>Volumen (cm3)</t>
  </si>
  <si>
    <t>Humedad</t>
  </si>
  <si>
    <t>Densidad (g/cm3)</t>
  </si>
  <si>
    <t>Peso Lata</t>
  </si>
  <si>
    <t>Lata +Suelo Humedo</t>
  </si>
  <si>
    <t>Lata +suelo seco</t>
  </si>
  <si>
    <t>Nombre (lata)</t>
  </si>
  <si>
    <t>Saturación</t>
  </si>
  <si>
    <t>Poisson</t>
  </si>
  <si>
    <t xml:space="preserve">Con la tablita </t>
  </si>
  <si>
    <t>TV1</t>
  </si>
  <si>
    <t>TV2</t>
  </si>
  <si>
    <t>TV3</t>
  </si>
  <si>
    <t>TV4</t>
  </si>
  <si>
    <t>TV5</t>
  </si>
  <si>
    <t>Velocidad de onda p</t>
  </si>
  <si>
    <t>Prom</t>
  </si>
  <si>
    <t>Calculamos Vp</t>
  </si>
  <si>
    <t>Calculo modulo de E</t>
  </si>
  <si>
    <t>TOF1</t>
  </si>
  <si>
    <t>TOF2</t>
  </si>
  <si>
    <t>tof3</t>
  </si>
  <si>
    <t>tof4</t>
  </si>
  <si>
    <t>tof5</t>
  </si>
  <si>
    <t>Pelotazo</t>
  </si>
  <si>
    <t>Sacamos Modulo (Pablo)</t>
  </si>
  <si>
    <t>Densidad Seca</t>
  </si>
  <si>
    <t>1/humedad</t>
  </si>
  <si>
    <t>Por límites</t>
  </si>
  <si>
    <t>Probeta datos</t>
  </si>
  <si>
    <t>h=</t>
  </si>
  <si>
    <t>mm</t>
  </si>
  <si>
    <t>d=</t>
  </si>
  <si>
    <t>mm3</t>
  </si>
  <si>
    <t>cm3</t>
  </si>
  <si>
    <t>Agua</t>
  </si>
  <si>
    <t>Contenido  de agua</t>
  </si>
  <si>
    <t>densidad seca</t>
  </si>
  <si>
    <t>Cronograma Probetas</t>
  </si>
  <si>
    <t>#Probeta</t>
  </si>
  <si>
    <t>Denominacion</t>
  </si>
  <si>
    <t>Fecha</t>
  </si>
  <si>
    <t>Masa de Agua</t>
  </si>
  <si>
    <t>Densidad Seca Objetivo</t>
  </si>
  <si>
    <t xml:space="preserve">Masa Seca </t>
  </si>
  <si>
    <t>[gr]</t>
  </si>
  <si>
    <t>[gr/cm3]</t>
  </si>
  <si>
    <t>Masa Mezcla Homogenea</t>
  </si>
  <si>
    <t>%Humedad Objetivo</t>
  </si>
  <si>
    <t>[%]</t>
  </si>
  <si>
    <t>[cm]</t>
  </si>
  <si>
    <t>Datos para crear Probeta</t>
  </si>
  <si>
    <t>Hora Inicio Mezcla</t>
  </si>
  <si>
    <t xml:space="preserve">Hora Inicio Compactacion </t>
  </si>
  <si>
    <t>Altura a Compactar</t>
  </si>
  <si>
    <t>Hora Capa #1 Compactada</t>
  </si>
  <si>
    <t>Altura Final Capa #1  Comp.</t>
  </si>
  <si>
    <t>Altura Capa #1  Sin Comp.</t>
  </si>
  <si>
    <t>Preparacion Muestra</t>
  </si>
  <si>
    <t>Hora Final Mezcla</t>
  </si>
  <si>
    <t>Compactacion Capa #1</t>
  </si>
  <si>
    <t>Masa por Capa (3)</t>
  </si>
  <si>
    <t>Compactacion Capa #2</t>
  </si>
  <si>
    <t>Altura Capa #2  Sin Comp.</t>
  </si>
  <si>
    <t>Altura Final Capa #2  Comp.</t>
  </si>
  <si>
    <t>Hora Capa #2 Compactada</t>
  </si>
  <si>
    <t>Compactacion Capa #3</t>
  </si>
  <si>
    <t>Altura Capa #3  Sin Comp.</t>
  </si>
  <si>
    <t>Altura Final Capa #3 Comp.</t>
  </si>
  <si>
    <t>Hora Inicio Desmolde</t>
  </si>
  <si>
    <t>Hora Fin Desmolde</t>
  </si>
  <si>
    <t>Altura Final Probeta</t>
  </si>
  <si>
    <t>Desmolde Probeta</t>
  </si>
  <si>
    <t>Hora de Entrega Probeta</t>
  </si>
  <si>
    <t>Datos Molde Probeta</t>
  </si>
  <si>
    <t>Diametro</t>
  </si>
  <si>
    <t>H Objetivo</t>
  </si>
  <si>
    <t>Datos Plaquitas</t>
  </si>
  <si>
    <t xml:space="preserve">Altura </t>
  </si>
  <si>
    <t># Placas</t>
  </si>
  <si>
    <t>H Probeta</t>
  </si>
  <si>
    <t>Comprobacion Ajuste Humedad</t>
  </si>
  <si>
    <t>Masa Suelo</t>
  </si>
  <si>
    <t>Masa Agua</t>
  </si>
  <si>
    <t>%Humedad Real</t>
  </si>
  <si>
    <t>Peso Lata +Humedo</t>
  </si>
  <si>
    <t>Peso Lata + Seco</t>
  </si>
  <si>
    <t>%Humedad</t>
  </si>
  <si>
    <t>Diff</t>
  </si>
  <si>
    <t>Humedad Final</t>
  </si>
  <si>
    <t>Humedad Objetivo Incremento</t>
  </si>
  <si>
    <t>Nota: Guardar Probeta en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</si>
</sst>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/>
    <xf numFmtId="3" fontId="3" fillId="0" borderId="0" xfId="0" applyNumberFormat="1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10" fontId="0" fillId="0" borderId="0" xfId="1" applyNumberFormat="1" applyFont="1"/>
    <xf numFmtId="2" fontId="0" fillId="0" borderId="0" xfId="0" applyNumberFormat="1"/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10" fontId="0" fillId="4" borderId="0" xfId="1" applyNumberFormat="1" applyFont="1" applyFill="1"/>
    <xf numFmtId="2" fontId="0" fillId="4" borderId="0" xfId="0" applyNumberFormat="1" applyFill="1"/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0" fillId="4" borderId="10" xfId="0" applyFill="1" applyBorder="1"/>
    <xf numFmtId="0" fontId="0" fillId="4" borderId="13" xfId="0" applyFill="1" applyBorder="1"/>
    <xf numFmtId="0" fontId="0" fillId="4" borderId="4" xfId="0" applyFill="1" applyBorder="1"/>
    <xf numFmtId="0" fontId="2" fillId="4" borderId="4" xfId="0" applyFont="1" applyFill="1" applyBorder="1"/>
    <xf numFmtId="0" fontId="0" fillId="4" borderId="15" xfId="0" applyFill="1" applyBorder="1"/>
    <xf numFmtId="0" fontId="0" fillId="4" borderId="20" xfId="0" applyFill="1" applyBorder="1"/>
    <xf numFmtId="0" fontId="0" fillId="4" borderId="22" xfId="0" applyFill="1" applyBorder="1"/>
    <xf numFmtId="0" fontId="0" fillId="4" borderId="23" xfId="0" applyFill="1" applyBorder="1"/>
    <xf numFmtId="0" fontId="2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/>
    </xf>
    <xf numFmtId="16" fontId="2" fillId="4" borderId="26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/>
    </xf>
    <xf numFmtId="16" fontId="2" fillId="4" borderId="20" xfId="0" applyNumberFormat="1" applyFont="1" applyFill="1" applyBorder="1" applyAlignment="1">
      <alignment horizontal="center" vertical="center"/>
    </xf>
    <xf numFmtId="16" fontId="0" fillId="4" borderId="20" xfId="0" applyNumberForma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0" fillId="4" borderId="11" xfId="0" applyFill="1" applyBorder="1"/>
    <xf numFmtId="0" fontId="5" fillId="4" borderId="27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2" fontId="0" fillId="4" borderId="12" xfId="0" applyNumberFormat="1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2" fontId="0" fillId="4" borderId="15" xfId="0" applyNumberFormat="1" applyFill="1" applyBorder="1" applyAlignment="1">
      <alignment horizontal="center" vertical="center"/>
    </xf>
    <xf numFmtId="2" fontId="0" fillId="4" borderId="26" xfId="0" applyNumberFormat="1" applyFill="1" applyBorder="1" applyAlignment="1">
      <alignment horizontal="center" vertical="center"/>
    </xf>
    <xf numFmtId="9" fontId="0" fillId="4" borderId="25" xfId="1" applyFont="1" applyFill="1" applyBorder="1" applyAlignment="1">
      <alignment horizontal="center" vertical="center"/>
    </xf>
    <xf numFmtId="9" fontId="0" fillId="4" borderId="19" xfId="1" applyFont="1" applyFill="1" applyBorder="1" applyAlignment="1">
      <alignment horizontal="center" vertical="center"/>
    </xf>
    <xf numFmtId="9" fontId="0" fillId="4" borderId="21" xfId="1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2" fontId="0" fillId="4" borderId="32" xfId="0" applyNumberFormat="1" applyFill="1" applyBorder="1" applyAlignment="1">
      <alignment horizontal="center" vertical="center"/>
    </xf>
    <xf numFmtId="2" fontId="0" fillId="4" borderId="33" xfId="0" applyNumberForma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/>
    </xf>
    <xf numFmtId="0" fontId="7" fillId="4" borderId="0" xfId="0" applyFont="1" applyFill="1" applyAlignment="1">
      <alignment horizontal="right"/>
    </xf>
    <xf numFmtId="0" fontId="7" fillId="4" borderId="10" xfId="0" applyFont="1" applyFill="1" applyBorder="1" applyAlignment="1">
      <alignment horizontal="left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2" fontId="0" fillId="4" borderId="15" xfId="0" applyNumberFormat="1" applyFill="1" applyBorder="1" applyAlignment="1">
      <alignment horizontal="center" vertical="center" wrapText="1"/>
    </xf>
    <xf numFmtId="10" fontId="0" fillId="4" borderId="4" xfId="1" applyNumberFormat="1" applyFont="1" applyFill="1" applyBorder="1"/>
    <xf numFmtId="0" fontId="0" fillId="4" borderId="4" xfId="0" applyFill="1" applyBorder="1" applyAlignment="1">
      <alignment horizontal="center"/>
    </xf>
    <xf numFmtId="10" fontId="0" fillId="4" borderId="4" xfId="0" applyNumberFormat="1" applyFill="1" applyBorder="1"/>
    <xf numFmtId="9" fontId="0" fillId="4" borderId="4" xfId="1" applyFont="1" applyFill="1" applyBorder="1"/>
    <xf numFmtId="164" fontId="2" fillId="4" borderId="4" xfId="0" applyNumberFormat="1" applyFont="1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801495</xdr:colOff>
      <xdr:row>26</xdr:row>
      <xdr:rowOff>145198</xdr:rowOff>
    </xdr:from>
    <xdr:to>
      <xdr:col>15</xdr:col>
      <xdr:colOff>249081</xdr:colOff>
      <xdr:row>42</xdr:row>
      <xdr:rowOff>179374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34D13-3F2E-A9CC-4653-AD64A17A2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7486" y="7538689"/>
          <a:ext cx="4924461" cy="3495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153459</xdr:colOff>
      <xdr:row>8</xdr:row>
      <xdr:rowOff>46567</xdr:rowOff>
    </xdr:from>
    <xdr:to>
      <xdr:col>25</xdr:col>
      <xdr:colOff>234779</xdr:colOff>
      <xdr:row>23</xdr:row>
      <xdr:rowOff>6710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7D1450-3FCA-1948-C23F-C20AAD94F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90542" y="1634067"/>
          <a:ext cx="4182362" cy="29367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blo Sebastián Alvarado Sarmiento" id="{A35654BD-0DE9-4B96-B265-B1891FBC917A}" userId="S::psalvarado@estud.usfq.edu.ec::e0ed137d-044a-4156-a1b5-4e3249eb20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" dT="2023-09-25T05:55:54.05" personId="{A35654BD-0DE9-4B96-B265-B1891FBC917A}" id="{D4B4C166-5BEC-4EE6-B4EE-F401273E7B8E}">
    <text>Altura Luego de Colocar la capa y de presionar un poco con la carga. Es decir, la altura del suelo con la que va a ingresar a la prensa.</text>
  </threadedComment>
  <threadedComment ref="O4" dT="2023-09-25T05:56:39.40" personId="{A35654BD-0DE9-4B96-B265-B1891FBC917A}" id="{E40CCD5D-3553-4A19-AD35-5C81F461AC36}">
    <text>Valor al cual se debe colocar la marca de referencia para compactar</text>
  </threadedComment>
  <threadedComment ref="P4" dT="2023-09-25T05:56:17.58" personId="{A35654BD-0DE9-4B96-B265-B1891FBC917A}" id="{CB58BC76-94DD-4789-8FA1-F00D8D9571AA}">
    <text>Altura Final Luego de compactar hasta la marca en la prensa</text>
  </threadedComment>
  <threadedComment ref="S4" dT="2023-09-25T05:55:54.05" personId="{A35654BD-0DE9-4B96-B265-B1891FBC917A}" id="{FE8CEB9D-44BA-4A6B-9865-11C077DCC059}">
    <text>Altura Luego de Colocar la capa y de presionar un poco con la carga. Es decir, la altura del suelo con la que va a ingresar a la prensa.</text>
  </threadedComment>
  <threadedComment ref="T4" dT="2023-09-25T05:56:39.40" personId="{A35654BD-0DE9-4B96-B265-B1891FBC917A}" id="{31E6C0F7-7307-40EF-8B0C-9E28854AA308}">
    <text>Valor al cual se debe colocar la marca de referencia para compactar</text>
  </threadedComment>
  <threadedComment ref="U4" dT="2023-09-25T05:56:17.58" personId="{A35654BD-0DE9-4B96-B265-B1891FBC917A}" id="{D5BDCB6C-4A65-4380-A243-CA2A8903433E}">
    <text>Altura Final Luego de compactar hasta la marca en la prensa</text>
  </threadedComment>
  <threadedComment ref="X4" dT="2023-09-25T05:55:54.05" personId="{A35654BD-0DE9-4B96-B265-B1891FBC917A}" id="{7FE12595-A0A9-475E-9B58-BBE4453F7ACE}">
    <text>Altura Luego de Colocar la capa y de presionar un poco con la carga. Es decir, la altura del suelo con la que va a ingresar a la prensa.</text>
  </threadedComment>
  <threadedComment ref="Y4" dT="2023-09-25T05:56:39.40" personId="{A35654BD-0DE9-4B96-B265-B1891FBC917A}" id="{C1895F9E-9332-46F9-81FA-139293C5EDCC}">
    <text>Valor al cual se debe colocar la marca de referencia para compactar</text>
  </threadedComment>
  <threadedComment ref="Z4" dT="2023-09-25T05:56:17.58" personId="{A35654BD-0DE9-4B96-B265-B1891FBC917A}" id="{B60D0BE5-E727-4B9E-9109-CAB60C179D0A}">
    <text>Altura Final Luego de compactar hasta la marca en la prensa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46EA-D47A-4C82-A15A-C8D97194D371}">
  <dimension ref="B1:AF38"/>
  <sheetViews>
    <sheetView tabSelected="1" topLeftCell="M1" workbookViewId="0">
      <selection activeCell="X5" sqref="X5"/>
    </sheetView>
  </sheetViews>
  <sheetFormatPr defaultColWidth="11" defaultRowHeight="15.75"/>
  <cols>
    <col min="1" max="2" width="11.4375" style="9" customWidth="1"/>
    <col min="3" max="3" width="12.625" style="9" bestFit="1" customWidth="1"/>
    <col min="4" max="4" width="11.4375" style="9" customWidth="1"/>
    <col min="5" max="5" width="16.5" style="9" customWidth="1"/>
    <col min="6" max="6" width="12.4375" style="9" customWidth="1"/>
    <col min="7" max="7" width="11.4375" style="9" customWidth="1"/>
    <col min="8" max="8" width="13.5" style="9" customWidth="1"/>
    <col min="9" max="11" width="11.4375" style="9" customWidth="1"/>
    <col min="12" max="12" width="12.125" style="9" customWidth="1"/>
    <col min="13" max="13" width="13.625" style="9" customWidth="1"/>
    <col min="14" max="14" width="11.8125" style="9" customWidth="1"/>
    <col min="15" max="15" width="11.4375" style="9" customWidth="1"/>
    <col min="16" max="17" width="13.5" style="9" customWidth="1"/>
    <col min="18" max="18" width="12.75" style="9" customWidth="1"/>
    <col min="19" max="19" width="13.5" style="9" customWidth="1"/>
    <col min="20" max="20" width="11.4375" style="9" customWidth="1"/>
    <col min="21" max="21" width="14.1875" style="9" customWidth="1"/>
    <col min="22" max="22" width="13.875" style="9" customWidth="1"/>
    <col min="23" max="23" width="12.5625" style="9" bestFit="1" customWidth="1"/>
    <col min="24" max="24" width="13.0625" style="9" customWidth="1"/>
    <col min="25" max="25" width="11.4375" style="9" customWidth="1"/>
    <col min="26" max="26" width="13.6875" style="9" bestFit="1" customWidth="1"/>
    <col min="27" max="27" width="11.8125" style="9" bestFit="1" customWidth="1"/>
    <col min="28" max="28" width="12.5625" style="9" bestFit="1" customWidth="1"/>
    <col min="29" max="30" width="11.4375" style="9" customWidth="1"/>
    <col min="31" max="31" width="14.1875" style="9" bestFit="1" customWidth="1"/>
    <col min="32" max="32" width="26.25" style="9" bestFit="1" customWidth="1"/>
    <col min="33" max="40" width="11.4375" style="9" customWidth="1"/>
    <col min="41" max="16384" width="11" style="9"/>
  </cols>
  <sheetData>
    <row r="1" spans="2:32" ht="16.149999999999999" thickBot="1"/>
    <row r="2" spans="2:32" ht="16.149999999999999" thickBot="1">
      <c r="B2" s="94" t="s">
        <v>58</v>
      </c>
      <c r="C2" s="95"/>
      <c r="D2" s="96"/>
      <c r="E2" s="94" t="s">
        <v>71</v>
      </c>
      <c r="F2" s="95"/>
      <c r="G2" s="95"/>
      <c r="H2" s="95"/>
      <c r="I2" s="97" t="s">
        <v>78</v>
      </c>
      <c r="J2" s="98"/>
      <c r="K2" s="98"/>
      <c r="L2" s="99"/>
      <c r="M2" s="81" t="s">
        <v>80</v>
      </c>
      <c r="N2" s="82"/>
      <c r="O2" s="82"/>
      <c r="P2" s="82"/>
      <c r="Q2" s="83"/>
      <c r="R2" s="81" t="s">
        <v>82</v>
      </c>
      <c r="S2" s="82"/>
      <c r="T2" s="82"/>
      <c r="U2" s="82"/>
      <c r="V2" s="83"/>
      <c r="W2" s="81" t="s">
        <v>86</v>
      </c>
      <c r="X2" s="82"/>
      <c r="Y2" s="82"/>
      <c r="Z2" s="82"/>
      <c r="AA2" s="83"/>
      <c r="AB2" s="84" t="s">
        <v>92</v>
      </c>
      <c r="AC2" s="85"/>
      <c r="AD2" s="85"/>
      <c r="AE2" s="86"/>
    </row>
    <row r="3" spans="2:32" s="10" customFormat="1" ht="16.149999999999999" thickBot="1">
      <c r="E3" s="10" t="s">
        <v>69</v>
      </c>
      <c r="F3" s="10" t="s">
        <v>66</v>
      </c>
      <c r="G3" s="10" t="s">
        <v>65</v>
      </c>
      <c r="H3" s="10" t="s">
        <v>65</v>
      </c>
      <c r="J3" s="10" t="s">
        <v>65</v>
      </c>
      <c r="K3" s="10" t="s">
        <v>65</v>
      </c>
      <c r="N3" s="10" t="s">
        <v>70</v>
      </c>
      <c r="O3" s="10" t="s">
        <v>70</v>
      </c>
      <c r="P3" s="10" t="s">
        <v>70</v>
      </c>
      <c r="S3" s="10" t="s">
        <v>70</v>
      </c>
      <c r="T3" s="10" t="s">
        <v>70</v>
      </c>
      <c r="U3" s="10" t="s">
        <v>70</v>
      </c>
      <c r="X3" s="10" t="s">
        <v>70</v>
      </c>
      <c r="Y3" s="10" t="s">
        <v>70</v>
      </c>
      <c r="Z3" s="10" t="s">
        <v>70</v>
      </c>
    </row>
    <row r="4" spans="2:32" s="14" customFormat="1" ht="40.15" customHeight="1" thickBot="1">
      <c r="B4" s="23" t="s">
        <v>59</v>
      </c>
      <c r="C4" s="24" t="s">
        <v>60</v>
      </c>
      <c r="D4" s="30" t="s">
        <v>61</v>
      </c>
      <c r="E4" s="37" t="s">
        <v>110</v>
      </c>
      <c r="F4" s="26" t="s">
        <v>63</v>
      </c>
      <c r="G4" s="25" t="s">
        <v>64</v>
      </c>
      <c r="H4" s="30" t="s">
        <v>62</v>
      </c>
      <c r="I4" s="27" t="s">
        <v>72</v>
      </c>
      <c r="J4" s="28" t="s">
        <v>67</v>
      </c>
      <c r="K4" s="28" t="s">
        <v>81</v>
      </c>
      <c r="L4" s="29" t="s">
        <v>79</v>
      </c>
      <c r="M4" s="27" t="s">
        <v>73</v>
      </c>
      <c r="N4" s="28" t="s">
        <v>77</v>
      </c>
      <c r="O4" s="26" t="s">
        <v>74</v>
      </c>
      <c r="P4" s="28" t="s">
        <v>76</v>
      </c>
      <c r="Q4" s="29" t="s">
        <v>75</v>
      </c>
      <c r="R4" s="27" t="s">
        <v>73</v>
      </c>
      <c r="S4" s="28" t="s">
        <v>83</v>
      </c>
      <c r="T4" s="26" t="s">
        <v>74</v>
      </c>
      <c r="U4" s="28" t="s">
        <v>84</v>
      </c>
      <c r="V4" s="29" t="s">
        <v>85</v>
      </c>
      <c r="W4" s="27" t="s">
        <v>73</v>
      </c>
      <c r="X4" s="28" t="s">
        <v>87</v>
      </c>
      <c r="Y4" s="26" t="s">
        <v>74</v>
      </c>
      <c r="Z4" s="28" t="s">
        <v>88</v>
      </c>
      <c r="AA4" s="39" t="s">
        <v>85</v>
      </c>
      <c r="AB4" s="27" t="s">
        <v>89</v>
      </c>
      <c r="AC4" s="28" t="s">
        <v>90</v>
      </c>
      <c r="AD4" s="29" t="s">
        <v>91</v>
      </c>
      <c r="AE4" s="29" t="s">
        <v>93</v>
      </c>
      <c r="AF4" s="14" t="s">
        <v>111</v>
      </c>
    </row>
    <row r="5" spans="2:32" ht="34.5" customHeight="1">
      <c r="B5" s="31">
        <v>1</v>
      </c>
      <c r="C5" s="19"/>
      <c r="D5" s="32">
        <v>45194</v>
      </c>
      <c r="E5" s="58">
        <v>0.1</v>
      </c>
      <c r="F5" s="56">
        <v>1.59</v>
      </c>
      <c r="G5" s="56">
        <f>MROUND(F5*$C$22,10)</f>
        <v>310</v>
      </c>
      <c r="H5" s="57">
        <f>MROUND(E5*G5,10)</f>
        <v>30</v>
      </c>
      <c r="I5" s="40"/>
      <c r="J5" s="41"/>
      <c r="K5" s="41"/>
      <c r="L5" s="42"/>
      <c r="M5" s="40"/>
      <c r="N5" s="41">
        <v>10</v>
      </c>
      <c r="O5" s="56">
        <f>($C$18-$F$18*$F$19-N5*10-$C$19/3)/10</f>
        <v>2.2666666666666666</v>
      </c>
      <c r="P5" s="41"/>
      <c r="Q5" s="42"/>
      <c r="R5" s="40"/>
      <c r="S5" s="41">
        <v>7</v>
      </c>
      <c r="T5" s="56">
        <f>($C$18-$F$18*$F$19-S5*10-$C$19*2/3)/10</f>
        <v>1.9333333333333329</v>
      </c>
      <c r="U5" s="41"/>
      <c r="V5" s="42"/>
      <c r="W5" s="68"/>
      <c r="X5" s="69">
        <v>1</v>
      </c>
      <c r="Y5" s="70">
        <f>($C$18-$F$18*$F$19-X5*10-$C$19)/10</f>
        <v>4.5999999999999996</v>
      </c>
      <c r="Z5" s="69"/>
      <c r="AA5" s="71"/>
      <c r="AB5" s="40"/>
      <c r="AC5" s="41"/>
      <c r="AD5" s="43"/>
      <c r="AE5" s="42"/>
    </row>
    <row r="6" spans="2:32" ht="34.5" customHeight="1">
      <c r="B6" s="33">
        <v>2</v>
      </c>
      <c r="C6" s="17"/>
      <c r="D6" s="34">
        <v>45194</v>
      </c>
      <c r="E6" s="59">
        <v>0.06</v>
      </c>
      <c r="F6" s="45">
        <v>1.65</v>
      </c>
      <c r="G6" s="56">
        <f t="shared" ref="G6:G12" si="0">MROUND(F6*$C$22,10)</f>
        <v>320</v>
      </c>
      <c r="H6" s="57">
        <f t="shared" ref="H6:H12" si="1">MROUND(E6*G6,10)</f>
        <v>20</v>
      </c>
      <c r="I6" s="44"/>
      <c r="J6" s="45"/>
      <c r="K6" s="45"/>
      <c r="L6" s="46"/>
      <c r="M6" s="44"/>
      <c r="N6" s="45"/>
      <c r="O6" s="56">
        <f t="shared" ref="O6:O12" si="2">($C$18-$F$18*$F$19-N6*10-$C$19/3)/10</f>
        <v>12.266666666666666</v>
      </c>
      <c r="P6" s="45"/>
      <c r="Q6" s="46"/>
      <c r="R6" s="44"/>
      <c r="S6" s="45"/>
      <c r="T6" s="56">
        <f t="shared" ref="T6:T12" si="3">($C$18-$F$18*$F$19-N6*10-$C$19/3)/10</f>
        <v>12.266666666666666</v>
      </c>
      <c r="U6" s="45"/>
      <c r="V6" s="46"/>
      <c r="W6" s="44"/>
      <c r="X6" s="45"/>
      <c r="Y6" s="56">
        <f t="shared" ref="Y6:Y12" si="4">($C$18-$F$18*$F$19-N6*10-$C$19/3)/10</f>
        <v>12.266666666666666</v>
      </c>
      <c r="Z6" s="45"/>
      <c r="AA6" s="46"/>
      <c r="AB6" s="44"/>
      <c r="AC6" s="45"/>
      <c r="AD6" s="47"/>
      <c r="AE6" s="46"/>
    </row>
    <row r="7" spans="2:32" ht="34.5" customHeight="1">
      <c r="B7" s="33">
        <v>3</v>
      </c>
      <c r="C7" s="17"/>
      <c r="D7" s="35"/>
      <c r="E7" s="59"/>
      <c r="F7" s="45"/>
      <c r="G7" s="56">
        <f t="shared" si="0"/>
        <v>0</v>
      </c>
      <c r="H7" s="57">
        <f t="shared" si="1"/>
        <v>0</v>
      </c>
      <c r="I7" s="44"/>
      <c r="J7" s="45"/>
      <c r="K7" s="45"/>
      <c r="L7" s="46"/>
      <c r="M7" s="44"/>
      <c r="N7" s="45"/>
      <c r="O7" s="56">
        <f t="shared" si="2"/>
        <v>12.266666666666666</v>
      </c>
      <c r="P7" s="45"/>
      <c r="Q7" s="46"/>
      <c r="R7" s="44"/>
      <c r="S7" s="45"/>
      <c r="T7" s="56">
        <f t="shared" si="3"/>
        <v>12.266666666666666</v>
      </c>
      <c r="U7" s="45"/>
      <c r="V7" s="46"/>
      <c r="W7" s="44"/>
      <c r="X7" s="45"/>
      <c r="Y7" s="56">
        <f t="shared" si="4"/>
        <v>12.266666666666666</v>
      </c>
      <c r="Z7" s="45"/>
      <c r="AA7" s="46"/>
      <c r="AB7" s="44"/>
      <c r="AC7" s="45"/>
      <c r="AD7" s="47"/>
      <c r="AE7" s="46"/>
    </row>
    <row r="8" spans="2:32" ht="34.5" customHeight="1">
      <c r="B8" s="33">
        <v>4</v>
      </c>
      <c r="C8" s="17"/>
      <c r="D8" s="35"/>
      <c r="E8" s="59"/>
      <c r="F8" s="45"/>
      <c r="G8" s="56">
        <f t="shared" si="0"/>
        <v>0</v>
      </c>
      <c r="H8" s="57">
        <f t="shared" si="1"/>
        <v>0</v>
      </c>
      <c r="I8" s="44"/>
      <c r="J8" s="45"/>
      <c r="K8" s="45"/>
      <c r="L8" s="46"/>
      <c r="M8" s="44"/>
      <c r="N8" s="45"/>
      <c r="O8" s="56">
        <f t="shared" si="2"/>
        <v>12.266666666666666</v>
      </c>
      <c r="P8" s="45"/>
      <c r="Q8" s="46"/>
      <c r="R8" s="44"/>
      <c r="S8" s="45"/>
      <c r="T8" s="56">
        <f t="shared" si="3"/>
        <v>12.266666666666666</v>
      </c>
      <c r="U8" s="45"/>
      <c r="V8" s="46"/>
      <c r="W8" s="44"/>
      <c r="X8" s="45"/>
      <c r="Y8" s="56">
        <f t="shared" si="4"/>
        <v>12.266666666666666</v>
      </c>
      <c r="Z8" s="45"/>
      <c r="AA8" s="46"/>
      <c r="AB8" s="44"/>
      <c r="AC8" s="45"/>
      <c r="AD8" s="47"/>
      <c r="AE8" s="46"/>
    </row>
    <row r="9" spans="2:32" ht="34.5" customHeight="1">
      <c r="B9" s="33">
        <v>5</v>
      </c>
      <c r="C9" s="17"/>
      <c r="D9" s="20"/>
      <c r="E9" s="59"/>
      <c r="F9" s="45"/>
      <c r="G9" s="56">
        <f t="shared" si="0"/>
        <v>0</v>
      </c>
      <c r="H9" s="57">
        <f t="shared" si="1"/>
        <v>0</v>
      </c>
      <c r="I9" s="44"/>
      <c r="J9" s="45"/>
      <c r="K9" s="45"/>
      <c r="L9" s="46"/>
      <c r="M9" s="44"/>
      <c r="N9" s="45"/>
      <c r="O9" s="56">
        <f t="shared" si="2"/>
        <v>12.266666666666666</v>
      </c>
      <c r="P9" s="45"/>
      <c r="Q9" s="46"/>
      <c r="R9" s="44"/>
      <c r="S9" s="45"/>
      <c r="T9" s="56">
        <f t="shared" si="3"/>
        <v>12.266666666666666</v>
      </c>
      <c r="U9" s="45"/>
      <c r="V9" s="46"/>
      <c r="W9" s="44"/>
      <c r="X9" s="45"/>
      <c r="Y9" s="56">
        <f t="shared" si="4"/>
        <v>12.266666666666666</v>
      </c>
      <c r="Z9" s="45"/>
      <c r="AA9" s="46"/>
      <c r="AB9" s="44"/>
      <c r="AC9" s="45"/>
      <c r="AD9" s="47"/>
      <c r="AE9" s="46"/>
    </row>
    <row r="10" spans="2:32" ht="34.5" customHeight="1">
      <c r="B10" s="33">
        <v>6</v>
      </c>
      <c r="C10" s="17"/>
      <c r="D10" s="20"/>
      <c r="E10" s="59"/>
      <c r="F10" s="45"/>
      <c r="G10" s="56">
        <f t="shared" si="0"/>
        <v>0</v>
      </c>
      <c r="H10" s="57">
        <f t="shared" si="1"/>
        <v>0</v>
      </c>
      <c r="I10" s="44"/>
      <c r="J10" s="45"/>
      <c r="K10" s="45"/>
      <c r="L10" s="46"/>
      <c r="M10" s="44"/>
      <c r="N10" s="45"/>
      <c r="O10" s="56">
        <f t="shared" si="2"/>
        <v>12.266666666666666</v>
      </c>
      <c r="P10" s="45"/>
      <c r="Q10" s="46"/>
      <c r="R10" s="44"/>
      <c r="S10" s="45"/>
      <c r="T10" s="56">
        <f t="shared" si="3"/>
        <v>12.266666666666666</v>
      </c>
      <c r="U10" s="45"/>
      <c r="V10" s="46"/>
      <c r="W10" s="44"/>
      <c r="X10" s="45"/>
      <c r="Y10" s="56">
        <f t="shared" si="4"/>
        <v>12.266666666666666</v>
      </c>
      <c r="Z10" s="45"/>
      <c r="AA10" s="46"/>
      <c r="AB10" s="44"/>
      <c r="AC10" s="45"/>
      <c r="AD10" s="47"/>
      <c r="AE10" s="46"/>
    </row>
    <row r="11" spans="2:32" ht="34.5" customHeight="1">
      <c r="B11" s="33">
        <v>7</v>
      </c>
      <c r="C11" s="17"/>
      <c r="D11" s="20"/>
      <c r="E11" s="59"/>
      <c r="F11" s="45"/>
      <c r="G11" s="56">
        <f t="shared" si="0"/>
        <v>0</v>
      </c>
      <c r="H11" s="57">
        <f t="shared" si="1"/>
        <v>0</v>
      </c>
      <c r="I11" s="44"/>
      <c r="J11" s="45"/>
      <c r="K11" s="45"/>
      <c r="L11" s="46"/>
      <c r="M11" s="44"/>
      <c r="N11" s="45"/>
      <c r="O11" s="56">
        <f t="shared" si="2"/>
        <v>12.266666666666666</v>
      </c>
      <c r="P11" s="45"/>
      <c r="Q11" s="46"/>
      <c r="R11" s="44"/>
      <c r="S11" s="45"/>
      <c r="T11" s="56">
        <f t="shared" si="3"/>
        <v>12.266666666666666</v>
      </c>
      <c r="U11" s="45"/>
      <c r="V11" s="46"/>
      <c r="W11" s="44"/>
      <c r="X11" s="45"/>
      <c r="Y11" s="56">
        <f t="shared" si="4"/>
        <v>12.266666666666666</v>
      </c>
      <c r="Z11" s="45"/>
      <c r="AA11" s="46"/>
      <c r="AB11" s="44"/>
      <c r="AC11" s="45"/>
      <c r="AD11" s="47"/>
      <c r="AE11" s="46"/>
    </row>
    <row r="12" spans="2:32" ht="34.5" customHeight="1" thickBot="1">
      <c r="B12" s="36">
        <v>8</v>
      </c>
      <c r="C12" s="21"/>
      <c r="D12" s="22"/>
      <c r="E12" s="60"/>
      <c r="F12" s="49"/>
      <c r="G12" s="63">
        <f t="shared" si="0"/>
        <v>0</v>
      </c>
      <c r="H12" s="64">
        <f t="shared" si="1"/>
        <v>0</v>
      </c>
      <c r="I12" s="48"/>
      <c r="J12" s="49"/>
      <c r="K12" s="49"/>
      <c r="L12" s="50"/>
      <c r="M12" s="48"/>
      <c r="N12" s="49"/>
      <c r="O12" s="63">
        <f t="shared" si="2"/>
        <v>12.266666666666666</v>
      </c>
      <c r="P12" s="49"/>
      <c r="Q12" s="50"/>
      <c r="R12" s="48"/>
      <c r="S12" s="49"/>
      <c r="T12" s="63">
        <f t="shared" si="3"/>
        <v>12.266666666666666</v>
      </c>
      <c r="U12" s="49"/>
      <c r="V12" s="50"/>
      <c r="W12" s="48"/>
      <c r="X12" s="49"/>
      <c r="Y12" s="63">
        <f t="shared" si="4"/>
        <v>12.266666666666666</v>
      </c>
      <c r="Z12" s="49"/>
      <c r="AA12" s="50"/>
      <c r="AB12" s="48"/>
      <c r="AC12" s="49"/>
      <c r="AD12" s="51"/>
      <c r="AE12" s="50"/>
    </row>
    <row r="16" spans="2:32" ht="16.149999999999999" thickBot="1"/>
    <row r="17" spans="2:15" ht="16.149999999999999" thickBot="1">
      <c r="B17" s="87" t="s">
        <v>94</v>
      </c>
      <c r="C17" s="88"/>
      <c r="D17" s="89"/>
      <c r="E17" s="90" t="s">
        <v>97</v>
      </c>
      <c r="F17" s="88"/>
      <c r="G17" s="89"/>
      <c r="M17" s="11"/>
    </row>
    <row r="18" spans="2:15">
      <c r="B18" s="65" t="s">
        <v>100</v>
      </c>
      <c r="C18" s="66">
        <v>160</v>
      </c>
      <c r="D18" s="67" t="s">
        <v>51</v>
      </c>
      <c r="E18" s="53" t="s">
        <v>98</v>
      </c>
      <c r="F18" s="61">
        <v>2</v>
      </c>
      <c r="G18" s="62" t="s">
        <v>51</v>
      </c>
      <c r="M18" s="11"/>
    </row>
    <row r="19" spans="2:15" ht="16.149999999999999" thickBot="1">
      <c r="B19" s="54" t="s">
        <v>96</v>
      </c>
      <c r="C19" s="9">
        <v>100</v>
      </c>
      <c r="D19" s="15" t="s">
        <v>51</v>
      </c>
      <c r="E19" s="55" t="s">
        <v>99</v>
      </c>
      <c r="F19" s="38">
        <v>2</v>
      </c>
      <c r="G19" s="16"/>
    </row>
    <row r="20" spans="2:15">
      <c r="B20" s="54" t="s">
        <v>95</v>
      </c>
      <c r="C20" s="9">
        <v>50</v>
      </c>
      <c r="D20" s="15" t="s">
        <v>51</v>
      </c>
    </row>
    <row r="21" spans="2:15">
      <c r="B21" s="54" t="s">
        <v>14</v>
      </c>
      <c r="C21" s="12">
        <f>((C20^2)*(PI()/4))*C19</f>
        <v>196349.54084936206</v>
      </c>
      <c r="D21" s="15" t="s">
        <v>53</v>
      </c>
    </row>
    <row r="22" spans="2:15" ht="16.149999999999999" thickBot="1">
      <c r="B22" s="55" t="s">
        <v>14</v>
      </c>
      <c r="C22" s="52">
        <f>C21/(10^3)</f>
        <v>196.34954084936206</v>
      </c>
      <c r="D22" s="16" t="s">
        <v>54</v>
      </c>
    </row>
    <row r="27" spans="2:15" ht="16.149999999999999" thickBot="1">
      <c r="I27" s="12"/>
    </row>
    <row r="28" spans="2:15" ht="16.149999999999999" customHeight="1" thickBot="1">
      <c r="B28" s="91" t="s">
        <v>101</v>
      </c>
      <c r="C28" s="92"/>
      <c r="D28" s="92"/>
      <c r="E28" s="92"/>
      <c r="F28" s="92"/>
      <c r="G28" s="92"/>
      <c r="H28" s="92"/>
      <c r="I28" s="93"/>
    </row>
    <row r="29" spans="2:15" s="72" customFormat="1" ht="38.35" customHeight="1">
      <c r="B29" s="74" t="s">
        <v>68</v>
      </c>
      <c r="C29" s="74" t="s">
        <v>63</v>
      </c>
      <c r="D29" s="74" t="s">
        <v>102</v>
      </c>
      <c r="E29" s="74" t="s">
        <v>103</v>
      </c>
      <c r="F29" s="74" t="s">
        <v>23</v>
      </c>
      <c r="G29" s="74" t="s">
        <v>105</v>
      </c>
      <c r="H29" s="74" t="s">
        <v>106</v>
      </c>
      <c r="I29" s="75" t="s">
        <v>104</v>
      </c>
      <c r="O29" s="73"/>
    </row>
    <row r="30" spans="2:15">
      <c r="B30" s="17">
        <v>22</v>
      </c>
      <c r="C30" s="17">
        <v>1.59</v>
      </c>
      <c r="D30" s="17">
        <v>300</v>
      </c>
      <c r="E30" s="17">
        <v>60</v>
      </c>
      <c r="F30" s="17">
        <v>18.649999999999999</v>
      </c>
      <c r="G30" s="17">
        <v>55.51</v>
      </c>
      <c r="H30" s="17">
        <v>46.12</v>
      </c>
      <c r="I30" s="76">
        <f>(G30-H30)/(H30-F30)</f>
        <v>0.34182744812522753</v>
      </c>
    </row>
    <row r="31" spans="2:15">
      <c r="B31" s="17"/>
      <c r="C31" s="17"/>
      <c r="D31" s="18"/>
      <c r="E31" s="18"/>
      <c r="F31" s="18">
        <v>16.600000000000001</v>
      </c>
      <c r="G31" s="18">
        <v>44.15</v>
      </c>
      <c r="H31" s="18">
        <v>37.07</v>
      </c>
      <c r="I31" s="76">
        <f t="shared" ref="I31:I32" si="5">(G31-H31)/(H31-F31)</f>
        <v>0.3458720078163165</v>
      </c>
      <c r="N31" s="13"/>
      <c r="O31" s="13"/>
    </row>
    <row r="32" spans="2:15">
      <c r="B32" s="17">
        <v>0</v>
      </c>
      <c r="C32" s="17"/>
      <c r="D32" s="17"/>
      <c r="E32" s="17"/>
      <c r="F32" s="17">
        <v>17.52</v>
      </c>
      <c r="G32" s="17">
        <v>51.97</v>
      </c>
      <c r="H32" s="17">
        <v>47.73</v>
      </c>
      <c r="I32" s="76">
        <f t="shared" si="5"/>
        <v>0.14035087719298253</v>
      </c>
    </row>
    <row r="33" spans="2:15">
      <c r="B33" s="17"/>
      <c r="C33" s="17"/>
      <c r="D33" s="17"/>
      <c r="E33" s="17"/>
      <c r="F33" s="17"/>
      <c r="G33" s="17"/>
      <c r="H33" s="17"/>
      <c r="I33" s="17"/>
    </row>
    <row r="34" spans="2:15">
      <c r="I34" s="12"/>
      <c r="O34" s="12"/>
    </row>
    <row r="35" spans="2:15">
      <c r="B35" s="77" t="s">
        <v>103</v>
      </c>
      <c r="C35" s="77" t="s">
        <v>102</v>
      </c>
      <c r="D35" s="77" t="s">
        <v>107</v>
      </c>
      <c r="E35" s="17" t="s">
        <v>108</v>
      </c>
    </row>
    <row r="36" spans="2:15">
      <c r="B36" s="17">
        <f>E30</f>
        <v>60</v>
      </c>
      <c r="C36" s="17">
        <f>D30</f>
        <v>300</v>
      </c>
      <c r="D36" s="78">
        <f>AVERAGE(I30:I31)</f>
        <v>0.34384972797077201</v>
      </c>
      <c r="E36" s="78">
        <f>D36-D37</f>
        <v>0.203849727970772</v>
      </c>
    </row>
    <row r="37" spans="2:15">
      <c r="B37" s="17">
        <v>0</v>
      </c>
      <c r="C37" s="17">
        <v>300</v>
      </c>
      <c r="D37" s="79">
        <v>0.14000000000000001</v>
      </c>
      <c r="E37" s="18" t="s">
        <v>109</v>
      </c>
    </row>
    <row r="38" spans="2:15">
      <c r="B38" s="17">
        <v>20</v>
      </c>
      <c r="C38" s="17">
        <v>310</v>
      </c>
      <c r="D38" s="79">
        <f>B38*E36/B36</f>
        <v>6.7949909323590671E-2</v>
      </c>
      <c r="E38" s="80">
        <f>D38+D37</f>
        <v>0.2079499093235907</v>
      </c>
    </row>
  </sheetData>
  <mergeCells count="10">
    <mergeCell ref="B28:I28"/>
    <mergeCell ref="B2:D2"/>
    <mergeCell ref="E2:H2"/>
    <mergeCell ref="I2:L2"/>
    <mergeCell ref="M2:Q2"/>
    <mergeCell ref="R2:V2"/>
    <mergeCell ref="W2:AA2"/>
    <mergeCell ref="AB2:AE2"/>
    <mergeCell ref="B17:D17"/>
    <mergeCell ref="E17:G17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CD5B-308F-2F41-BE1D-AFFF09ADC79C}">
  <dimension ref="B1:AL32"/>
  <sheetViews>
    <sheetView topLeftCell="B16" zoomScale="125" workbookViewId="0">
      <selection activeCell="M7" sqref="M7"/>
    </sheetView>
  </sheetViews>
  <sheetFormatPr defaultColWidth="11" defaultRowHeight="15.75"/>
  <cols>
    <col min="2" max="2" width="21" bestFit="1" customWidth="1"/>
    <col min="7" max="7" width="20.6875" bestFit="1" customWidth="1"/>
    <col min="8" max="8" width="15.1875" bestFit="1" customWidth="1"/>
    <col min="9" max="9" width="18.1875" bestFit="1" customWidth="1"/>
    <col min="10" max="10" width="14.6875" bestFit="1" customWidth="1"/>
    <col min="11" max="11" width="15.8125" bestFit="1" customWidth="1"/>
    <col min="12" max="14" width="18.1875" bestFit="1" customWidth="1"/>
    <col min="15" max="15" width="14.6875" bestFit="1" customWidth="1"/>
    <col min="16" max="17" width="13.8125" customWidth="1"/>
    <col min="18" max="18" width="18.6875" bestFit="1" customWidth="1"/>
    <col min="30" max="30" width="13.6875" bestFit="1" customWidth="1"/>
    <col min="31" max="31" width="18.5" bestFit="1" customWidth="1"/>
  </cols>
  <sheetData>
    <row r="1" spans="2:38">
      <c r="W1" s="100" t="s">
        <v>35</v>
      </c>
      <c r="X1" s="100"/>
      <c r="Y1" s="100"/>
      <c r="Z1" s="100"/>
      <c r="AA1" s="100"/>
      <c r="AB1" s="100"/>
      <c r="AC1" s="100"/>
      <c r="AG1" s="100" t="s">
        <v>44</v>
      </c>
      <c r="AH1" s="100"/>
      <c r="AI1" s="100"/>
      <c r="AJ1" s="100"/>
      <c r="AK1" s="100"/>
    </row>
    <row r="2" spans="2:38">
      <c r="B2" s="1" t="s">
        <v>0</v>
      </c>
      <c r="C2" t="s">
        <v>1</v>
      </c>
      <c r="G2" s="3" t="s">
        <v>18</v>
      </c>
      <c r="H2" s="3" t="s">
        <v>15</v>
      </c>
      <c r="I2" s="3" t="s">
        <v>19</v>
      </c>
      <c r="J2" s="3" t="s">
        <v>20</v>
      </c>
      <c r="K2" s="4" t="s">
        <v>22</v>
      </c>
      <c r="L2" s="3" t="s">
        <v>26</v>
      </c>
      <c r="M2" s="3" t="s">
        <v>23</v>
      </c>
      <c r="N2" s="3" t="s">
        <v>24</v>
      </c>
      <c r="O2" s="3" t="s">
        <v>25</v>
      </c>
      <c r="P2" s="4" t="s">
        <v>21</v>
      </c>
      <c r="Q2" s="4" t="s">
        <v>46</v>
      </c>
      <c r="R2" s="3" t="s">
        <v>16</v>
      </c>
      <c r="S2" s="3" t="s">
        <v>17</v>
      </c>
      <c r="T2" s="4" t="s">
        <v>27</v>
      </c>
      <c r="U2" s="4" t="s">
        <v>28</v>
      </c>
      <c r="W2" t="s">
        <v>30</v>
      </c>
      <c r="X2" t="s">
        <v>31</v>
      </c>
      <c r="Y2" t="s">
        <v>31</v>
      </c>
      <c r="Z2" t="s">
        <v>32</v>
      </c>
      <c r="AA2" t="s">
        <v>33</v>
      </c>
      <c r="AB2" t="s">
        <v>34</v>
      </c>
      <c r="AC2" t="s">
        <v>36</v>
      </c>
      <c r="AD2" t="s">
        <v>37</v>
      </c>
      <c r="AE2" s="5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s="5" t="s">
        <v>45</v>
      </c>
    </row>
    <row r="3" spans="2:38">
      <c r="B3" s="2">
        <v>9662162162162160</v>
      </c>
      <c r="C3" t="s">
        <v>2</v>
      </c>
      <c r="Q3" s="3" t="s">
        <v>47</v>
      </c>
      <c r="R3" s="3" t="s">
        <v>48</v>
      </c>
      <c r="S3" s="3">
        <v>2.68</v>
      </c>
      <c r="U3" t="s">
        <v>29</v>
      </c>
    </row>
    <row r="4" spans="2:38">
      <c r="B4" s="2">
        <v>3.04739814441307E+16</v>
      </c>
      <c r="C4" t="s">
        <v>3</v>
      </c>
    </row>
    <row r="5" spans="2:38">
      <c r="B5" s="2">
        <v>411506655909641</v>
      </c>
      <c r="C5" t="s">
        <v>4</v>
      </c>
    </row>
    <row r="6" spans="2:38">
      <c r="B6" s="2">
        <v>468288624445341</v>
      </c>
      <c r="C6" t="s">
        <v>5</v>
      </c>
    </row>
    <row r="7" spans="2:38">
      <c r="B7" s="2">
        <v>5251008471157720</v>
      </c>
      <c r="C7" t="s">
        <v>6</v>
      </c>
    </row>
    <row r="8" spans="2:38">
      <c r="B8" s="2">
        <v>5819836627672450</v>
      </c>
      <c r="C8" t="s">
        <v>7</v>
      </c>
    </row>
    <row r="9" spans="2:38">
      <c r="B9" s="2">
        <v>6958098023396530</v>
      </c>
      <c r="C9" t="s">
        <v>8</v>
      </c>
    </row>
    <row r="10" spans="2:38">
      <c r="B10" s="2">
        <v>7567769261799110</v>
      </c>
      <c r="C10" t="s">
        <v>9</v>
      </c>
    </row>
    <row r="11" spans="2:38">
      <c r="B11" s="2">
        <v>8095653489310200</v>
      </c>
      <c r="C11" t="s">
        <v>10</v>
      </c>
    </row>
    <row r="12" spans="2:38">
      <c r="B12" s="2">
        <v>8650060508269460</v>
      </c>
      <c r="C12" t="s">
        <v>11</v>
      </c>
    </row>
    <row r="13" spans="2:38">
      <c r="B13" s="2">
        <v>9947559499798300</v>
      </c>
      <c r="C13" t="s">
        <v>12</v>
      </c>
    </row>
    <row r="16" spans="2:38">
      <c r="G16">
        <v>288.14</v>
      </c>
      <c r="H16">
        <f>G16-G17</f>
        <v>54.019999999999982</v>
      </c>
      <c r="I16">
        <f>G17-G18</f>
        <v>159.71</v>
      </c>
      <c r="J16" s="6">
        <f>H16/I16</f>
        <v>0.3382380564773651</v>
      </c>
    </row>
    <row r="17" spans="7:13">
      <c r="G17">
        <f>234.12</f>
        <v>234.12</v>
      </c>
    </row>
    <row r="18" spans="7:13">
      <c r="G18">
        <v>74.41</v>
      </c>
    </row>
    <row r="22" spans="7:13">
      <c r="G22" t="s">
        <v>49</v>
      </c>
      <c r="K22" t="s">
        <v>49</v>
      </c>
    </row>
    <row r="23" spans="7:13">
      <c r="G23" t="s">
        <v>50</v>
      </c>
      <c r="H23">
        <v>100</v>
      </c>
      <c r="I23" t="s">
        <v>51</v>
      </c>
      <c r="K23" t="s">
        <v>50</v>
      </c>
      <c r="L23">
        <v>100</v>
      </c>
      <c r="M23" t="s">
        <v>51</v>
      </c>
    </row>
    <row r="24" spans="7:13">
      <c r="G24" t="s">
        <v>52</v>
      </c>
      <c r="H24">
        <v>50</v>
      </c>
      <c r="I24" t="s">
        <v>51</v>
      </c>
      <c r="K24" t="s">
        <v>52</v>
      </c>
      <c r="L24">
        <v>50</v>
      </c>
      <c r="M24" t="s">
        <v>51</v>
      </c>
    </row>
    <row r="25" spans="7:13">
      <c r="H25" s="7">
        <f>((H24^2)*(PI()/4))*H23</f>
        <v>196349.54084936206</v>
      </c>
      <c r="I25" t="s">
        <v>53</v>
      </c>
      <c r="L25" s="7">
        <f>((L24^2)*(PI()/4))*L23</f>
        <v>196349.54084936206</v>
      </c>
      <c r="M25" t="s">
        <v>53</v>
      </c>
    </row>
    <row r="26" spans="7:13">
      <c r="G26" t="s">
        <v>14</v>
      </c>
      <c r="H26" s="7">
        <f>H25/(10^3)</f>
        <v>196.34954084936206</v>
      </c>
      <c r="I26" t="s">
        <v>54</v>
      </c>
      <c r="K26" t="s">
        <v>14</v>
      </c>
      <c r="L26" s="7">
        <f>L25/(10^3)</f>
        <v>196.34954084936206</v>
      </c>
      <c r="M26" t="s">
        <v>54</v>
      </c>
    </row>
    <row r="27" spans="7:13">
      <c r="H27" s="7"/>
      <c r="L27" s="7"/>
    </row>
    <row r="29" spans="7:13">
      <c r="G29" s="8" t="s">
        <v>57</v>
      </c>
      <c r="H29" s="8">
        <v>1.59</v>
      </c>
      <c r="K29" s="8" t="s">
        <v>57</v>
      </c>
      <c r="L29" s="8">
        <v>1.59</v>
      </c>
    </row>
    <row r="30" spans="7:13">
      <c r="G30" t="s">
        <v>13</v>
      </c>
      <c r="H30">
        <f>H29*H26</f>
        <v>312.19576995048567</v>
      </c>
      <c r="I30">
        <v>300</v>
      </c>
      <c r="K30" t="s">
        <v>13</v>
      </c>
      <c r="L30">
        <f>L29*L26</f>
        <v>312.19576995048567</v>
      </c>
      <c r="M30">
        <v>300</v>
      </c>
    </row>
    <row r="31" spans="7:13">
      <c r="G31" t="s">
        <v>56</v>
      </c>
      <c r="H31">
        <v>0.22</v>
      </c>
      <c r="I31">
        <v>0.2</v>
      </c>
      <c r="K31" t="s">
        <v>56</v>
      </c>
      <c r="L31">
        <v>0.22</v>
      </c>
      <c r="M31">
        <v>0.2</v>
      </c>
    </row>
    <row r="32" spans="7:13">
      <c r="G32" t="s">
        <v>55</v>
      </c>
      <c r="H32" s="7">
        <f>H30*H31</f>
        <v>68.683069389106848</v>
      </c>
      <c r="I32">
        <f>I30*I31</f>
        <v>60</v>
      </c>
      <c r="K32" t="s">
        <v>55</v>
      </c>
      <c r="L32" s="7">
        <f>L30*L31</f>
        <v>68.683069389106848</v>
      </c>
      <c r="M32">
        <f>M30*M31</f>
        <v>60</v>
      </c>
    </row>
  </sheetData>
  <mergeCells count="2">
    <mergeCell ref="W1:AC1"/>
    <mergeCell ref="AG1:A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ObtencionProbetas</vt:lpstr>
      <vt:lpstr>MedicionesEquipos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Torres Constante</dc:creator>
  <cp:lastModifiedBy>Pablo Sebastián Alvarado Sarmiento</cp:lastModifiedBy>
  <dcterms:created xsi:type="dcterms:W3CDTF">2023-09-22T16:00:48Z</dcterms:created>
  <dcterms:modified xsi:type="dcterms:W3CDTF">2023-09-25T15:31:27Z</dcterms:modified>
</cp:coreProperties>
</file>