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josetorresconstante/Desktop/F:W_Limo/"/>
    </mc:Choice>
  </mc:AlternateContent>
  <xr:revisionPtr revIDLastSave="0" documentId="13_ncr:1_{48B5E186-74C0-6145-9DBF-9CF2268A1001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F1" sheetId="2" r:id="rId2"/>
    <sheet name="F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2" l="1"/>
  <c r="Y3" i="2"/>
  <c r="Y4" i="2"/>
  <c r="Y5" i="2"/>
  <c r="Y6" i="2"/>
  <c r="Y8" i="2"/>
  <c r="Y9" i="2"/>
  <c r="Y10" i="2"/>
  <c r="Y11" i="2"/>
  <c r="Y12" i="2"/>
  <c r="Y13" i="2"/>
  <c r="Y14" i="2"/>
  <c r="Y2" i="2"/>
  <c r="Y14" i="3" l="1"/>
  <c r="Y13" i="3"/>
  <c r="Y12" i="3"/>
  <c r="Y11" i="3"/>
  <c r="Y10" i="3"/>
  <c r="Y9" i="3"/>
  <c r="Y8" i="3"/>
  <c r="Y7" i="3"/>
  <c r="Y6" i="3"/>
  <c r="Y5" i="3"/>
  <c r="Y4" i="3"/>
  <c r="Y3" i="3"/>
  <c r="Y2" i="3"/>
  <c r="M4" i="3"/>
  <c r="M3" i="3"/>
  <c r="M2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D143" i="3"/>
  <c r="D142" i="3"/>
  <c r="D141" i="3"/>
  <c r="D140" i="3"/>
  <c r="D139" i="3"/>
  <c r="D138" i="3"/>
  <c r="D136" i="3"/>
  <c r="D135" i="3"/>
  <c r="D134" i="3"/>
  <c r="D133" i="3"/>
  <c r="D132" i="3"/>
  <c r="D131" i="3"/>
  <c r="D130" i="3"/>
  <c r="D129" i="3"/>
  <c r="D128" i="3"/>
  <c r="D127" i="3"/>
  <c r="D125" i="3"/>
  <c r="D124" i="3"/>
  <c r="D123" i="3"/>
  <c r="D122" i="3"/>
  <c r="D121" i="3"/>
  <c r="D120" i="3"/>
  <c r="D119" i="3"/>
  <c r="D118" i="3"/>
  <c r="D117" i="3"/>
  <c r="D116" i="3"/>
  <c r="D115" i="3"/>
  <c r="D113" i="3"/>
  <c r="D112" i="3"/>
  <c r="D111" i="3"/>
  <c r="D110" i="3"/>
  <c r="D109" i="3"/>
  <c r="D108" i="3"/>
  <c r="D107" i="3"/>
  <c r="D106" i="3"/>
  <c r="D104" i="3"/>
  <c r="D103" i="3"/>
  <c r="D102" i="3"/>
  <c r="D101" i="3"/>
  <c r="D100" i="3"/>
  <c r="D99" i="3"/>
  <c r="D97" i="3"/>
  <c r="D96" i="3"/>
  <c r="D95" i="3"/>
  <c r="D94" i="3"/>
  <c r="F94" i="3" s="1"/>
  <c r="N15" i="3" s="1"/>
  <c r="D92" i="3"/>
  <c r="D91" i="3"/>
  <c r="D90" i="3"/>
  <c r="D89" i="3"/>
  <c r="D88" i="3"/>
  <c r="D86" i="3"/>
  <c r="D85" i="3"/>
  <c r="D84" i="3"/>
  <c r="D83" i="3"/>
  <c r="D81" i="3"/>
  <c r="D80" i="3"/>
  <c r="D79" i="3"/>
  <c r="D77" i="3"/>
  <c r="D76" i="3"/>
  <c r="D75" i="3"/>
  <c r="D74" i="3"/>
  <c r="D73" i="3"/>
  <c r="D72" i="3"/>
  <c r="D70" i="3"/>
  <c r="D69" i="3"/>
  <c r="D68" i="3"/>
  <c r="D67" i="3"/>
  <c r="D66" i="3"/>
  <c r="D65" i="3"/>
  <c r="D64" i="3"/>
  <c r="D63" i="3"/>
  <c r="D61" i="3"/>
  <c r="D60" i="3"/>
  <c r="D59" i="3"/>
  <c r="D58" i="3"/>
  <c r="D57" i="3"/>
  <c r="D56" i="3"/>
  <c r="D54" i="3"/>
  <c r="D53" i="3"/>
  <c r="D52" i="3"/>
  <c r="D51" i="3"/>
  <c r="D50" i="3"/>
  <c r="D49" i="3"/>
  <c r="D48" i="3"/>
  <c r="D47" i="3"/>
  <c r="D46" i="3"/>
  <c r="D44" i="3"/>
  <c r="D43" i="3"/>
  <c r="D42" i="3"/>
  <c r="D41" i="3"/>
  <c r="D40" i="3"/>
  <c r="D39" i="3"/>
  <c r="D38" i="3"/>
  <c r="D36" i="3"/>
  <c r="D35" i="3"/>
  <c r="D34" i="3"/>
  <c r="D33" i="3"/>
  <c r="D32" i="3"/>
  <c r="D31" i="3"/>
  <c r="D30" i="3"/>
  <c r="D28" i="3"/>
  <c r="D27" i="3"/>
  <c r="D26" i="3"/>
  <c r="D25" i="3"/>
  <c r="D24" i="3"/>
  <c r="D23" i="3"/>
  <c r="D22" i="3"/>
  <c r="D20" i="3"/>
  <c r="L19" i="3"/>
  <c r="J19" i="3"/>
  <c r="D19" i="3"/>
  <c r="L18" i="3"/>
  <c r="J18" i="3"/>
  <c r="D18" i="3"/>
  <c r="L17" i="3"/>
  <c r="J17" i="3"/>
  <c r="D17" i="3"/>
  <c r="L16" i="3"/>
  <c r="J16" i="3"/>
  <c r="D16" i="3"/>
  <c r="L15" i="3"/>
  <c r="J15" i="3"/>
  <c r="D15" i="3"/>
  <c r="L14" i="3"/>
  <c r="J14" i="3"/>
  <c r="D14" i="3"/>
  <c r="L13" i="3"/>
  <c r="J13" i="3"/>
  <c r="L12" i="3"/>
  <c r="J12" i="3"/>
  <c r="D12" i="3"/>
  <c r="L11" i="3"/>
  <c r="J11" i="3"/>
  <c r="D11" i="3"/>
  <c r="L10" i="3"/>
  <c r="J10" i="3"/>
  <c r="D10" i="3"/>
  <c r="L9" i="3"/>
  <c r="J9" i="3"/>
  <c r="D9" i="3"/>
  <c r="L8" i="3"/>
  <c r="J8" i="3"/>
  <c r="D8" i="3"/>
  <c r="L7" i="3"/>
  <c r="J7" i="3"/>
  <c r="L6" i="3"/>
  <c r="J6" i="3"/>
  <c r="D6" i="3"/>
  <c r="L5" i="3"/>
  <c r="J5" i="3"/>
  <c r="D5" i="3"/>
  <c r="L4" i="3"/>
  <c r="J4" i="3"/>
  <c r="D4" i="3"/>
  <c r="L3" i="3"/>
  <c r="J3" i="3"/>
  <c r="D3" i="3"/>
  <c r="L2" i="3"/>
  <c r="J2" i="3"/>
  <c r="D2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A3" i="2" s="1"/>
  <c r="D139" i="2"/>
  <c r="D140" i="2"/>
  <c r="D141" i="2"/>
  <c r="D142" i="2"/>
  <c r="D143" i="2"/>
  <c r="D128" i="2"/>
  <c r="D129" i="2"/>
  <c r="D130" i="2"/>
  <c r="D131" i="2"/>
  <c r="D132" i="2"/>
  <c r="D133" i="2"/>
  <c r="D134" i="2"/>
  <c r="D135" i="2"/>
  <c r="D136" i="2"/>
  <c r="D127" i="2"/>
  <c r="D116" i="2"/>
  <c r="D117" i="2"/>
  <c r="D118" i="2"/>
  <c r="D119" i="2"/>
  <c r="D120" i="2"/>
  <c r="D121" i="2"/>
  <c r="D122" i="2"/>
  <c r="D123" i="2"/>
  <c r="D124" i="2"/>
  <c r="D125" i="2"/>
  <c r="D107" i="2"/>
  <c r="D108" i="2"/>
  <c r="D109" i="2"/>
  <c r="D110" i="2"/>
  <c r="D111" i="2"/>
  <c r="D112" i="2"/>
  <c r="D113" i="2"/>
  <c r="D100" i="2"/>
  <c r="D101" i="2"/>
  <c r="D102" i="2"/>
  <c r="D103" i="2"/>
  <c r="D104" i="2"/>
  <c r="D94" i="2"/>
  <c r="D88" i="2"/>
  <c r="D84" i="2"/>
  <c r="D85" i="2"/>
  <c r="D86" i="2"/>
  <c r="D73" i="2"/>
  <c r="D74" i="2"/>
  <c r="D75" i="2"/>
  <c r="D76" i="2"/>
  <c r="D77" i="2"/>
  <c r="D64" i="2"/>
  <c r="D65" i="2"/>
  <c r="D66" i="2"/>
  <c r="D67" i="2"/>
  <c r="D68" i="2"/>
  <c r="D69" i="2"/>
  <c r="D70" i="2"/>
  <c r="D63" i="2"/>
  <c r="D57" i="2"/>
  <c r="D58" i="2"/>
  <c r="D59" i="2"/>
  <c r="D60" i="2"/>
  <c r="D61" i="2"/>
  <c r="D56" i="2"/>
  <c r="D47" i="2"/>
  <c r="D48" i="2"/>
  <c r="D49" i="2"/>
  <c r="D50" i="2"/>
  <c r="D51" i="2"/>
  <c r="D52" i="2"/>
  <c r="D53" i="2"/>
  <c r="D54" i="2"/>
  <c r="D46" i="2"/>
  <c r="D44" i="2"/>
  <c r="D39" i="2"/>
  <c r="D40" i="2"/>
  <c r="D41" i="2"/>
  <c r="D42" i="2"/>
  <c r="D43" i="2"/>
  <c r="D31" i="2"/>
  <c r="D32" i="2"/>
  <c r="D33" i="2"/>
  <c r="D34" i="2"/>
  <c r="D35" i="2"/>
  <c r="D36" i="2"/>
  <c r="D24" i="2"/>
  <c r="D25" i="2"/>
  <c r="D26" i="2"/>
  <c r="D27" i="2"/>
  <c r="D28" i="2"/>
  <c r="D22" i="2"/>
  <c r="D20" i="2"/>
  <c r="D15" i="2"/>
  <c r="D16" i="2"/>
  <c r="D17" i="2"/>
  <c r="D18" i="2"/>
  <c r="D19" i="2"/>
  <c r="D9" i="2"/>
  <c r="D10" i="2"/>
  <c r="D11" i="2"/>
  <c r="D12" i="2"/>
  <c r="D3" i="2"/>
  <c r="D4" i="2"/>
  <c r="D5" i="2"/>
  <c r="D6" i="2"/>
  <c r="D2" i="2"/>
  <c r="D138" i="2"/>
  <c r="D115" i="2"/>
  <c r="D106" i="2"/>
  <c r="D99" i="2"/>
  <c r="D97" i="2"/>
  <c r="D96" i="2"/>
  <c r="D95" i="2"/>
  <c r="D92" i="2"/>
  <c r="D91" i="2"/>
  <c r="D90" i="2"/>
  <c r="D89" i="2"/>
  <c r="D83" i="2"/>
  <c r="D81" i="2"/>
  <c r="D80" i="2"/>
  <c r="D79" i="2"/>
  <c r="D72" i="2"/>
  <c r="D38" i="2"/>
  <c r="D30" i="2"/>
  <c r="D23" i="2"/>
  <c r="D14" i="2"/>
  <c r="D8" i="2"/>
  <c r="AA10" i="2" l="1"/>
  <c r="AA6" i="2"/>
  <c r="AA14" i="2"/>
  <c r="AA2" i="2"/>
  <c r="AA11" i="2"/>
  <c r="AA9" i="2"/>
  <c r="AA8" i="2"/>
  <c r="AA7" i="2"/>
  <c r="AA13" i="2"/>
  <c r="AA5" i="2"/>
  <c r="AA12" i="2"/>
  <c r="AA4" i="2"/>
  <c r="E8" i="2"/>
  <c r="K3" i="2" s="1"/>
  <c r="E83" i="2"/>
  <c r="K13" i="2" s="1"/>
  <c r="F38" i="3"/>
  <c r="N7" i="3" s="1"/>
  <c r="F83" i="3"/>
  <c r="N13" i="3" s="1"/>
  <c r="E8" i="3"/>
  <c r="K3" i="3" s="1"/>
  <c r="F127" i="3"/>
  <c r="N19" i="3" s="1"/>
  <c r="F138" i="3"/>
  <c r="E56" i="3"/>
  <c r="K9" i="3" s="1"/>
  <c r="F106" i="3"/>
  <c r="N17" i="3" s="1"/>
  <c r="E2" i="3"/>
  <c r="K2" i="3" s="1"/>
  <c r="F30" i="3"/>
  <c r="N6" i="3" s="1"/>
  <c r="F14" i="3"/>
  <c r="N4" i="3" s="1"/>
  <c r="E22" i="3"/>
  <c r="K5" i="3" s="1"/>
  <c r="F8" i="3"/>
  <c r="N3" i="3" s="1"/>
  <c r="E30" i="3"/>
  <c r="K6" i="3" s="1"/>
  <c r="F72" i="3"/>
  <c r="N11" i="3" s="1"/>
  <c r="F99" i="3"/>
  <c r="N16" i="3" s="1"/>
  <c r="E79" i="3"/>
  <c r="K12" i="3" s="1"/>
  <c r="E83" i="3"/>
  <c r="K13" i="3" s="1"/>
  <c r="E106" i="3"/>
  <c r="K17" i="3" s="1"/>
  <c r="F115" i="3"/>
  <c r="N18" i="3" s="1"/>
  <c r="E14" i="3"/>
  <c r="K4" i="3" s="1"/>
  <c r="F22" i="3"/>
  <c r="N5" i="3" s="1"/>
  <c r="F46" i="3"/>
  <c r="N8" i="3" s="1"/>
  <c r="F63" i="3"/>
  <c r="N10" i="3" s="1"/>
  <c r="F79" i="3"/>
  <c r="N12" i="3" s="1"/>
  <c r="F88" i="3"/>
  <c r="N14" i="3" s="1"/>
  <c r="F56" i="3"/>
  <c r="N9" i="3" s="1"/>
  <c r="E63" i="3"/>
  <c r="K10" i="3" s="1"/>
  <c r="E72" i="3"/>
  <c r="K11" i="3" s="1"/>
  <c r="E99" i="3"/>
  <c r="K16" i="3" s="1"/>
  <c r="F2" i="3"/>
  <c r="N2" i="3" s="1"/>
  <c r="E38" i="3"/>
  <c r="K7" i="3" s="1"/>
  <c r="E94" i="3"/>
  <c r="K15" i="3" s="1"/>
  <c r="E115" i="3"/>
  <c r="K18" i="3" s="1"/>
  <c r="E46" i="3"/>
  <c r="K8" i="3" s="1"/>
  <c r="E88" i="3"/>
  <c r="K14" i="3" s="1"/>
  <c r="E138" i="3"/>
  <c r="E127" i="3"/>
  <c r="K19" i="3" s="1"/>
  <c r="F115" i="2"/>
  <c r="N18" i="2" s="1"/>
  <c r="E79" i="2"/>
  <c r="K12" i="2" s="1"/>
  <c r="F46" i="2"/>
  <c r="N8" i="2" s="1"/>
  <c r="F94" i="2"/>
  <c r="N15" i="2" s="1"/>
  <c r="F14" i="2"/>
  <c r="N4" i="2" s="1"/>
  <c r="F56" i="2"/>
  <c r="N9" i="2" s="1"/>
  <c r="F83" i="2"/>
  <c r="N13" i="2" s="1"/>
  <c r="F79" i="2"/>
  <c r="N12" i="2" s="1"/>
  <c r="E94" i="2"/>
  <c r="K15" i="2" s="1"/>
  <c r="F138" i="2"/>
  <c r="F30" i="2"/>
  <c r="N6" i="2" s="1"/>
  <c r="E115" i="2"/>
  <c r="K18" i="2" s="1"/>
  <c r="F38" i="2"/>
  <c r="N7" i="2" s="1"/>
  <c r="E56" i="2"/>
  <c r="K9" i="2" s="1"/>
  <c r="F63" i="2"/>
  <c r="N10" i="2" s="1"/>
  <c r="E138" i="2"/>
  <c r="E14" i="2"/>
  <c r="K4" i="2" s="1"/>
  <c r="F22" i="2"/>
  <c r="N5" i="2" s="1"/>
  <c r="E22" i="2"/>
  <c r="K5" i="2" s="1"/>
  <c r="E30" i="2"/>
  <c r="K6" i="2" s="1"/>
  <c r="F99" i="2"/>
  <c r="N16" i="2" s="1"/>
  <c r="E106" i="2"/>
  <c r="K17" i="2" s="1"/>
  <c r="F106" i="2"/>
  <c r="N17" i="2" s="1"/>
  <c r="F72" i="2"/>
  <c r="N11" i="2" s="1"/>
  <c r="F2" i="2"/>
  <c r="N2" i="2" s="1"/>
  <c r="E63" i="2"/>
  <c r="K10" i="2" s="1"/>
  <c r="F88" i="2"/>
  <c r="N14" i="2" s="1"/>
  <c r="F127" i="2"/>
  <c r="N19" i="2" s="1"/>
  <c r="E88" i="2"/>
  <c r="K14" i="2" s="1"/>
  <c r="E38" i="2"/>
  <c r="K7" i="2" s="1"/>
  <c r="E46" i="2"/>
  <c r="K8" i="2" s="1"/>
  <c r="E99" i="2"/>
  <c r="K16" i="2" s="1"/>
  <c r="E2" i="2"/>
  <c r="K2" i="2" s="1"/>
  <c r="E72" i="2"/>
  <c r="K11" i="2" s="1"/>
  <c r="E127" i="2"/>
  <c r="K19" i="2" s="1"/>
  <c r="F8" i="2"/>
  <c r="N3" i="2" s="1"/>
</calcChain>
</file>

<file path=xl/sharedStrings.xml><?xml version="1.0" encoding="utf-8"?>
<sst xmlns="http://schemas.openxmlformats.org/spreadsheetml/2006/main" count="503" uniqueCount="61">
  <si>
    <t>Filename</t>
  </si>
  <si>
    <t>L_M1_EST.mat</t>
  </si>
  <si>
    <t>---</t>
  </si>
  <si>
    <t>L_M1_EST_#2.mat</t>
  </si>
  <si>
    <t>---</t>
  </si>
  <si>
    <t>L_M1_MOD_56.mat</t>
  </si>
  <si>
    <t>---</t>
  </si>
  <si>
    <t>L_M2_EST.mat</t>
  </si>
  <si>
    <t>---</t>
  </si>
  <si>
    <t>L_M2_MOD_56.mat</t>
  </si>
  <si>
    <t>---</t>
  </si>
  <si>
    <t>L_M3_EST.mat</t>
  </si>
  <si>
    <t>---</t>
  </si>
  <si>
    <t>L_M3_MOD_56.mat</t>
  </si>
  <si>
    <t>---</t>
  </si>
  <si>
    <t>L_M4_EST.mat</t>
  </si>
  <si>
    <t>---</t>
  </si>
  <si>
    <t>L_M4_MOD_56.mat</t>
  </si>
  <si>
    <t>---</t>
  </si>
  <si>
    <t>L_M5_2_EST.mat</t>
  </si>
  <si>
    <t>---</t>
  </si>
  <si>
    <t>L_M5_MOD#2.mat</t>
  </si>
  <si>
    <t>---</t>
  </si>
  <si>
    <t>L_M5_MOD#3.mat</t>
  </si>
  <si>
    <t>---</t>
  </si>
  <si>
    <t>L_M5_MOD.mat</t>
  </si>
  <si>
    <t>---</t>
  </si>
  <si>
    <t>L_M6_MOD#2.mat</t>
  </si>
  <si>
    <t>---</t>
  </si>
  <si>
    <t>L_M6_MOD.mat</t>
  </si>
  <si>
    <t>---</t>
  </si>
  <si>
    <t>L_M7_MOD.mat</t>
  </si>
  <si>
    <t>---</t>
  </si>
  <si>
    <t>L_M8_MOD#2.mat</t>
  </si>
  <si>
    <t>---</t>
  </si>
  <si>
    <t>L_M8_MOD.mat</t>
  </si>
  <si>
    <t>---</t>
  </si>
  <si>
    <t>MedicionesSSWJuanFernando_Salesiana.mat</t>
  </si>
  <si>
    <t>---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</si>
  <si>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</si>
  <si>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</si>
  <si>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</si>
  <si>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</si>
  <si>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</si>
  <si>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</si>
  <si>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</si>
  <si>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</si>
  <si>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</si>
  <si>
    <t>F1</t>
  </si>
  <si>
    <t>F1 (prom)</t>
  </si>
  <si>
    <t>F1 (desvest)</t>
  </si>
  <si>
    <t>Humedad (%)</t>
  </si>
  <si>
    <t>name</t>
  </si>
  <si>
    <t>W</t>
  </si>
  <si>
    <t>Desvest</t>
  </si>
  <si>
    <t>F2</t>
  </si>
  <si>
    <t>F2 (prom)</t>
  </si>
  <si>
    <t>F2 (desvest)</t>
  </si>
  <si>
    <t>Saturación (%)</t>
  </si>
  <si>
    <t>Wopt</t>
  </si>
  <si>
    <t>W/opt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</si>
</sst>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1"/>
  </cellStyleXfs>
  <cellXfs count="8">
    <xf numFmtId="0" fontId="0" fillId="0" borderId="0" xfId="0"/>
    <xf numFmtId="0" fontId="1" fillId="0" borderId="1" xfId="2" applyAlignment="1">
      <alignment horizontal="center"/>
    </xf>
    <xf numFmtId="0" fontId="1" fillId="0" borderId="1" xfId="2"/>
    <xf numFmtId="10" fontId="1" fillId="0" borderId="1" xfId="2" applyNumberFormat="1" applyAlignment="1">
      <alignment horizontal="center"/>
    </xf>
    <xf numFmtId="10" fontId="1" fillId="0" borderId="1" xfId="2" applyNumberFormat="1"/>
    <xf numFmtId="10" fontId="1" fillId="0" borderId="1" xfId="1" applyNumberFormat="1" applyFill="1" applyBorder="1" applyAlignment="1">
      <alignment horizontal="center"/>
    </xf>
    <xf numFmtId="10" fontId="1" fillId="0" borderId="1" xfId="1" applyNumberFormat="1" applyBorder="1"/>
    <xf numFmtId="10" fontId="0" fillId="2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C91BF03B-6D77-9D48-B5BC-CC0590192906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'F1'!$N$2:$N$24</c:f>
                <c:numCache>
                  <c:formatCode>General</c:formatCode>
                  <c:ptCount val="23"/>
                  <c:pt idx="0">
                    <c:v>7.6548246451438123E-2</c:v>
                  </c:pt>
                  <c:pt idx="1">
                    <c:v>0.17811123062637685</c:v>
                  </c:pt>
                  <c:pt idx="2">
                    <c:v>0.26167701450442665</c:v>
                  </c:pt>
                  <c:pt idx="3">
                    <c:v>0.64273794050824717</c:v>
                  </c:pt>
                  <c:pt idx="4">
                    <c:v>0.16080658691588567</c:v>
                  </c:pt>
                  <c:pt idx="5">
                    <c:v>0.49262241392665956</c:v>
                  </c:pt>
                  <c:pt idx="6">
                    <c:v>0.55676152772517817</c:v>
                  </c:pt>
                  <c:pt idx="7">
                    <c:v>0.29737253329276131</c:v>
                  </c:pt>
                  <c:pt idx="8">
                    <c:v>0.27142160446394126</c:v>
                  </c:pt>
                  <c:pt idx="9">
                    <c:v>0.42460052080167432</c:v>
                  </c:pt>
                  <c:pt idx="10">
                    <c:v>0.5616009289898567</c:v>
                  </c:pt>
                  <c:pt idx="11">
                    <c:v>9.9462159270935019E-2</c:v>
                  </c:pt>
                  <c:pt idx="12">
                    <c:v>6.0371860527192844E-2</c:v>
                  </c:pt>
                  <c:pt idx="13">
                    <c:v>0.35214262704286975</c:v>
                  </c:pt>
                  <c:pt idx="14">
                    <c:v>0.21893262956350473</c:v>
                  </c:pt>
                  <c:pt idx="15">
                    <c:v>0.256250852693095</c:v>
                  </c:pt>
                  <c:pt idx="16">
                    <c:v>0.35692609968125555</c:v>
                  </c:pt>
                  <c:pt idx="17">
                    <c:v>0.27265881292576449</c:v>
                  </c:pt>
                </c:numCache>
              </c:numRef>
            </c:plus>
            <c:minus>
              <c:numRef>
                <c:f>'F1'!$N$2:$N$24</c:f>
                <c:numCache>
                  <c:formatCode>General</c:formatCode>
                  <c:ptCount val="23"/>
                  <c:pt idx="0">
                    <c:v>7.6548246451438123E-2</c:v>
                  </c:pt>
                  <c:pt idx="1">
                    <c:v>0.17811123062637685</c:v>
                  </c:pt>
                  <c:pt idx="2">
                    <c:v>0.26167701450442665</c:v>
                  </c:pt>
                  <c:pt idx="3">
                    <c:v>0.64273794050824717</c:v>
                  </c:pt>
                  <c:pt idx="4">
                    <c:v>0.16080658691588567</c:v>
                  </c:pt>
                  <c:pt idx="5">
                    <c:v>0.49262241392665956</c:v>
                  </c:pt>
                  <c:pt idx="6">
                    <c:v>0.55676152772517817</c:v>
                  </c:pt>
                  <c:pt idx="7">
                    <c:v>0.29737253329276131</c:v>
                  </c:pt>
                  <c:pt idx="8">
                    <c:v>0.27142160446394126</c:v>
                  </c:pt>
                  <c:pt idx="9">
                    <c:v>0.42460052080167432</c:v>
                  </c:pt>
                  <c:pt idx="10">
                    <c:v>0.5616009289898567</c:v>
                  </c:pt>
                  <c:pt idx="11">
                    <c:v>9.9462159270935019E-2</c:v>
                  </c:pt>
                  <c:pt idx="12">
                    <c:v>6.0371860527192844E-2</c:v>
                  </c:pt>
                  <c:pt idx="13">
                    <c:v>0.35214262704286975</c:v>
                  </c:pt>
                  <c:pt idx="14">
                    <c:v>0.21893262956350473</c:v>
                  </c:pt>
                  <c:pt idx="15">
                    <c:v>0.256250852693095</c:v>
                  </c:pt>
                  <c:pt idx="16">
                    <c:v>0.35692609968125555</c:v>
                  </c:pt>
                  <c:pt idx="17">
                    <c:v>0.27265881292576449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'F1'!$L$2:$L$24</c:f>
              <c:numCache>
                <c:formatCode>0.00%</c:formatCode>
                <c:ptCount val="23"/>
                <c:pt idx="0">
                  <c:v>0.11302982731554165</c:v>
                </c:pt>
                <c:pt idx="1">
                  <c:v>0.11302982731554165</c:v>
                </c:pt>
                <c:pt idx="2">
                  <c:v>0.13227722772277212</c:v>
                </c:pt>
                <c:pt idx="3">
                  <c:v>0.14261363636363625</c:v>
                </c:pt>
                <c:pt idx="4">
                  <c:v>0.15978994748687164</c:v>
                </c:pt>
                <c:pt idx="5">
                  <c:v>0.19204244031830223</c:v>
                </c:pt>
                <c:pt idx="6">
                  <c:v>0.18811394891944982</c:v>
                </c:pt>
                <c:pt idx="7">
                  <c:v>0.24606215410813118</c:v>
                </c:pt>
                <c:pt idx="8">
                  <c:v>0.22389937106918242</c:v>
                </c:pt>
                <c:pt idx="9">
                  <c:v>0.29512735326688799</c:v>
                </c:pt>
                <c:pt idx="10">
                  <c:v>0.11079723791588189</c:v>
                </c:pt>
                <c:pt idx="11">
                  <c:v>0.11079723791588189</c:v>
                </c:pt>
                <c:pt idx="12">
                  <c:v>0.11079723791588189</c:v>
                </c:pt>
                <c:pt idx="13">
                  <c:v>0.16014588859416429</c:v>
                </c:pt>
                <c:pt idx="14">
                  <c:v>0.16014588859416429</c:v>
                </c:pt>
                <c:pt idx="15">
                  <c:v>0.18882395909422914</c:v>
                </c:pt>
                <c:pt idx="16">
                  <c:v>0.24161849710982658</c:v>
                </c:pt>
                <c:pt idx="17">
                  <c:v>0.24161849710982658</c:v>
                </c:pt>
              </c:numCache>
            </c:numRef>
          </c:xVal>
          <c:yVal>
            <c:numRef>
              <c:f>'F1'!$K$2:$K$24</c:f>
              <c:numCache>
                <c:formatCode>General</c:formatCode>
                <c:ptCount val="23"/>
                <c:pt idx="0">
                  <c:v>1.9246707861364016</c:v>
                </c:pt>
                <c:pt idx="1">
                  <c:v>1.9134301698747911</c:v>
                </c:pt>
                <c:pt idx="2">
                  <c:v>2.195333934907997</c:v>
                </c:pt>
                <c:pt idx="3">
                  <c:v>2.4186860629867977</c:v>
                </c:pt>
                <c:pt idx="4">
                  <c:v>2.3094126654132445</c:v>
                </c:pt>
                <c:pt idx="5">
                  <c:v>2.0687647764526438</c:v>
                </c:pt>
                <c:pt idx="6">
                  <c:v>2.3873716925750474</c:v>
                </c:pt>
                <c:pt idx="7">
                  <c:v>2.4976795945113945</c:v>
                </c:pt>
                <c:pt idx="8">
                  <c:v>2.7700167143548673</c:v>
                </c:pt>
                <c:pt idx="9">
                  <c:v>3.3365380274156862</c:v>
                </c:pt>
                <c:pt idx="10">
                  <c:v>2.1932166291917548</c:v>
                </c:pt>
                <c:pt idx="11">
                  <c:v>1.930558504148908</c:v>
                </c:pt>
                <c:pt idx="12">
                  <c:v>2.2330826000547201</c:v>
                </c:pt>
                <c:pt idx="13">
                  <c:v>2.6383661735353172</c:v>
                </c:pt>
                <c:pt idx="14">
                  <c:v>2.2073593865390193</c:v>
                </c:pt>
                <c:pt idx="15">
                  <c:v>2.2364037902679628</c:v>
                </c:pt>
                <c:pt idx="16">
                  <c:v>3.3338549667237958</c:v>
                </c:pt>
                <c:pt idx="17">
                  <c:v>3.4764804908428872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52-0142-83C9-E630CED4A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25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'F1'!$Z$2:$Z$14</c:f>
                <c:numCache>
                  <c:formatCode>General</c:formatCode>
                  <c:ptCount val="13"/>
                  <c:pt idx="0">
                    <c:v>7.6548246451438123E-2</c:v>
                  </c:pt>
                  <c:pt idx="1">
                    <c:v>0.26167701450442665</c:v>
                  </c:pt>
                  <c:pt idx="2">
                    <c:v>0.64273794050824717</c:v>
                  </c:pt>
                  <c:pt idx="3">
                    <c:v>0.16080658691588567</c:v>
                  </c:pt>
                  <c:pt idx="4">
                    <c:v>0.49262241392665956</c:v>
                  </c:pt>
                  <c:pt idx="5">
                    <c:v>0.55676152772517817</c:v>
                  </c:pt>
                  <c:pt idx="6">
                    <c:v>0.29737253329276131</c:v>
                  </c:pt>
                  <c:pt idx="7">
                    <c:v>0.27142160446394126</c:v>
                  </c:pt>
                  <c:pt idx="8">
                    <c:v>0.42460052080167432</c:v>
                  </c:pt>
                  <c:pt idx="9">
                    <c:v>6.0371860527192844E-2</c:v>
                  </c:pt>
                  <c:pt idx="10">
                    <c:v>0.21893262956350473</c:v>
                  </c:pt>
                  <c:pt idx="11">
                    <c:v>0.256250852693095</c:v>
                  </c:pt>
                  <c:pt idx="12">
                    <c:v>0.27265881292576449</c:v>
                  </c:pt>
                </c:numCache>
              </c:numRef>
            </c:plus>
            <c:minus>
              <c:numRef>
                <c:f>'F1'!$Z$2:$Z$14</c:f>
                <c:numCache>
                  <c:formatCode>General</c:formatCode>
                  <c:ptCount val="13"/>
                  <c:pt idx="0">
                    <c:v>7.6548246451438123E-2</c:v>
                  </c:pt>
                  <c:pt idx="1">
                    <c:v>0.26167701450442665</c:v>
                  </c:pt>
                  <c:pt idx="2">
                    <c:v>0.64273794050824717</c:v>
                  </c:pt>
                  <c:pt idx="3">
                    <c:v>0.16080658691588567</c:v>
                  </c:pt>
                  <c:pt idx="4">
                    <c:v>0.49262241392665956</c:v>
                  </c:pt>
                  <c:pt idx="5">
                    <c:v>0.55676152772517817</c:v>
                  </c:pt>
                  <c:pt idx="6">
                    <c:v>0.29737253329276131</c:v>
                  </c:pt>
                  <c:pt idx="7">
                    <c:v>0.27142160446394126</c:v>
                  </c:pt>
                  <c:pt idx="8">
                    <c:v>0.42460052080167432</c:v>
                  </c:pt>
                  <c:pt idx="9">
                    <c:v>6.0371860527192844E-2</c:v>
                  </c:pt>
                  <c:pt idx="10">
                    <c:v>0.21893262956350473</c:v>
                  </c:pt>
                  <c:pt idx="11">
                    <c:v>0.256250852693095</c:v>
                  </c:pt>
                  <c:pt idx="12">
                    <c:v>0.27265881292576449</c:v>
                  </c:pt>
                </c:numCache>
              </c:numRef>
            </c:minus>
            <c:spPr>
              <a:ln w="6350"/>
            </c:spPr>
          </c:errBars>
          <c:xVal>
            <c:numRef>
              <c:f>'F1'!$W$2:$W$14</c:f>
              <c:numCache>
                <c:formatCode>0.00%</c:formatCode>
                <c:ptCount val="13"/>
                <c:pt idx="0">
                  <c:v>0.11302982731554165</c:v>
                </c:pt>
                <c:pt idx="1">
                  <c:v>0.13227722772277212</c:v>
                </c:pt>
                <c:pt idx="2">
                  <c:v>0.14261363636363625</c:v>
                </c:pt>
                <c:pt idx="3">
                  <c:v>0.15978994748687164</c:v>
                </c:pt>
                <c:pt idx="4">
                  <c:v>0.19204244031830223</c:v>
                </c:pt>
                <c:pt idx="5">
                  <c:v>0.18811394891944982</c:v>
                </c:pt>
                <c:pt idx="6">
                  <c:v>0.24606215410813118</c:v>
                </c:pt>
                <c:pt idx="7">
                  <c:v>0.22389937106918242</c:v>
                </c:pt>
                <c:pt idx="8">
                  <c:v>0.29512735326688799</c:v>
                </c:pt>
                <c:pt idx="9">
                  <c:v>0.11079723791588189</c:v>
                </c:pt>
                <c:pt idx="10">
                  <c:v>0.16014588859416429</c:v>
                </c:pt>
                <c:pt idx="11">
                  <c:v>0.18882395909422914</c:v>
                </c:pt>
                <c:pt idx="12">
                  <c:v>0.24161849710982658</c:v>
                </c:pt>
              </c:numCache>
            </c:numRef>
          </c:xVal>
          <c:yVal>
            <c:numRef>
              <c:f>'F1'!$V$2:$V$14</c:f>
              <c:numCache>
                <c:formatCode>General</c:formatCode>
                <c:ptCount val="13"/>
                <c:pt idx="0">
                  <c:v>1.9246707861364016</c:v>
                </c:pt>
                <c:pt idx="1">
                  <c:v>2.195333934907997</c:v>
                </c:pt>
                <c:pt idx="2">
                  <c:v>2.4186860629867977</c:v>
                </c:pt>
                <c:pt idx="3">
                  <c:v>2.3094126654132445</c:v>
                </c:pt>
                <c:pt idx="4">
                  <c:v>2.0687647764526438</c:v>
                </c:pt>
                <c:pt idx="5">
                  <c:v>2.3873716925750474</c:v>
                </c:pt>
                <c:pt idx="6">
                  <c:v>2.4976795945113945</c:v>
                </c:pt>
                <c:pt idx="7">
                  <c:v>2.7700167143548673</c:v>
                </c:pt>
                <c:pt idx="8">
                  <c:v>3.3365380274156862</c:v>
                </c:pt>
                <c:pt idx="9">
                  <c:v>2.2330826000547201</c:v>
                </c:pt>
                <c:pt idx="10">
                  <c:v>2.2073593865390193</c:v>
                </c:pt>
                <c:pt idx="11">
                  <c:v>2.2364037902679628</c:v>
                </c:pt>
                <c:pt idx="12">
                  <c:v>3.4764804908428872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F-A246-A9D9-A0BAA71C3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25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'F1'!$N$2:$N$24</c:f>
                <c:numCache>
                  <c:formatCode>General</c:formatCode>
                  <c:ptCount val="23"/>
                  <c:pt idx="0">
                    <c:v>7.6548246451438123E-2</c:v>
                  </c:pt>
                  <c:pt idx="1">
                    <c:v>0.17811123062637685</c:v>
                  </c:pt>
                  <c:pt idx="2">
                    <c:v>0.26167701450442665</c:v>
                  </c:pt>
                  <c:pt idx="3">
                    <c:v>0.64273794050824717</c:v>
                  </c:pt>
                  <c:pt idx="4">
                    <c:v>0.16080658691588567</c:v>
                  </c:pt>
                  <c:pt idx="5">
                    <c:v>0.49262241392665956</c:v>
                  </c:pt>
                  <c:pt idx="6">
                    <c:v>0.55676152772517817</c:v>
                  </c:pt>
                  <c:pt idx="7">
                    <c:v>0.29737253329276131</c:v>
                  </c:pt>
                  <c:pt idx="8">
                    <c:v>0.27142160446394126</c:v>
                  </c:pt>
                  <c:pt idx="9">
                    <c:v>0.42460052080167432</c:v>
                  </c:pt>
                  <c:pt idx="10">
                    <c:v>0.5616009289898567</c:v>
                  </c:pt>
                  <c:pt idx="11">
                    <c:v>9.9462159270935019E-2</c:v>
                  </c:pt>
                  <c:pt idx="12">
                    <c:v>6.0371860527192844E-2</c:v>
                  </c:pt>
                  <c:pt idx="13">
                    <c:v>0.35214262704286975</c:v>
                  </c:pt>
                  <c:pt idx="14">
                    <c:v>0.21893262956350473</c:v>
                  </c:pt>
                  <c:pt idx="15">
                    <c:v>0.256250852693095</c:v>
                  </c:pt>
                  <c:pt idx="16">
                    <c:v>0.35692609968125555</c:v>
                  </c:pt>
                  <c:pt idx="17">
                    <c:v>0.27265881292576449</c:v>
                  </c:pt>
                </c:numCache>
              </c:numRef>
            </c:plus>
            <c:minus>
              <c:numRef>
                <c:f>'F1'!$N$2:$N$24</c:f>
                <c:numCache>
                  <c:formatCode>General</c:formatCode>
                  <c:ptCount val="23"/>
                  <c:pt idx="0">
                    <c:v>7.6548246451438123E-2</c:v>
                  </c:pt>
                  <c:pt idx="1">
                    <c:v>0.17811123062637685</c:v>
                  </c:pt>
                  <c:pt idx="2">
                    <c:v>0.26167701450442665</c:v>
                  </c:pt>
                  <c:pt idx="3">
                    <c:v>0.64273794050824717</c:v>
                  </c:pt>
                  <c:pt idx="4">
                    <c:v>0.16080658691588567</c:v>
                  </c:pt>
                  <c:pt idx="5">
                    <c:v>0.49262241392665956</c:v>
                  </c:pt>
                  <c:pt idx="6">
                    <c:v>0.55676152772517817</c:v>
                  </c:pt>
                  <c:pt idx="7">
                    <c:v>0.29737253329276131</c:v>
                  </c:pt>
                  <c:pt idx="8">
                    <c:v>0.27142160446394126</c:v>
                  </c:pt>
                  <c:pt idx="9">
                    <c:v>0.42460052080167432</c:v>
                  </c:pt>
                  <c:pt idx="10">
                    <c:v>0.5616009289898567</c:v>
                  </c:pt>
                  <c:pt idx="11">
                    <c:v>9.9462159270935019E-2</c:v>
                  </c:pt>
                  <c:pt idx="12">
                    <c:v>6.0371860527192844E-2</c:v>
                  </c:pt>
                  <c:pt idx="13">
                    <c:v>0.35214262704286975</c:v>
                  </c:pt>
                  <c:pt idx="14">
                    <c:v>0.21893262956350473</c:v>
                  </c:pt>
                  <c:pt idx="15">
                    <c:v>0.256250852693095</c:v>
                  </c:pt>
                  <c:pt idx="16">
                    <c:v>0.35692609968125555</c:v>
                  </c:pt>
                  <c:pt idx="17">
                    <c:v>0.27265881292576449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'F1'!$M$2:$M$19</c:f>
              <c:numCache>
                <c:formatCode>0.00%</c:formatCode>
                <c:ptCount val="18"/>
                <c:pt idx="0">
                  <c:v>0.3212494015831851</c:v>
                </c:pt>
                <c:pt idx="1">
                  <c:v>0.3212494015831851</c:v>
                </c:pt>
                <c:pt idx="2">
                  <c:v>0.65447439315144107</c:v>
                </c:pt>
                <c:pt idx="3">
                  <c:v>0.45929290078498514</c:v>
                </c:pt>
                <c:pt idx="4">
                  <c:v>0.83610261337825054</c:v>
                </c:pt>
                <c:pt idx="5">
                  <c:v>0.68051559881047952</c:v>
                </c:pt>
                <c:pt idx="6">
                  <c:v>0.90551362714545369</c:v>
                </c:pt>
                <c:pt idx="7">
                  <c:v>0.88588990763905762</c:v>
                </c:pt>
                <c:pt idx="8">
                  <c:v>0.84367532187400063</c:v>
                </c:pt>
                <c:pt idx="9">
                  <c:v>0.84000708917054345</c:v>
                </c:pt>
                <c:pt idx="10">
                  <c:v>0.42159234574390719</c:v>
                </c:pt>
                <c:pt idx="11">
                  <c:v>0.42159234574390719</c:v>
                </c:pt>
                <c:pt idx="12">
                  <c:v>0.42159234574390719</c:v>
                </c:pt>
                <c:pt idx="13">
                  <c:v>0.70349181350424639</c:v>
                </c:pt>
                <c:pt idx="14">
                  <c:v>0.70349181350424639</c:v>
                </c:pt>
                <c:pt idx="15">
                  <c:v>0.84475946587239459</c:v>
                </c:pt>
                <c:pt idx="16">
                  <c:v>0.85638781398421826</c:v>
                </c:pt>
                <c:pt idx="17">
                  <c:v>0.85638781398421826</c:v>
                </c:pt>
              </c:numCache>
            </c:numRef>
          </c:xVal>
          <c:yVal>
            <c:numRef>
              <c:f>'F1'!$K$2:$K$19</c:f>
              <c:numCache>
                <c:formatCode>General</c:formatCode>
                <c:ptCount val="18"/>
                <c:pt idx="0">
                  <c:v>1.9246707861364016</c:v>
                </c:pt>
                <c:pt idx="1">
                  <c:v>1.9134301698747911</c:v>
                </c:pt>
                <c:pt idx="2">
                  <c:v>2.195333934907997</c:v>
                </c:pt>
                <c:pt idx="3">
                  <c:v>2.4186860629867977</c:v>
                </c:pt>
                <c:pt idx="4">
                  <c:v>2.3094126654132445</c:v>
                </c:pt>
                <c:pt idx="5">
                  <c:v>2.0687647764526438</c:v>
                </c:pt>
                <c:pt idx="6">
                  <c:v>2.3873716925750474</c:v>
                </c:pt>
                <c:pt idx="7">
                  <c:v>2.4976795945113945</c:v>
                </c:pt>
                <c:pt idx="8">
                  <c:v>2.7700167143548673</c:v>
                </c:pt>
                <c:pt idx="9">
                  <c:v>3.3365380274156862</c:v>
                </c:pt>
                <c:pt idx="10">
                  <c:v>2.1932166291917548</c:v>
                </c:pt>
                <c:pt idx="11">
                  <c:v>1.930558504148908</c:v>
                </c:pt>
                <c:pt idx="12">
                  <c:v>2.2330826000547201</c:v>
                </c:pt>
                <c:pt idx="13">
                  <c:v>2.6383661735353172</c:v>
                </c:pt>
                <c:pt idx="14">
                  <c:v>2.2073593865390193</c:v>
                </c:pt>
                <c:pt idx="15">
                  <c:v>2.2364037902679628</c:v>
                </c:pt>
                <c:pt idx="16">
                  <c:v>3.3338549667237958</c:v>
                </c:pt>
                <c:pt idx="17">
                  <c:v>3.4764804908428872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9-B343-8CE3-C0D0626F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9"/>
          <c:min val="0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'F1'!$Z$2:$Z$14</c:f>
                <c:numCache>
                  <c:formatCode>General</c:formatCode>
                  <c:ptCount val="13"/>
                  <c:pt idx="0">
                    <c:v>7.6548246451438123E-2</c:v>
                  </c:pt>
                  <c:pt idx="1">
                    <c:v>0.26167701450442665</c:v>
                  </c:pt>
                  <c:pt idx="2">
                    <c:v>0.64273794050824717</c:v>
                  </c:pt>
                  <c:pt idx="3">
                    <c:v>0.16080658691588567</c:v>
                  </c:pt>
                  <c:pt idx="4">
                    <c:v>0.49262241392665956</c:v>
                  </c:pt>
                  <c:pt idx="5">
                    <c:v>0.55676152772517817</c:v>
                  </c:pt>
                  <c:pt idx="6">
                    <c:v>0.29737253329276131</c:v>
                  </c:pt>
                  <c:pt idx="7">
                    <c:v>0.27142160446394126</c:v>
                  </c:pt>
                  <c:pt idx="8">
                    <c:v>0.42460052080167432</c:v>
                  </c:pt>
                  <c:pt idx="9">
                    <c:v>6.0371860527192844E-2</c:v>
                  </c:pt>
                  <c:pt idx="10">
                    <c:v>0.21893262956350473</c:v>
                  </c:pt>
                  <c:pt idx="11">
                    <c:v>0.256250852693095</c:v>
                  </c:pt>
                  <c:pt idx="12">
                    <c:v>0.27265881292576449</c:v>
                  </c:pt>
                </c:numCache>
              </c:numRef>
            </c:plus>
            <c:minus>
              <c:numRef>
                <c:f>'F1'!$Z$2:$Z$14</c:f>
                <c:numCache>
                  <c:formatCode>General</c:formatCode>
                  <c:ptCount val="13"/>
                  <c:pt idx="0">
                    <c:v>7.6548246451438123E-2</c:v>
                  </c:pt>
                  <c:pt idx="1">
                    <c:v>0.26167701450442665</c:v>
                  </c:pt>
                  <c:pt idx="2">
                    <c:v>0.64273794050824717</c:v>
                  </c:pt>
                  <c:pt idx="3">
                    <c:v>0.16080658691588567</c:v>
                  </c:pt>
                  <c:pt idx="4">
                    <c:v>0.49262241392665956</c:v>
                  </c:pt>
                  <c:pt idx="5">
                    <c:v>0.55676152772517817</c:v>
                  </c:pt>
                  <c:pt idx="6">
                    <c:v>0.29737253329276131</c:v>
                  </c:pt>
                  <c:pt idx="7">
                    <c:v>0.27142160446394126</c:v>
                  </c:pt>
                  <c:pt idx="8">
                    <c:v>0.42460052080167432</c:v>
                  </c:pt>
                  <c:pt idx="9">
                    <c:v>6.0371860527192844E-2</c:v>
                  </c:pt>
                  <c:pt idx="10">
                    <c:v>0.21893262956350473</c:v>
                  </c:pt>
                  <c:pt idx="11">
                    <c:v>0.256250852693095</c:v>
                  </c:pt>
                  <c:pt idx="12">
                    <c:v>0.27265881292576449</c:v>
                  </c:pt>
                </c:numCache>
              </c:numRef>
            </c:minus>
            <c:spPr>
              <a:ln w="6350"/>
            </c:spPr>
          </c:errBars>
          <c:xVal>
            <c:numRef>
              <c:f>'F1'!$AA$2:$AA$14</c:f>
              <c:numCache>
                <c:formatCode>General</c:formatCode>
                <c:ptCount val="13"/>
                <c:pt idx="0">
                  <c:v>0.3212494015831851</c:v>
                </c:pt>
                <c:pt idx="1">
                  <c:v>0.65447439315144107</c:v>
                </c:pt>
                <c:pt idx="2">
                  <c:v>0.45929290078498514</c:v>
                </c:pt>
                <c:pt idx="3">
                  <c:v>0.83610261337825054</c:v>
                </c:pt>
                <c:pt idx="4">
                  <c:v>0.68051559881047952</c:v>
                </c:pt>
                <c:pt idx="5">
                  <c:v>0.90551362714545369</c:v>
                </c:pt>
                <c:pt idx="6">
                  <c:v>0.88588990763905762</c:v>
                </c:pt>
                <c:pt idx="7">
                  <c:v>0.84367532187400063</c:v>
                </c:pt>
                <c:pt idx="8">
                  <c:v>0.84000708917054345</c:v>
                </c:pt>
                <c:pt idx="9">
                  <c:v>0.42159234574390719</c:v>
                </c:pt>
                <c:pt idx="10">
                  <c:v>0.70349181350424639</c:v>
                </c:pt>
                <c:pt idx="11">
                  <c:v>0.84475946587239459</c:v>
                </c:pt>
                <c:pt idx="12">
                  <c:v>0.85638781398421826</c:v>
                </c:pt>
              </c:numCache>
            </c:numRef>
          </c:xVal>
          <c:yVal>
            <c:numRef>
              <c:f>'F1'!$V$2:$V$14</c:f>
              <c:numCache>
                <c:formatCode>General</c:formatCode>
                <c:ptCount val="13"/>
                <c:pt idx="0">
                  <c:v>1.9246707861364016</c:v>
                </c:pt>
                <c:pt idx="1">
                  <c:v>2.195333934907997</c:v>
                </c:pt>
                <c:pt idx="2">
                  <c:v>2.4186860629867977</c:v>
                </c:pt>
                <c:pt idx="3">
                  <c:v>2.3094126654132445</c:v>
                </c:pt>
                <c:pt idx="4">
                  <c:v>2.0687647764526438</c:v>
                </c:pt>
                <c:pt idx="5">
                  <c:v>2.3873716925750474</c:v>
                </c:pt>
                <c:pt idx="6">
                  <c:v>2.4976795945113945</c:v>
                </c:pt>
                <c:pt idx="7">
                  <c:v>2.7700167143548673</c:v>
                </c:pt>
                <c:pt idx="8">
                  <c:v>3.3365380274156862</c:v>
                </c:pt>
                <c:pt idx="9">
                  <c:v>2.2330826000547201</c:v>
                </c:pt>
                <c:pt idx="10">
                  <c:v>2.2073593865390193</c:v>
                </c:pt>
                <c:pt idx="11">
                  <c:v>2.2364037902679628</c:v>
                </c:pt>
                <c:pt idx="12">
                  <c:v>3.4764804908428872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7-CD4D-A9F6-30CEF72E9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9"/>
          <c:min val="0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'F1'!$Z$2:$Z$14</c:f>
                <c:numCache>
                  <c:formatCode>General</c:formatCode>
                  <c:ptCount val="13"/>
                  <c:pt idx="0">
                    <c:v>7.6548246451438123E-2</c:v>
                  </c:pt>
                  <c:pt idx="1">
                    <c:v>0.26167701450442665</c:v>
                  </c:pt>
                  <c:pt idx="2">
                    <c:v>0.64273794050824717</c:v>
                  </c:pt>
                  <c:pt idx="3">
                    <c:v>0.16080658691588567</c:v>
                  </c:pt>
                  <c:pt idx="4">
                    <c:v>0.49262241392665956</c:v>
                  </c:pt>
                  <c:pt idx="5">
                    <c:v>0.55676152772517817</c:v>
                  </c:pt>
                  <c:pt idx="6">
                    <c:v>0.29737253329276131</c:v>
                  </c:pt>
                  <c:pt idx="7">
                    <c:v>0.27142160446394126</c:v>
                  </c:pt>
                  <c:pt idx="8">
                    <c:v>0.42460052080167432</c:v>
                  </c:pt>
                  <c:pt idx="9">
                    <c:v>6.0371860527192844E-2</c:v>
                  </c:pt>
                  <c:pt idx="10">
                    <c:v>0.21893262956350473</c:v>
                  </c:pt>
                  <c:pt idx="11">
                    <c:v>0.256250852693095</c:v>
                  </c:pt>
                  <c:pt idx="12">
                    <c:v>0.27265881292576449</c:v>
                  </c:pt>
                </c:numCache>
              </c:numRef>
            </c:plus>
            <c:minus>
              <c:numRef>
                <c:f>'F1'!$Z$2:$Z$14</c:f>
                <c:numCache>
                  <c:formatCode>General</c:formatCode>
                  <c:ptCount val="13"/>
                  <c:pt idx="0">
                    <c:v>7.6548246451438123E-2</c:v>
                  </c:pt>
                  <c:pt idx="1">
                    <c:v>0.26167701450442665</c:v>
                  </c:pt>
                  <c:pt idx="2">
                    <c:v>0.64273794050824717</c:v>
                  </c:pt>
                  <c:pt idx="3">
                    <c:v>0.16080658691588567</c:v>
                  </c:pt>
                  <c:pt idx="4">
                    <c:v>0.49262241392665956</c:v>
                  </c:pt>
                  <c:pt idx="5">
                    <c:v>0.55676152772517817</c:v>
                  </c:pt>
                  <c:pt idx="6">
                    <c:v>0.29737253329276131</c:v>
                  </c:pt>
                  <c:pt idx="7">
                    <c:v>0.27142160446394126</c:v>
                  </c:pt>
                  <c:pt idx="8">
                    <c:v>0.42460052080167432</c:v>
                  </c:pt>
                  <c:pt idx="9">
                    <c:v>6.0371860527192844E-2</c:v>
                  </c:pt>
                  <c:pt idx="10">
                    <c:v>0.21893262956350473</c:v>
                  </c:pt>
                  <c:pt idx="11">
                    <c:v>0.256250852693095</c:v>
                  </c:pt>
                  <c:pt idx="12">
                    <c:v>0.27265881292576449</c:v>
                  </c:pt>
                </c:numCache>
              </c:numRef>
            </c:minus>
            <c:spPr>
              <a:ln w="6350"/>
            </c:spPr>
          </c:errBars>
          <c:xVal>
            <c:numRef>
              <c:f>'F1'!$Y$2:$Y$14</c:f>
              <c:numCache>
                <c:formatCode>0.00%</c:formatCode>
                <c:ptCount val="13"/>
                <c:pt idx="0">
                  <c:v>0.53823727293115076</c:v>
                </c:pt>
                <c:pt idx="1">
                  <c:v>0.82673267326732569</c:v>
                </c:pt>
                <c:pt idx="2">
                  <c:v>0.67911255411255356</c:v>
                </c:pt>
                <c:pt idx="3">
                  <c:v>0.99868717179294775</c:v>
                </c:pt>
                <c:pt idx="4">
                  <c:v>0.91448781103953447</c:v>
                </c:pt>
                <c:pt idx="5">
                  <c:v>1.1757121807465614</c:v>
                </c:pt>
                <c:pt idx="6">
                  <c:v>1.1717245433720533</c:v>
                </c:pt>
                <c:pt idx="7">
                  <c:v>1.3993710691823902</c:v>
                </c:pt>
                <c:pt idx="8">
                  <c:v>1.4053683488899429</c:v>
                </c:pt>
                <c:pt idx="9">
                  <c:v>0.64416998788303426</c:v>
                </c:pt>
                <c:pt idx="10">
                  <c:v>0.93108074764049009</c:v>
                </c:pt>
                <c:pt idx="11">
                  <c:v>1.097813715664123</c:v>
                </c:pt>
                <c:pt idx="12">
                  <c:v>1.4047587041268987</c:v>
                </c:pt>
              </c:numCache>
            </c:numRef>
          </c:xVal>
          <c:yVal>
            <c:numRef>
              <c:f>'F1'!$V$2:$V$14</c:f>
              <c:numCache>
                <c:formatCode>General</c:formatCode>
                <c:ptCount val="13"/>
                <c:pt idx="0">
                  <c:v>1.9246707861364016</c:v>
                </c:pt>
                <c:pt idx="1">
                  <c:v>2.195333934907997</c:v>
                </c:pt>
                <c:pt idx="2">
                  <c:v>2.4186860629867977</c:v>
                </c:pt>
                <c:pt idx="3">
                  <c:v>2.3094126654132445</c:v>
                </c:pt>
                <c:pt idx="4">
                  <c:v>2.0687647764526438</c:v>
                </c:pt>
                <c:pt idx="5">
                  <c:v>2.3873716925750474</c:v>
                </c:pt>
                <c:pt idx="6">
                  <c:v>2.4976795945113945</c:v>
                </c:pt>
                <c:pt idx="7">
                  <c:v>2.7700167143548673</c:v>
                </c:pt>
                <c:pt idx="8">
                  <c:v>3.3365380274156862</c:v>
                </c:pt>
                <c:pt idx="9">
                  <c:v>2.2330826000547201</c:v>
                </c:pt>
                <c:pt idx="10">
                  <c:v>2.2073593865390193</c:v>
                </c:pt>
                <c:pt idx="11">
                  <c:v>2.2364037902679628</c:v>
                </c:pt>
                <c:pt idx="12">
                  <c:v>3.4764804908428872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5-E447-86C6-3A112371D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W/Wopt(%)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4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'F2'!$N$2:$N$24</c:f>
                <c:numCache>
                  <c:formatCode>General</c:formatCode>
                  <c:ptCount val="23"/>
                  <c:pt idx="0">
                    <c:v>0.69981994843282735</c:v>
                  </c:pt>
                  <c:pt idx="1">
                    <c:v>0.4048649473292591</c:v>
                  </c:pt>
                  <c:pt idx="2">
                    <c:v>0.58568073865452686</c:v>
                  </c:pt>
                  <c:pt idx="3">
                    <c:v>0.37583594406689835</c:v>
                  </c:pt>
                  <c:pt idx="4">
                    <c:v>0.40372040306407964</c:v>
                  </c:pt>
                  <c:pt idx="5">
                    <c:v>0.64551090245555143</c:v>
                  </c:pt>
                  <c:pt idx="6">
                    <c:v>0.34485304246545828</c:v>
                  </c:pt>
                  <c:pt idx="7">
                    <c:v>0.29995705654286631</c:v>
                  </c:pt>
                  <c:pt idx="8">
                    <c:v>0.17320195405477049</c:v>
                  </c:pt>
                  <c:pt idx="9">
                    <c:v>0.3621326165831209</c:v>
                  </c:pt>
                  <c:pt idx="10">
                    <c:v>0.63672225376598446</c:v>
                  </c:pt>
                  <c:pt idx="11">
                    <c:v>0.40822547091319894</c:v>
                  </c:pt>
                  <c:pt idx="12">
                    <c:v>0.2438216365922552</c:v>
                  </c:pt>
                  <c:pt idx="13">
                    <c:v>0.26096432424004867</c:v>
                  </c:pt>
                  <c:pt idx="14">
                    <c:v>0.27485995097142246</c:v>
                  </c:pt>
                  <c:pt idx="15">
                    <c:v>0.29766694639925895</c:v>
                  </c:pt>
                  <c:pt idx="16">
                    <c:v>0.24718237521179826</c:v>
                  </c:pt>
                  <c:pt idx="17">
                    <c:v>0.22119681266060812</c:v>
                  </c:pt>
                </c:numCache>
              </c:numRef>
            </c:plus>
            <c:minus>
              <c:numRef>
                <c:f>'F2'!$N$2:$N$24</c:f>
                <c:numCache>
                  <c:formatCode>General</c:formatCode>
                  <c:ptCount val="23"/>
                  <c:pt idx="0">
                    <c:v>0.69981994843282735</c:v>
                  </c:pt>
                  <c:pt idx="1">
                    <c:v>0.4048649473292591</c:v>
                  </c:pt>
                  <c:pt idx="2">
                    <c:v>0.58568073865452686</c:v>
                  </c:pt>
                  <c:pt idx="3">
                    <c:v>0.37583594406689835</c:v>
                  </c:pt>
                  <c:pt idx="4">
                    <c:v>0.40372040306407964</c:v>
                  </c:pt>
                  <c:pt idx="5">
                    <c:v>0.64551090245555143</c:v>
                  </c:pt>
                  <c:pt idx="6">
                    <c:v>0.34485304246545828</c:v>
                  </c:pt>
                  <c:pt idx="7">
                    <c:v>0.29995705654286631</c:v>
                  </c:pt>
                  <c:pt idx="8">
                    <c:v>0.17320195405477049</c:v>
                  </c:pt>
                  <c:pt idx="9">
                    <c:v>0.3621326165831209</c:v>
                  </c:pt>
                  <c:pt idx="10">
                    <c:v>0.63672225376598446</c:v>
                  </c:pt>
                  <c:pt idx="11">
                    <c:v>0.40822547091319894</c:v>
                  </c:pt>
                  <c:pt idx="12">
                    <c:v>0.2438216365922552</c:v>
                  </c:pt>
                  <c:pt idx="13">
                    <c:v>0.26096432424004867</c:v>
                  </c:pt>
                  <c:pt idx="14">
                    <c:v>0.27485995097142246</c:v>
                  </c:pt>
                  <c:pt idx="15">
                    <c:v>0.29766694639925895</c:v>
                  </c:pt>
                  <c:pt idx="16">
                    <c:v>0.24718237521179826</c:v>
                  </c:pt>
                  <c:pt idx="17">
                    <c:v>0.22119681266060812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'F2'!$L$2:$L$24</c:f>
              <c:numCache>
                <c:formatCode>0.00%</c:formatCode>
                <c:ptCount val="23"/>
                <c:pt idx="0">
                  <c:v>0.11302982731554165</c:v>
                </c:pt>
                <c:pt idx="1">
                  <c:v>0.11302982731554165</c:v>
                </c:pt>
                <c:pt idx="2">
                  <c:v>0.13227722772277212</c:v>
                </c:pt>
                <c:pt idx="3">
                  <c:v>0.14261363636363625</c:v>
                </c:pt>
                <c:pt idx="4">
                  <c:v>0.15978994748687164</c:v>
                </c:pt>
                <c:pt idx="5">
                  <c:v>0.19204244031830223</c:v>
                </c:pt>
                <c:pt idx="6">
                  <c:v>0.18811394891944982</c:v>
                </c:pt>
                <c:pt idx="7">
                  <c:v>0.24606215410813118</c:v>
                </c:pt>
                <c:pt idx="8">
                  <c:v>0.22389937106918242</c:v>
                </c:pt>
                <c:pt idx="9">
                  <c:v>0.29512735326688799</c:v>
                </c:pt>
                <c:pt idx="10">
                  <c:v>0.11079723791588189</c:v>
                </c:pt>
                <c:pt idx="11">
                  <c:v>0.11079723791588189</c:v>
                </c:pt>
                <c:pt idx="12">
                  <c:v>0.11079723791588189</c:v>
                </c:pt>
                <c:pt idx="13">
                  <c:v>0.16014588859416429</c:v>
                </c:pt>
                <c:pt idx="14">
                  <c:v>0.16014588859416429</c:v>
                </c:pt>
                <c:pt idx="15">
                  <c:v>0.18882395909422914</c:v>
                </c:pt>
                <c:pt idx="16">
                  <c:v>0.24161849710982658</c:v>
                </c:pt>
                <c:pt idx="17">
                  <c:v>0.24161849710982658</c:v>
                </c:pt>
              </c:numCache>
            </c:numRef>
          </c:xVal>
          <c:yVal>
            <c:numRef>
              <c:f>'F2'!$K$2:$K$24</c:f>
              <c:numCache>
                <c:formatCode>General</c:formatCode>
                <c:ptCount val="23"/>
                <c:pt idx="0">
                  <c:v>2.0379167590336591</c:v>
                </c:pt>
                <c:pt idx="1">
                  <c:v>2.0936645541815362</c:v>
                </c:pt>
                <c:pt idx="2">
                  <c:v>2.5972638009032534</c:v>
                </c:pt>
                <c:pt idx="3">
                  <c:v>1.4548798348461354</c:v>
                </c:pt>
                <c:pt idx="4">
                  <c:v>1.9052694329566999</c:v>
                </c:pt>
                <c:pt idx="5">
                  <c:v>1.8091138997405964</c:v>
                </c:pt>
                <c:pt idx="6">
                  <c:v>1.5266938543150759</c:v>
                </c:pt>
                <c:pt idx="7">
                  <c:v>1.2784116668775904</c:v>
                </c:pt>
                <c:pt idx="8">
                  <c:v>1.4833755321512192</c:v>
                </c:pt>
                <c:pt idx="9">
                  <c:v>1.6793019475901829</c:v>
                </c:pt>
                <c:pt idx="10">
                  <c:v>1.7188947936892134</c:v>
                </c:pt>
                <c:pt idx="11">
                  <c:v>2.3269680041351388</c:v>
                </c:pt>
                <c:pt idx="12">
                  <c:v>1.8284322149027488</c:v>
                </c:pt>
                <c:pt idx="13">
                  <c:v>1.635025264613297</c:v>
                </c:pt>
                <c:pt idx="14">
                  <c:v>2.1602537812226381</c:v>
                </c:pt>
                <c:pt idx="15">
                  <c:v>1.9433348426031221</c:v>
                </c:pt>
                <c:pt idx="16">
                  <c:v>1.2852617466684764</c:v>
                </c:pt>
                <c:pt idx="17">
                  <c:v>1.1280161055289839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8-8E44-B055-0E296946A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25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'F2'!$X$2:$X$14</c:f>
                <c:numCache>
                  <c:formatCode>General</c:formatCode>
                  <c:ptCount val="13"/>
                  <c:pt idx="0">
                    <c:v>0.4048649473292591</c:v>
                  </c:pt>
                  <c:pt idx="1">
                    <c:v>0.58568073865452686</c:v>
                  </c:pt>
                  <c:pt idx="2">
                    <c:v>0.37583594406689835</c:v>
                  </c:pt>
                  <c:pt idx="3">
                    <c:v>0.40372040306407964</c:v>
                  </c:pt>
                  <c:pt idx="4">
                    <c:v>0.64551090245555143</c:v>
                  </c:pt>
                  <c:pt idx="5">
                    <c:v>0.34485304246545828</c:v>
                  </c:pt>
                  <c:pt idx="6">
                    <c:v>0.29995705654286631</c:v>
                  </c:pt>
                  <c:pt idx="7">
                    <c:v>0.17320195405477049</c:v>
                  </c:pt>
                  <c:pt idx="8">
                    <c:v>0.3621326165831209</c:v>
                  </c:pt>
                  <c:pt idx="9">
                    <c:v>0.2438216365922552</c:v>
                  </c:pt>
                  <c:pt idx="10">
                    <c:v>0.27485995097142246</c:v>
                  </c:pt>
                  <c:pt idx="11">
                    <c:v>0.29766694639925895</c:v>
                  </c:pt>
                  <c:pt idx="12">
                    <c:v>0.24718237521179826</c:v>
                  </c:pt>
                </c:numCache>
              </c:numRef>
            </c:plus>
            <c:minus>
              <c:numRef>
                <c:f>'F2'!$X$2:$X$14</c:f>
                <c:numCache>
                  <c:formatCode>General</c:formatCode>
                  <c:ptCount val="13"/>
                  <c:pt idx="0">
                    <c:v>0.4048649473292591</c:v>
                  </c:pt>
                  <c:pt idx="1">
                    <c:v>0.58568073865452686</c:v>
                  </c:pt>
                  <c:pt idx="2">
                    <c:v>0.37583594406689835</c:v>
                  </c:pt>
                  <c:pt idx="3">
                    <c:v>0.40372040306407964</c:v>
                  </c:pt>
                  <c:pt idx="4">
                    <c:v>0.64551090245555143</c:v>
                  </c:pt>
                  <c:pt idx="5">
                    <c:v>0.34485304246545828</c:v>
                  </c:pt>
                  <c:pt idx="6">
                    <c:v>0.29995705654286631</c:v>
                  </c:pt>
                  <c:pt idx="7">
                    <c:v>0.17320195405477049</c:v>
                  </c:pt>
                  <c:pt idx="8">
                    <c:v>0.3621326165831209</c:v>
                  </c:pt>
                  <c:pt idx="9">
                    <c:v>0.2438216365922552</c:v>
                  </c:pt>
                  <c:pt idx="10">
                    <c:v>0.27485995097142246</c:v>
                  </c:pt>
                  <c:pt idx="11">
                    <c:v>0.29766694639925895</c:v>
                  </c:pt>
                  <c:pt idx="12">
                    <c:v>0.24718237521179826</c:v>
                  </c:pt>
                </c:numCache>
              </c:numRef>
            </c:minus>
            <c:spPr>
              <a:ln w="6350"/>
            </c:spPr>
          </c:errBars>
          <c:xVal>
            <c:numRef>
              <c:f>'F2'!$W$2:$W$14</c:f>
              <c:numCache>
                <c:formatCode>0.00%</c:formatCode>
                <c:ptCount val="13"/>
                <c:pt idx="0">
                  <c:v>0.11302982731554165</c:v>
                </c:pt>
                <c:pt idx="1">
                  <c:v>0.13227722772277212</c:v>
                </c:pt>
                <c:pt idx="2">
                  <c:v>0.14261363636363625</c:v>
                </c:pt>
                <c:pt idx="3">
                  <c:v>0.15978994748687164</c:v>
                </c:pt>
                <c:pt idx="4">
                  <c:v>0.19204244031830223</c:v>
                </c:pt>
                <c:pt idx="5">
                  <c:v>0.18811394891944982</c:v>
                </c:pt>
                <c:pt idx="6">
                  <c:v>0.24606215410813118</c:v>
                </c:pt>
                <c:pt idx="7">
                  <c:v>0.22389937106918242</c:v>
                </c:pt>
                <c:pt idx="8">
                  <c:v>0.29512735326688799</c:v>
                </c:pt>
                <c:pt idx="9">
                  <c:v>0.11079723791588189</c:v>
                </c:pt>
                <c:pt idx="10">
                  <c:v>0.16014588859416429</c:v>
                </c:pt>
                <c:pt idx="11">
                  <c:v>0.18882395909422914</c:v>
                </c:pt>
                <c:pt idx="12">
                  <c:v>0.24161849710982658</c:v>
                </c:pt>
              </c:numCache>
            </c:numRef>
          </c:xVal>
          <c:yVal>
            <c:numRef>
              <c:f>'F2'!$V$2:$V$14</c:f>
              <c:numCache>
                <c:formatCode>General</c:formatCode>
                <c:ptCount val="13"/>
                <c:pt idx="0">
                  <c:v>2.0936645541815362</c:v>
                </c:pt>
                <c:pt idx="1">
                  <c:v>2.5972638009032534</c:v>
                </c:pt>
                <c:pt idx="2">
                  <c:v>1.4548798348461354</c:v>
                </c:pt>
                <c:pt idx="3">
                  <c:v>1.9052694329566999</c:v>
                </c:pt>
                <c:pt idx="4">
                  <c:v>1.8091138997405964</c:v>
                </c:pt>
                <c:pt idx="5">
                  <c:v>1.5266938543150759</c:v>
                </c:pt>
                <c:pt idx="6">
                  <c:v>1.2784116668775904</c:v>
                </c:pt>
                <c:pt idx="7">
                  <c:v>1.4833755321512192</c:v>
                </c:pt>
                <c:pt idx="8">
                  <c:v>1.6793019475901829</c:v>
                </c:pt>
                <c:pt idx="9">
                  <c:v>1.8284322149027488</c:v>
                </c:pt>
                <c:pt idx="10">
                  <c:v>2.1602537812226381</c:v>
                </c:pt>
                <c:pt idx="11">
                  <c:v>1.9433348426031221</c:v>
                </c:pt>
                <c:pt idx="12">
                  <c:v>1.2852617466684764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85-9C4B-920C-3DD519EF4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25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F2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'F2'!$X$2:$X$14</c:f>
                <c:numCache>
                  <c:formatCode>General</c:formatCode>
                  <c:ptCount val="13"/>
                  <c:pt idx="0">
                    <c:v>0.4048649473292591</c:v>
                  </c:pt>
                  <c:pt idx="1">
                    <c:v>0.58568073865452686</c:v>
                  </c:pt>
                  <c:pt idx="2">
                    <c:v>0.37583594406689835</c:v>
                  </c:pt>
                  <c:pt idx="3">
                    <c:v>0.40372040306407964</c:v>
                  </c:pt>
                  <c:pt idx="4">
                    <c:v>0.64551090245555143</c:v>
                  </c:pt>
                  <c:pt idx="5">
                    <c:v>0.34485304246545828</c:v>
                  </c:pt>
                  <c:pt idx="6">
                    <c:v>0.29995705654286631</c:v>
                  </c:pt>
                  <c:pt idx="7">
                    <c:v>0.17320195405477049</c:v>
                  </c:pt>
                  <c:pt idx="8">
                    <c:v>0.3621326165831209</c:v>
                  </c:pt>
                  <c:pt idx="9">
                    <c:v>0.2438216365922552</c:v>
                  </c:pt>
                  <c:pt idx="10">
                    <c:v>0.27485995097142246</c:v>
                  </c:pt>
                  <c:pt idx="11">
                    <c:v>0.29766694639925895</c:v>
                  </c:pt>
                  <c:pt idx="12">
                    <c:v>0.24718237521179826</c:v>
                  </c:pt>
                </c:numCache>
              </c:numRef>
            </c:plus>
            <c:minus>
              <c:numRef>
                <c:f>'F2'!$X$2:$X$14</c:f>
                <c:numCache>
                  <c:formatCode>General</c:formatCode>
                  <c:ptCount val="13"/>
                  <c:pt idx="0">
                    <c:v>0.4048649473292591</c:v>
                  </c:pt>
                  <c:pt idx="1">
                    <c:v>0.58568073865452686</c:v>
                  </c:pt>
                  <c:pt idx="2">
                    <c:v>0.37583594406689835</c:v>
                  </c:pt>
                  <c:pt idx="3">
                    <c:v>0.40372040306407964</c:v>
                  </c:pt>
                  <c:pt idx="4">
                    <c:v>0.64551090245555143</c:v>
                  </c:pt>
                  <c:pt idx="5">
                    <c:v>0.34485304246545828</c:v>
                  </c:pt>
                  <c:pt idx="6">
                    <c:v>0.29995705654286631</c:v>
                  </c:pt>
                  <c:pt idx="7">
                    <c:v>0.17320195405477049</c:v>
                  </c:pt>
                  <c:pt idx="8">
                    <c:v>0.3621326165831209</c:v>
                  </c:pt>
                  <c:pt idx="9">
                    <c:v>0.2438216365922552</c:v>
                  </c:pt>
                  <c:pt idx="10">
                    <c:v>0.27485995097142246</c:v>
                  </c:pt>
                  <c:pt idx="11">
                    <c:v>0.29766694639925895</c:v>
                  </c:pt>
                  <c:pt idx="12">
                    <c:v>0.24718237521179826</c:v>
                  </c:pt>
                </c:numCache>
              </c:numRef>
            </c:minus>
            <c:spPr>
              <a:ln w="6350"/>
            </c:spPr>
          </c:errBars>
          <c:xVal>
            <c:numRef>
              <c:f>'F2'!$Y$2:$Y$14</c:f>
              <c:numCache>
                <c:formatCode>0.00%</c:formatCode>
                <c:ptCount val="13"/>
                <c:pt idx="0">
                  <c:v>0.3212494015831851</c:v>
                </c:pt>
                <c:pt idx="1">
                  <c:v>0.65447439315144107</c:v>
                </c:pt>
                <c:pt idx="2">
                  <c:v>0.45929290078498514</c:v>
                </c:pt>
                <c:pt idx="3">
                  <c:v>0.83610261337825054</c:v>
                </c:pt>
                <c:pt idx="4">
                  <c:v>0.68051559881047952</c:v>
                </c:pt>
                <c:pt idx="5">
                  <c:v>0.90551362714545369</c:v>
                </c:pt>
                <c:pt idx="6">
                  <c:v>0.88588990763905762</c:v>
                </c:pt>
                <c:pt idx="7">
                  <c:v>0.84367532187400063</c:v>
                </c:pt>
                <c:pt idx="8">
                  <c:v>0.84000708917054345</c:v>
                </c:pt>
                <c:pt idx="9">
                  <c:v>0.42159234574390719</c:v>
                </c:pt>
                <c:pt idx="10">
                  <c:v>0.70349181350424639</c:v>
                </c:pt>
                <c:pt idx="11">
                  <c:v>0.84475946587239459</c:v>
                </c:pt>
                <c:pt idx="12">
                  <c:v>0.85638781398421826</c:v>
                </c:pt>
              </c:numCache>
            </c:numRef>
          </c:xVal>
          <c:yVal>
            <c:numRef>
              <c:f>'F2'!$V$2:$V$14</c:f>
              <c:numCache>
                <c:formatCode>General</c:formatCode>
                <c:ptCount val="13"/>
                <c:pt idx="0">
                  <c:v>2.0936645541815362</c:v>
                </c:pt>
                <c:pt idx="1">
                  <c:v>2.5972638009032534</c:v>
                </c:pt>
                <c:pt idx="2">
                  <c:v>1.4548798348461354</c:v>
                </c:pt>
                <c:pt idx="3">
                  <c:v>1.9052694329566999</c:v>
                </c:pt>
                <c:pt idx="4">
                  <c:v>1.8091138997405964</c:v>
                </c:pt>
                <c:pt idx="5">
                  <c:v>1.5266938543150759</c:v>
                </c:pt>
                <c:pt idx="6">
                  <c:v>1.2784116668775904</c:v>
                </c:pt>
                <c:pt idx="7">
                  <c:v>1.4833755321512192</c:v>
                </c:pt>
                <c:pt idx="8">
                  <c:v>1.6793019475901829</c:v>
                </c:pt>
                <c:pt idx="9">
                  <c:v>1.8284322149027488</c:v>
                </c:pt>
                <c:pt idx="10">
                  <c:v>2.1602537812226381</c:v>
                </c:pt>
                <c:pt idx="11">
                  <c:v>1.9433348426031221</c:v>
                </c:pt>
                <c:pt idx="12">
                  <c:v>1.2852617466684764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79-434C-BAC2-C9951C3C6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9"/>
          <c:min val="0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F2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'F2'!$N$2:$N$19</c:f>
                <c:numCache>
                  <c:formatCode>General</c:formatCode>
                  <c:ptCount val="18"/>
                  <c:pt idx="0">
                    <c:v>0.69981994843282735</c:v>
                  </c:pt>
                  <c:pt idx="1">
                    <c:v>0.4048649473292591</c:v>
                  </c:pt>
                  <c:pt idx="2">
                    <c:v>0.58568073865452686</c:v>
                  </c:pt>
                  <c:pt idx="3">
                    <c:v>0.37583594406689835</c:v>
                  </c:pt>
                  <c:pt idx="4">
                    <c:v>0.40372040306407964</c:v>
                  </c:pt>
                  <c:pt idx="5">
                    <c:v>0.64551090245555143</c:v>
                  </c:pt>
                  <c:pt idx="6">
                    <c:v>0.34485304246545828</c:v>
                  </c:pt>
                  <c:pt idx="7">
                    <c:v>0.29995705654286631</c:v>
                  </c:pt>
                  <c:pt idx="8">
                    <c:v>0.17320195405477049</c:v>
                  </c:pt>
                  <c:pt idx="9">
                    <c:v>0.3621326165831209</c:v>
                  </c:pt>
                  <c:pt idx="10">
                    <c:v>0.63672225376598446</c:v>
                  </c:pt>
                  <c:pt idx="11">
                    <c:v>0.40822547091319894</c:v>
                  </c:pt>
                  <c:pt idx="12">
                    <c:v>0.2438216365922552</c:v>
                  </c:pt>
                  <c:pt idx="13">
                    <c:v>0.26096432424004867</c:v>
                  </c:pt>
                  <c:pt idx="14">
                    <c:v>0.27485995097142246</c:v>
                  </c:pt>
                  <c:pt idx="15">
                    <c:v>0.29766694639925895</c:v>
                  </c:pt>
                  <c:pt idx="16">
                    <c:v>0.24718237521179826</c:v>
                  </c:pt>
                  <c:pt idx="17">
                    <c:v>0.22119681266060812</c:v>
                  </c:pt>
                </c:numCache>
              </c:numRef>
            </c:plus>
            <c:minus>
              <c:numRef>
                <c:f>'F2'!$N$2:$N$19</c:f>
                <c:numCache>
                  <c:formatCode>General</c:formatCode>
                  <c:ptCount val="18"/>
                  <c:pt idx="0">
                    <c:v>0.69981994843282735</c:v>
                  </c:pt>
                  <c:pt idx="1">
                    <c:v>0.4048649473292591</c:v>
                  </c:pt>
                  <c:pt idx="2">
                    <c:v>0.58568073865452686</c:v>
                  </c:pt>
                  <c:pt idx="3">
                    <c:v>0.37583594406689835</c:v>
                  </c:pt>
                  <c:pt idx="4">
                    <c:v>0.40372040306407964</c:v>
                  </c:pt>
                  <c:pt idx="5">
                    <c:v>0.64551090245555143</c:v>
                  </c:pt>
                  <c:pt idx="6">
                    <c:v>0.34485304246545828</c:v>
                  </c:pt>
                  <c:pt idx="7">
                    <c:v>0.29995705654286631</c:v>
                  </c:pt>
                  <c:pt idx="8">
                    <c:v>0.17320195405477049</c:v>
                  </c:pt>
                  <c:pt idx="9">
                    <c:v>0.3621326165831209</c:v>
                  </c:pt>
                  <c:pt idx="10">
                    <c:v>0.63672225376598446</c:v>
                  </c:pt>
                  <c:pt idx="11">
                    <c:v>0.40822547091319894</c:v>
                  </c:pt>
                  <c:pt idx="12">
                    <c:v>0.2438216365922552</c:v>
                  </c:pt>
                  <c:pt idx="13">
                    <c:v>0.26096432424004867</c:v>
                  </c:pt>
                  <c:pt idx="14">
                    <c:v>0.27485995097142246</c:v>
                  </c:pt>
                  <c:pt idx="15">
                    <c:v>0.29766694639925895</c:v>
                  </c:pt>
                  <c:pt idx="16">
                    <c:v>0.24718237521179826</c:v>
                  </c:pt>
                  <c:pt idx="17">
                    <c:v>0.22119681266060812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'F2'!$M$2:$M$19</c:f>
              <c:numCache>
                <c:formatCode>0.00%</c:formatCode>
                <c:ptCount val="18"/>
                <c:pt idx="0">
                  <c:v>0.3212494015831851</c:v>
                </c:pt>
                <c:pt idx="1">
                  <c:v>0.3212494015831851</c:v>
                </c:pt>
                <c:pt idx="2">
                  <c:v>0.65447439315144107</c:v>
                </c:pt>
                <c:pt idx="3">
                  <c:v>0.45929290078498514</c:v>
                </c:pt>
                <c:pt idx="4">
                  <c:v>0.83610261337825054</c:v>
                </c:pt>
                <c:pt idx="5">
                  <c:v>0.68051559881047952</c:v>
                </c:pt>
                <c:pt idx="6">
                  <c:v>0.90551362714545369</c:v>
                </c:pt>
                <c:pt idx="7">
                  <c:v>0.88588990763905762</c:v>
                </c:pt>
                <c:pt idx="8">
                  <c:v>0.84367532187400063</c:v>
                </c:pt>
                <c:pt idx="9">
                  <c:v>0.84000708917054345</c:v>
                </c:pt>
                <c:pt idx="10">
                  <c:v>0.42159234574390719</c:v>
                </c:pt>
                <c:pt idx="11">
                  <c:v>0.42159234574390719</c:v>
                </c:pt>
                <c:pt idx="12">
                  <c:v>0.42159234574390719</c:v>
                </c:pt>
                <c:pt idx="13">
                  <c:v>0.70349181350424639</c:v>
                </c:pt>
                <c:pt idx="14">
                  <c:v>0.70349181350424639</c:v>
                </c:pt>
                <c:pt idx="15">
                  <c:v>0.84475946587239459</c:v>
                </c:pt>
                <c:pt idx="16">
                  <c:v>0.85638781398421826</c:v>
                </c:pt>
                <c:pt idx="17">
                  <c:v>0.85638781398421826</c:v>
                </c:pt>
              </c:numCache>
            </c:numRef>
          </c:xVal>
          <c:yVal>
            <c:numRef>
              <c:f>'F2'!$K$2:$K$19</c:f>
              <c:numCache>
                <c:formatCode>General</c:formatCode>
                <c:ptCount val="18"/>
                <c:pt idx="0">
                  <c:v>2.0379167590336591</c:v>
                </c:pt>
                <c:pt idx="1">
                  <c:v>2.0936645541815362</c:v>
                </c:pt>
                <c:pt idx="2">
                  <c:v>2.5972638009032534</c:v>
                </c:pt>
                <c:pt idx="3">
                  <c:v>1.4548798348461354</c:v>
                </c:pt>
                <c:pt idx="4">
                  <c:v>1.9052694329566999</c:v>
                </c:pt>
                <c:pt idx="5">
                  <c:v>1.8091138997405964</c:v>
                </c:pt>
                <c:pt idx="6">
                  <c:v>1.5266938543150759</c:v>
                </c:pt>
                <c:pt idx="7">
                  <c:v>1.2784116668775904</c:v>
                </c:pt>
                <c:pt idx="8">
                  <c:v>1.4833755321512192</c:v>
                </c:pt>
                <c:pt idx="9">
                  <c:v>1.6793019475901829</c:v>
                </c:pt>
                <c:pt idx="10">
                  <c:v>1.7188947936892134</c:v>
                </c:pt>
                <c:pt idx="11">
                  <c:v>2.3269680041351388</c:v>
                </c:pt>
                <c:pt idx="12">
                  <c:v>1.8284322149027488</c:v>
                </c:pt>
                <c:pt idx="13">
                  <c:v>1.635025264613297</c:v>
                </c:pt>
                <c:pt idx="14">
                  <c:v>2.1602537812226381</c:v>
                </c:pt>
                <c:pt idx="15">
                  <c:v>1.9433348426031221</c:v>
                </c:pt>
                <c:pt idx="16">
                  <c:v>1.2852617466684764</c:v>
                </c:pt>
                <c:pt idx="17">
                  <c:v>1.1280161055289839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E-364C-9766-3B00A894D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9"/>
          <c:min val="0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812800</xdr:colOff>
      <xdr:row>3</xdr:row>
      <xdr:rowOff>0</xdr:rowOff>
    </xdr:from>
    <xdr:to>
      <xdr:col>18</xdr:col>
      <xdr:colOff>746445</xdr:colOff>
      <xdr:row>14</xdr:row>
      <xdr:rowOff>108090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9290E2-4281-2649-8774-0C423CB8F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121145</xdr:colOff>
      <xdr:row>1</xdr:row>
      <xdr:rowOff>151195</xdr:rowOff>
    </xdr:from>
    <xdr:to>
      <xdr:col>32</xdr:col>
      <xdr:colOff>54790</xdr:colOff>
      <xdr:row>13</xdr:row>
      <xdr:rowOff>66245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807023-E319-504C-97A4-C04F8E7FD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15</xdr:row>
      <xdr:rowOff>77439</xdr:rowOff>
    </xdr:from>
    <xdr:to>
      <xdr:col>18</xdr:col>
      <xdr:colOff>754499</xdr:colOff>
      <xdr:row>26</xdr:row>
      <xdr:rowOff>185529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89AB78-255E-404C-8B49-9830B1CB5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129153</xdr:colOff>
      <xdr:row>14</xdr:row>
      <xdr:rowOff>172203</xdr:rowOff>
    </xdr:from>
    <xdr:to>
      <xdr:col>32</xdr:col>
      <xdr:colOff>62798</xdr:colOff>
      <xdr:row>26</xdr:row>
      <xdr:rowOff>87253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C064DC-A7B2-C949-BB2D-8C04D9BBB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16</xdr:row>
      <xdr:rowOff>0</xdr:rowOff>
    </xdr:from>
    <xdr:to>
      <xdr:col>25</xdr:col>
      <xdr:colOff>645205</xdr:colOff>
      <xdr:row>27</xdr:row>
      <xdr:rowOff>104199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280D607-4E16-704B-AE4C-2139891AE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812800</xdr:colOff>
      <xdr:row>3</xdr:row>
      <xdr:rowOff>0</xdr:rowOff>
    </xdr:from>
    <xdr:to>
      <xdr:col>18</xdr:col>
      <xdr:colOff>746445</xdr:colOff>
      <xdr:row>14</xdr:row>
      <xdr:rowOff>108090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6FABED-D49E-B54A-B8D3-ADD97D54E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320040</xdr:colOff>
      <xdr:row>1</xdr:row>
      <xdr:rowOff>185420</xdr:rowOff>
    </xdr:from>
    <xdr:to>
      <xdr:col>29</xdr:col>
      <xdr:colOff>253685</xdr:colOff>
      <xdr:row>13</xdr:row>
      <xdr:rowOff>100470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3BD9D1-D0F1-E648-A604-4F9BDAE2B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304800</xdr:colOff>
      <xdr:row>14</xdr:row>
      <xdr:rowOff>101600</xdr:rowOff>
    </xdr:from>
    <xdr:to>
      <xdr:col>29</xdr:col>
      <xdr:colOff>238445</xdr:colOff>
      <xdr:row>26</xdr:row>
      <xdr:rowOff>16650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0BF7C3-CDA0-B24B-AB06-B1437A391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18</xdr:col>
      <xdr:colOff>759145</xdr:colOff>
      <xdr:row>27</xdr:row>
      <xdr:rowOff>108090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2CEA07F-8A53-E648-8121-87C01F550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workbookViewId="0">
      <selection activeCell="H1" sqref="H1:H1048576"/>
    </sheetView>
  </sheetViews>
  <sheetFormatPr baseColWidth="10" defaultColWidth="8.83203125" defaultRowHeight="15" x14ac:dyDescent="0.2"/>
  <cols>
    <col min="1" max="1" width="41" customWidth="1"/>
    <col min="2" max="2" width="6.5" customWidth="1"/>
    <col min="3" max="3" width="11.6640625" customWidth="1"/>
    <col min="4" max="4" width="14.6640625" customWidth="1"/>
    <col min="5" max="5" width="11.6640625" customWidth="1"/>
    <col min="6" max="6" width="14.6640625" customWidth="1"/>
    <col min="7" max="7" width="11.6640625" customWidth="1"/>
    <col min="8" max="9" width="14.6640625" customWidth="1"/>
    <col min="10" max="10" width="15.6640625" customWidth="1"/>
  </cols>
  <sheetData>
    <row r="1" spans="1:10" x14ac:dyDescent="0.2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 x14ac:dyDescent="0.2">
      <c r="A2" t="s">
        <v>1</v>
      </c>
      <c r="B2">
        <v>1</v>
      </c>
      <c r="C2">
        <v>9.2367615892478376</v>
      </c>
      <c r="D2">
        <v>1.5136340476000001E-2</v>
      </c>
      <c r="E2">
        <v>9.2387147523955555</v>
      </c>
      <c r="F2">
        <v>7.7221337990000007E-3</v>
      </c>
      <c r="G2">
        <v>9.2395155492861196</v>
      </c>
      <c r="H2">
        <v>2.3968916010000002E-3</v>
      </c>
      <c r="I2">
        <v>1.9531631477178735E-3</v>
      </c>
      <c r="J2">
        <v>8.0079689056411496E-4</v>
      </c>
    </row>
    <row r="3" spans="1:10" x14ac:dyDescent="0.2">
      <c r="A3" t="s">
        <v>1</v>
      </c>
      <c r="B3">
        <v>2</v>
      </c>
      <c r="C3">
        <v>54.24218162471923</v>
      </c>
      <c r="D3">
        <v>1.3812048066000001E-2</v>
      </c>
      <c r="E3">
        <v>54.243939471552181</v>
      </c>
      <c r="F3">
        <v>6.8470023170000005E-3</v>
      </c>
      <c r="G3">
        <v>54.244798863337174</v>
      </c>
      <c r="H3">
        <v>4.7793973930000001E-3</v>
      </c>
      <c r="I3">
        <v>1.7578468329517705E-3</v>
      </c>
      <c r="J3">
        <v>8.5939178499216951E-4</v>
      </c>
    </row>
    <row r="4" spans="1:10" x14ac:dyDescent="0.2">
      <c r="A4" t="s">
        <v>1</v>
      </c>
      <c r="B4">
        <v>3</v>
      </c>
      <c r="C4">
        <v>80.670201060708209</v>
      </c>
      <c r="D4">
        <v>1.6771261842999999E-2</v>
      </c>
      <c r="E4">
        <v>80.671978439172634</v>
      </c>
      <c r="F4">
        <v>8.5826187289999994E-3</v>
      </c>
      <c r="G4">
        <v>80.672876894220593</v>
      </c>
      <c r="H4">
        <v>4.1355593779999998E-3</v>
      </c>
      <c r="I4">
        <v>1.7773784644248281E-3</v>
      </c>
      <c r="J4">
        <v>8.9845504795960096E-4</v>
      </c>
    </row>
    <row r="5" spans="1:10" x14ac:dyDescent="0.2">
      <c r="A5" t="s">
        <v>1</v>
      </c>
      <c r="B5">
        <v>4</v>
      </c>
      <c r="C5">
        <v>100.8990149300416</v>
      </c>
      <c r="D5">
        <v>1.7153903014000001E-2</v>
      </c>
      <c r="E5">
        <v>100.90075324524308</v>
      </c>
      <c r="F5">
        <v>9.2264567439999997E-3</v>
      </c>
      <c r="G5">
        <v>100.90167123192251</v>
      </c>
      <c r="H5">
        <v>5.3103349030000002E-3</v>
      </c>
      <c r="I5">
        <v>1.7383152014787129E-3</v>
      </c>
      <c r="J5">
        <v>9.1798667942555312E-4</v>
      </c>
    </row>
    <row r="6" spans="1:10" x14ac:dyDescent="0.2">
      <c r="A6" t="s">
        <v>1</v>
      </c>
      <c r="B6">
        <v>5</v>
      </c>
      <c r="C6">
        <v>114.3337085226938</v>
      </c>
      <c r="D6">
        <v>1.6073719803999999E-2</v>
      </c>
      <c r="E6">
        <v>114.33542730626378</v>
      </c>
      <c r="F6">
        <v>8.7705828129999996E-3</v>
      </c>
      <c r="G6">
        <v>114.33638435620617</v>
      </c>
      <c r="H6">
        <v>5.0918571689999997E-3</v>
      </c>
      <c r="I6">
        <v>1.718783569984339E-3</v>
      </c>
      <c r="J6">
        <v>9.5704994238587915E-4</v>
      </c>
    </row>
    <row r="7" spans="1:10" x14ac:dyDescent="0.2">
      <c r="A7" t="s">
        <v>2</v>
      </c>
    </row>
    <row r="8" spans="1:10" x14ac:dyDescent="0.2">
      <c r="A8" t="s">
        <v>3</v>
      </c>
      <c r="B8">
        <v>1</v>
      </c>
      <c r="C8">
        <v>9.2278647057266756</v>
      </c>
      <c r="D8">
        <v>1.2063005648000001E-2</v>
      </c>
      <c r="E8">
        <v>9.2298178688743935</v>
      </c>
      <c r="F8">
        <v>5.5178277229999996E-3</v>
      </c>
      <c r="G8">
        <v>9.2306186657649576</v>
      </c>
      <c r="H8">
        <v>3.3476969350000004E-3</v>
      </c>
      <c r="I8">
        <v>1.9531631477178735E-3</v>
      </c>
      <c r="J8">
        <v>8.0079689056411496E-4</v>
      </c>
    </row>
    <row r="9" spans="1:10" x14ac:dyDescent="0.2">
      <c r="A9" t="s">
        <v>3</v>
      </c>
      <c r="B9">
        <v>2</v>
      </c>
      <c r="C9">
        <v>19.529460869677141</v>
      </c>
      <c r="D9">
        <v>1.5906505001999999E-2</v>
      </c>
      <c r="E9">
        <v>19.531316374667473</v>
      </c>
      <c r="F9">
        <v>8.1358988929999994E-3</v>
      </c>
      <c r="G9">
        <v>19.532078108295085</v>
      </c>
      <c r="H9">
        <v>4.0525622499999999E-3</v>
      </c>
      <c r="I9">
        <v>1.8555049903312693E-3</v>
      </c>
      <c r="J9">
        <v>7.6173362761267072E-4</v>
      </c>
    </row>
    <row r="10" spans="1:10" x14ac:dyDescent="0.2">
      <c r="A10" t="s">
        <v>3</v>
      </c>
      <c r="B10">
        <v>3</v>
      </c>
      <c r="C10">
        <v>39.952021790825995</v>
      </c>
      <c r="D10">
        <v>1.5735628562E-2</v>
      </c>
      <c r="E10">
        <v>39.953838232553373</v>
      </c>
      <c r="F10">
        <v>8.9567160780000005E-3</v>
      </c>
      <c r="G10">
        <v>39.954599966180986</v>
      </c>
      <c r="H10">
        <v>4.2527317940000003E-3</v>
      </c>
      <c r="I10">
        <v>1.8164417273780487E-3</v>
      </c>
      <c r="J10">
        <v>7.6173362761267072E-4</v>
      </c>
    </row>
    <row r="11" spans="1:10" x14ac:dyDescent="0.2">
      <c r="A11" t="s">
        <v>3</v>
      </c>
      <c r="B11">
        <v>4</v>
      </c>
      <c r="C11">
        <v>48.614364223189909</v>
      </c>
      <c r="D11">
        <v>1.5042968707000001E-2</v>
      </c>
      <c r="E11">
        <v>48.616180664917287</v>
      </c>
      <c r="F11">
        <v>8.588721459E-3</v>
      </c>
      <c r="G11">
        <v>48.616961930176373</v>
      </c>
      <c r="H11">
        <v>3.1231164710000003E-3</v>
      </c>
      <c r="I11">
        <v>1.8164417273780487E-3</v>
      </c>
      <c r="J11">
        <v>7.812652590857283E-4</v>
      </c>
    </row>
    <row r="12" spans="1:10" x14ac:dyDescent="0.2">
      <c r="A12" t="s">
        <v>3</v>
      </c>
      <c r="B12">
        <v>5</v>
      </c>
      <c r="C12">
        <v>57.922571831629526</v>
      </c>
      <c r="D12">
        <v>1.5545833659000001E-2</v>
      </c>
      <c r="E12">
        <v>57.924368741725424</v>
      </c>
      <c r="F12">
        <v>8.107216062000001E-3</v>
      </c>
      <c r="G12">
        <v>57.925130475353036</v>
      </c>
      <c r="H12">
        <v>4.1441032000000006E-3</v>
      </c>
      <c r="I12">
        <v>1.7969100958978856E-3</v>
      </c>
      <c r="J12">
        <v>7.6173362761267072E-4</v>
      </c>
    </row>
    <row r="13" spans="1:10" x14ac:dyDescent="0.2">
      <c r="A13" t="s">
        <v>4</v>
      </c>
    </row>
    <row r="14" spans="1:10" x14ac:dyDescent="0.2">
      <c r="A14" t="s">
        <v>5</v>
      </c>
      <c r="B14">
        <v>1</v>
      </c>
      <c r="C14">
        <v>3.6472353359167173</v>
      </c>
      <c r="D14">
        <v>1.2586009609E-2</v>
      </c>
      <c r="E14">
        <v>3.6484853603312564</v>
      </c>
      <c r="F14">
        <v>5.8144204010000004E-3</v>
      </c>
      <c r="G14">
        <v>3.6494619419051153</v>
      </c>
      <c r="H14">
        <v>2.3456286690000001E-3</v>
      </c>
      <c r="I14">
        <v>1.2500244145390305E-3</v>
      </c>
      <c r="J14">
        <v>9.7658157385893674E-4</v>
      </c>
    </row>
    <row r="15" spans="1:10" x14ac:dyDescent="0.2">
      <c r="A15" t="s">
        <v>5</v>
      </c>
      <c r="B15">
        <v>2</v>
      </c>
      <c r="C15">
        <v>18.700294686458719</v>
      </c>
      <c r="D15">
        <v>1.3491654741000001E-2</v>
      </c>
      <c r="E15">
        <v>18.701447052715871</v>
      </c>
      <c r="F15">
        <v>5.5233201800000001E-3</v>
      </c>
      <c r="G15">
        <v>18.702325976132347</v>
      </c>
      <c r="H15">
        <v>2.4542572630000003E-3</v>
      </c>
      <c r="I15">
        <v>1.1523662571519822E-3</v>
      </c>
      <c r="J15">
        <v>8.7892341647588523E-4</v>
      </c>
    </row>
    <row r="16" spans="1:10" x14ac:dyDescent="0.2">
      <c r="A16" t="s">
        <v>5</v>
      </c>
      <c r="B16">
        <v>3</v>
      </c>
      <c r="C16">
        <v>51.174498437912845</v>
      </c>
      <c r="D16">
        <v>1.2293688842000002E-2</v>
      </c>
      <c r="E16">
        <v>51.175709399064431</v>
      </c>
      <c r="F16">
        <v>5.4763291590000001E-3</v>
      </c>
      <c r="G16">
        <v>51.17654925921795</v>
      </c>
      <c r="H16">
        <v>2.4457134410000004E-3</v>
      </c>
      <c r="I16">
        <v>1.2109611515853658E-3</v>
      </c>
      <c r="J16">
        <v>8.3986015351911192E-4</v>
      </c>
    </row>
    <row r="17" spans="1:10" x14ac:dyDescent="0.2">
      <c r="A17" t="s">
        <v>5</v>
      </c>
      <c r="B17">
        <v>4</v>
      </c>
      <c r="C17">
        <v>51.174498437912845</v>
      </c>
      <c r="D17">
        <v>1.2293688842000002E-2</v>
      </c>
      <c r="E17">
        <v>51.175709399064431</v>
      </c>
      <c r="F17">
        <v>5.4763291590000001E-3</v>
      </c>
      <c r="G17">
        <v>51.17654925921795</v>
      </c>
      <c r="H17">
        <v>2.4457134410000004E-3</v>
      </c>
      <c r="I17">
        <v>1.2109611515853658E-3</v>
      </c>
      <c r="J17">
        <v>8.3986015351911192E-4</v>
      </c>
    </row>
    <row r="18" spans="1:10" x14ac:dyDescent="0.2">
      <c r="A18" t="s">
        <v>5</v>
      </c>
      <c r="B18">
        <v>5</v>
      </c>
      <c r="C18">
        <v>88.208403843330927</v>
      </c>
      <c r="D18">
        <v>1.4582212592E-2</v>
      </c>
      <c r="E18">
        <v>88.209673399376939</v>
      </c>
      <c r="F18">
        <v>6.4637508730000003E-3</v>
      </c>
      <c r="G18">
        <v>88.210591386056379</v>
      </c>
      <c r="H18">
        <v>2.5384749370000004E-3</v>
      </c>
      <c r="I18">
        <v>1.269556046011644E-3</v>
      </c>
      <c r="J18">
        <v>9.1798667943976398E-4</v>
      </c>
    </row>
    <row r="19" spans="1:10" x14ac:dyDescent="0.2">
      <c r="A19" t="s">
        <v>5</v>
      </c>
      <c r="B19">
        <v>6</v>
      </c>
      <c r="C19">
        <v>107.49373248440008</v>
      </c>
      <c r="D19">
        <v>1.3157835410000001E-2</v>
      </c>
      <c r="E19">
        <v>107.4949239139202</v>
      </c>
      <c r="F19">
        <v>5.5422386430000001E-3</v>
      </c>
      <c r="G19">
        <v>107.49582236896815</v>
      </c>
      <c r="H19">
        <v>2.1814652320000004E-3</v>
      </c>
      <c r="I19">
        <v>1.1914295201194136E-3</v>
      </c>
      <c r="J19">
        <v>8.9845504794539011E-4</v>
      </c>
    </row>
    <row r="20" spans="1:10" x14ac:dyDescent="0.2">
      <c r="A20" t="s">
        <v>5</v>
      </c>
      <c r="B20">
        <v>7</v>
      </c>
      <c r="C20">
        <v>128.37972108758177</v>
      </c>
      <c r="D20">
        <v>1.8565464463E-2</v>
      </c>
      <c r="E20">
        <v>128.38085392220745</v>
      </c>
      <c r="F20">
        <v>1.1319082861E-2</v>
      </c>
      <c r="G20">
        <v>128.38138127625734</v>
      </c>
      <c r="H20">
        <v>2.9125722860000001E-3</v>
      </c>
      <c r="I20">
        <v>1.1328346256789246E-3</v>
      </c>
      <c r="J20">
        <v>5.2735404989334711E-4</v>
      </c>
    </row>
    <row r="21" spans="1:10" x14ac:dyDescent="0.2">
      <c r="A21" t="s">
        <v>6</v>
      </c>
    </row>
    <row r="22" spans="1:10" x14ac:dyDescent="0.2">
      <c r="A22" t="s">
        <v>7</v>
      </c>
      <c r="B22">
        <v>1</v>
      </c>
      <c r="C22">
        <v>13.657439971100997</v>
      </c>
      <c r="D22">
        <v>1.6804826857999999E-2</v>
      </c>
      <c r="E22">
        <v>13.659236881196897</v>
      </c>
      <c r="F22">
        <v>7.7355598050000002E-3</v>
      </c>
      <c r="G22">
        <v>13.659998614824508</v>
      </c>
      <c r="H22">
        <v>4.3827199430000003E-3</v>
      </c>
      <c r="I22">
        <v>1.796910095899662E-3</v>
      </c>
      <c r="J22">
        <v>7.6173362761089436E-4</v>
      </c>
    </row>
    <row r="23" spans="1:10" x14ac:dyDescent="0.2">
      <c r="A23" t="s">
        <v>7</v>
      </c>
      <c r="B23">
        <v>2</v>
      </c>
      <c r="C23">
        <v>28.068477666511065</v>
      </c>
      <c r="D23">
        <v>1.3622253163000001E-2</v>
      </c>
      <c r="E23">
        <v>28.07025504497549</v>
      </c>
      <c r="F23">
        <v>6.7908572010000005E-3</v>
      </c>
      <c r="G23">
        <v>28.071016778603099</v>
      </c>
      <c r="H23">
        <v>4.3033844530000007E-3</v>
      </c>
      <c r="I23">
        <v>1.7773784644248281E-3</v>
      </c>
      <c r="J23">
        <v>7.61733627609118E-4</v>
      </c>
    </row>
    <row r="24" spans="1:10" x14ac:dyDescent="0.2">
      <c r="A24" t="s">
        <v>7</v>
      </c>
      <c r="B24">
        <v>3</v>
      </c>
      <c r="C24">
        <v>36.582043196308518</v>
      </c>
      <c r="D24">
        <v>1.3859039087000001E-2</v>
      </c>
      <c r="E24">
        <v>36.583801043141463</v>
      </c>
      <c r="F24">
        <v>3.7797702190000004E-3</v>
      </c>
      <c r="G24">
        <v>36.584679966557935</v>
      </c>
      <c r="H24">
        <v>3.8255406940000004E-3</v>
      </c>
      <c r="I24">
        <v>1.757846832944665E-3</v>
      </c>
      <c r="J24">
        <v>8.7892341647233252E-4</v>
      </c>
    </row>
    <row r="25" spans="1:10" x14ac:dyDescent="0.2">
      <c r="A25" t="s">
        <v>7</v>
      </c>
      <c r="B25">
        <v>4</v>
      </c>
      <c r="C25">
        <v>58.330285713469017</v>
      </c>
      <c r="D25">
        <v>1.6615642228000001E-2</v>
      </c>
      <c r="E25">
        <v>58.331887307250142</v>
      </c>
      <c r="F25">
        <v>8.3574279920000001E-3</v>
      </c>
      <c r="G25">
        <v>58.332688104140708</v>
      </c>
      <c r="H25">
        <v>5.122370819E-3</v>
      </c>
      <c r="I25">
        <v>1.6015937811246772E-3</v>
      </c>
      <c r="J25">
        <v>8.0079689056589132E-4</v>
      </c>
    </row>
    <row r="26" spans="1:10" x14ac:dyDescent="0.2">
      <c r="A26" t="s">
        <v>7</v>
      </c>
      <c r="B26">
        <v>5</v>
      </c>
      <c r="C26">
        <v>67.492830600513685</v>
      </c>
      <c r="D26">
        <v>1.3240832538000001E-2</v>
      </c>
      <c r="E26">
        <v>67.494451725926282</v>
      </c>
      <c r="F26">
        <v>4.60180795E-3</v>
      </c>
      <c r="G26">
        <v>67.495213459553895</v>
      </c>
      <c r="H26">
        <v>4.2661577999999999E-3</v>
      </c>
      <c r="I26">
        <v>1.6211254125977348E-3</v>
      </c>
      <c r="J26">
        <v>7.6173362761267072E-4</v>
      </c>
    </row>
    <row r="27" spans="1:10" x14ac:dyDescent="0.2">
      <c r="A27" t="s">
        <v>7</v>
      </c>
      <c r="B27">
        <v>6</v>
      </c>
      <c r="C27">
        <v>107.76951035496592</v>
      </c>
      <c r="D27">
        <v>1.2495078932000001E-2</v>
      </c>
      <c r="E27">
        <v>107.77107288548409</v>
      </c>
      <c r="F27">
        <v>5.3432896450000007E-3</v>
      </c>
      <c r="G27">
        <v>107.77175649258579</v>
      </c>
      <c r="H27">
        <v>4.5572580210000001E-3</v>
      </c>
      <c r="I27">
        <v>1.5625305181714566E-3</v>
      </c>
      <c r="J27">
        <v>6.8360710170622951E-4</v>
      </c>
    </row>
    <row r="28" spans="1:10" x14ac:dyDescent="0.2">
      <c r="A28" t="s">
        <v>7</v>
      </c>
      <c r="B28">
        <v>7</v>
      </c>
      <c r="C28">
        <v>117.95732999661712</v>
      </c>
      <c r="D28">
        <v>1.3180415511E-2</v>
      </c>
      <c r="E28">
        <v>117.95889252713529</v>
      </c>
      <c r="F28">
        <v>7.0038424780000004E-3</v>
      </c>
      <c r="G28">
        <v>117.95955660260552</v>
      </c>
      <c r="H28">
        <v>3.5545794820000002E-3</v>
      </c>
      <c r="I28">
        <v>1.5625305181714566E-3</v>
      </c>
      <c r="J28">
        <v>6.640754702260665E-4</v>
      </c>
    </row>
    <row r="29" spans="1:10" x14ac:dyDescent="0.2">
      <c r="A29" t="s">
        <v>8</v>
      </c>
    </row>
    <row r="30" spans="1:10" x14ac:dyDescent="0.2">
      <c r="A30" t="s">
        <v>9</v>
      </c>
      <c r="B30">
        <v>1</v>
      </c>
      <c r="C30">
        <v>13.488317748832985</v>
      </c>
      <c r="D30">
        <v>1.2164310966E-2</v>
      </c>
      <c r="E30">
        <v>13.489821684456729</v>
      </c>
      <c r="F30">
        <v>4.7726843900000003E-3</v>
      </c>
      <c r="G30">
        <v>13.490739671136154</v>
      </c>
      <c r="H30">
        <v>3.914030279E-3</v>
      </c>
      <c r="I30">
        <v>1.5039356237434021E-3</v>
      </c>
      <c r="J30">
        <v>9.1798667942555312E-4</v>
      </c>
    </row>
    <row r="31" spans="1:10" x14ac:dyDescent="0.2">
      <c r="A31" t="s">
        <v>9</v>
      </c>
      <c r="B31">
        <v>2</v>
      </c>
      <c r="C31">
        <v>20.983782006322389</v>
      </c>
      <c r="D31">
        <v>1.3956072494000001E-2</v>
      </c>
      <c r="E31">
        <v>20.985227347051701</v>
      </c>
      <c r="F31">
        <v>5.7893992079999998E-3</v>
      </c>
      <c r="G31">
        <v>20.986028143942264</v>
      </c>
      <c r="H31">
        <v>2.241882259E-3</v>
      </c>
      <c r="I31">
        <v>1.4453407293117948E-3</v>
      </c>
      <c r="J31">
        <v>8.007968905623386E-4</v>
      </c>
    </row>
    <row r="32" spans="1:10" x14ac:dyDescent="0.2">
      <c r="A32" t="s">
        <v>9</v>
      </c>
      <c r="B32">
        <v>3</v>
      </c>
      <c r="C32">
        <v>29.075153673298306</v>
      </c>
      <c r="D32">
        <v>1.2917387848000001E-2</v>
      </c>
      <c r="E32">
        <v>29.076599014027618</v>
      </c>
      <c r="F32">
        <v>5.5977734860000001E-3</v>
      </c>
      <c r="G32">
        <v>29.077458405812614</v>
      </c>
      <c r="H32">
        <v>3.078566542E-3</v>
      </c>
      <c r="I32">
        <v>1.4453407293117948E-3</v>
      </c>
      <c r="J32">
        <v>8.5939178499572222E-4</v>
      </c>
    </row>
    <row r="33" spans="1:10" x14ac:dyDescent="0.2">
      <c r="A33" t="s">
        <v>9</v>
      </c>
      <c r="B33">
        <v>4</v>
      </c>
      <c r="C33">
        <v>36.931766097068298</v>
      </c>
      <c r="D33">
        <v>1.2202758165000001E-2</v>
      </c>
      <c r="E33">
        <v>36.93321143779761</v>
      </c>
      <c r="F33">
        <v>5.5581057409999999E-3</v>
      </c>
      <c r="G33">
        <v>36.934109892845562</v>
      </c>
      <c r="H33">
        <v>2.8362881610000004E-3</v>
      </c>
      <c r="I33">
        <v>1.4453407293117948E-3</v>
      </c>
      <c r="J33">
        <v>8.9845504795249553E-4</v>
      </c>
    </row>
    <row r="34" spans="1:10" x14ac:dyDescent="0.2">
      <c r="A34" t="s">
        <v>9</v>
      </c>
      <c r="B34">
        <v>5</v>
      </c>
      <c r="C34">
        <v>46.892838435289754</v>
      </c>
      <c r="D34">
        <v>1.4441239529E-2</v>
      </c>
      <c r="E34">
        <v>46.894264244387585</v>
      </c>
      <c r="F34">
        <v>6.1293212690000003E-3</v>
      </c>
      <c r="G34">
        <v>46.895104104541105</v>
      </c>
      <c r="H34">
        <v>3.4581563480000003E-3</v>
      </c>
      <c r="I34">
        <v>1.4258090978316318E-3</v>
      </c>
      <c r="J34">
        <v>8.3986015351911192E-4</v>
      </c>
    </row>
    <row r="35" spans="1:10" x14ac:dyDescent="0.2">
      <c r="A35" t="s">
        <v>9</v>
      </c>
      <c r="B35">
        <v>6</v>
      </c>
      <c r="C35">
        <v>61.075690918723026</v>
      </c>
      <c r="D35">
        <v>1.2654360185000001E-2</v>
      </c>
      <c r="E35">
        <v>61.077136259452338</v>
      </c>
      <c r="F35">
        <v>5.484872981E-3</v>
      </c>
      <c r="G35">
        <v>61.078073777763244</v>
      </c>
      <c r="H35">
        <v>2.6812788190000002E-3</v>
      </c>
      <c r="I35">
        <v>1.4453407293117948E-3</v>
      </c>
      <c r="J35">
        <v>9.3751831090571613E-4</v>
      </c>
    </row>
    <row r="36" spans="1:10" x14ac:dyDescent="0.2">
      <c r="A36" t="s">
        <v>9</v>
      </c>
      <c r="B36">
        <v>7</v>
      </c>
      <c r="C36">
        <v>92.982594468825567</v>
      </c>
      <c r="D36">
        <v>1.2954614501E-2</v>
      </c>
      <c r="E36">
        <v>92.984039809554872</v>
      </c>
      <c r="F36">
        <v>6.349629822E-3</v>
      </c>
      <c r="G36">
        <v>92.984996859497258</v>
      </c>
      <c r="H36">
        <v>3.2744641750000001E-3</v>
      </c>
      <c r="I36">
        <v>1.4453407293046894E-3</v>
      </c>
      <c r="J36">
        <v>9.5704994238587915E-4</v>
      </c>
    </row>
    <row r="37" spans="1:10" x14ac:dyDescent="0.2">
      <c r="A37" t="s">
        <v>10</v>
      </c>
    </row>
    <row r="38" spans="1:10" x14ac:dyDescent="0.2">
      <c r="A38" t="s">
        <v>11</v>
      </c>
      <c r="B38">
        <v>1</v>
      </c>
      <c r="C38">
        <v>7.4103598246274336</v>
      </c>
      <c r="D38">
        <v>1.6177466214E-2</v>
      </c>
      <c r="E38">
        <v>7.4122153296177657</v>
      </c>
      <c r="F38">
        <v>5.1882803030000001E-3</v>
      </c>
      <c r="G38">
        <v>7.413055189771284</v>
      </c>
      <c r="H38">
        <v>4.6640557960000006E-3</v>
      </c>
      <c r="I38">
        <v>1.8555049903321574E-3</v>
      </c>
      <c r="J38">
        <v>8.3986015351822374E-4</v>
      </c>
    </row>
    <row r="39" spans="1:10" x14ac:dyDescent="0.2">
      <c r="A39" t="s">
        <v>11</v>
      </c>
      <c r="B39">
        <v>2</v>
      </c>
      <c r="C39">
        <v>17.854225322467236</v>
      </c>
      <c r="D39">
        <v>1.6186620309000001E-2</v>
      </c>
      <c r="E39">
        <v>17.856022232563134</v>
      </c>
      <c r="F39">
        <v>8.4099114699999998E-3</v>
      </c>
      <c r="G39">
        <v>17.85674490292779</v>
      </c>
      <c r="H39">
        <v>4.8776513459999997E-3</v>
      </c>
      <c r="I39">
        <v>1.7969100958978856E-3</v>
      </c>
      <c r="J39">
        <v>7.226703646558974E-4</v>
      </c>
    </row>
    <row r="40" spans="1:10" x14ac:dyDescent="0.2">
      <c r="A40" t="s">
        <v>11</v>
      </c>
      <c r="B40">
        <v>3</v>
      </c>
      <c r="C40">
        <v>43.708370649737297</v>
      </c>
      <c r="D40">
        <v>1.8190146567999999E-2</v>
      </c>
      <c r="E40">
        <v>43.710069901675816</v>
      </c>
      <c r="F40">
        <v>9.9801438989999998E-3</v>
      </c>
      <c r="G40">
        <v>43.710831635303421</v>
      </c>
      <c r="H40">
        <v>3.7700058510000004E-3</v>
      </c>
      <c r="I40">
        <v>1.6992519385183869E-3</v>
      </c>
      <c r="J40">
        <v>7.6173362760556529E-4</v>
      </c>
    </row>
    <row r="41" spans="1:10" x14ac:dyDescent="0.2">
      <c r="A41" t="s">
        <v>11</v>
      </c>
      <c r="B41">
        <v>4</v>
      </c>
      <c r="C41">
        <v>49.74430490650208</v>
      </c>
      <c r="D41">
        <v>2.2900938260000002E-3</v>
      </c>
      <c r="E41">
        <v>49.745672120705478</v>
      </c>
      <c r="F41">
        <v>1.0176746210000002E-3</v>
      </c>
      <c r="G41">
        <v>49.746140879860931</v>
      </c>
      <c r="H41">
        <v>1.0182848940000003E-3</v>
      </c>
      <c r="I41">
        <v>1.3672142033982482E-3</v>
      </c>
      <c r="J41">
        <v>4.6875915545285807E-4</v>
      </c>
    </row>
    <row r="42" spans="1:10" x14ac:dyDescent="0.2">
      <c r="A42" t="s">
        <v>11</v>
      </c>
      <c r="B42">
        <v>5</v>
      </c>
      <c r="C42">
        <v>140.12879680929117</v>
      </c>
      <c r="D42">
        <v>1.7216761133E-2</v>
      </c>
      <c r="E42">
        <v>140.13045699796675</v>
      </c>
      <c r="F42">
        <v>9.7665483490000007E-3</v>
      </c>
      <c r="G42">
        <v>140.13121873159434</v>
      </c>
      <c r="H42">
        <v>3.7425435660000004E-3</v>
      </c>
      <c r="I42">
        <v>1.6601886755722717E-3</v>
      </c>
      <c r="J42">
        <v>7.6173362759845986E-4</v>
      </c>
    </row>
    <row r="43" spans="1:10" x14ac:dyDescent="0.2">
      <c r="A43" t="s">
        <v>11</v>
      </c>
      <c r="B43">
        <v>6</v>
      </c>
      <c r="C43">
        <v>150.22668310365242</v>
      </c>
      <c r="D43">
        <v>1.7997910573000001E-2</v>
      </c>
      <c r="E43">
        <v>150.22836282395946</v>
      </c>
      <c r="F43">
        <v>9.7451887939999995E-3</v>
      </c>
      <c r="G43">
        <v>150.22912455758706</v>
      </c>
      <c r="H43">
        <v>5.6514775100000008E-3</v>
      </c>
      <c r="I43">
        <v>1.6797203070382238E-3</v>
      </c>
      <c r="J43">
        <v>7.6173362759845986E-4</v>
      </c>
    </row>
    <row r="44" spans="1:10" x14ac:dyDescent="0.2">
      <c r="A44" t="s">
        <v>11</v>
      </c>
      <c r="B44">
        <v>7</v>
      </c>
      <c r="C44">
        <v>160.12552848523993</v>
      </c>
      <c r="D44">
        <v>1.8030255041999999E-2</v>
      </c>
      <c r="E44">
        <v>160.1271886739155</v>
      </c>
      <c r="F44">
        <v>1.0268192755000001E-2</v>
      </c>
      <c r="G44">
        <v>160.12796993917459</v>
      </c>
      <c r="H44">
        <v>5.5605468330000001E-3</v>
      </c>
      <c r="I44">
        <v>1.6601886755722717E-3</v>
      </c>
      <c r="J44">
        <v>7.8126525909283373E-4</v>
      </c>
    </row>
    <row r="45" spans="1:10" x14ac:dyDescent="0.2">
      <c r="A45" t="s">
        <v>12</v>
      </c>
    </row>
    <row r="46" spans="1:10" x14ac:dyDescent="0.2">
      <c r="A46" t="s">
        <v>13</v>
      </c>
      <c r="B46">
        <v>1</v>
      </c>
      <c r="C46">
        <v>3.1201778596710872</v>
      </c>
      <c r="D46">
        <v>1.0295044767E-2</v>
      </c>
      <c r="E46">
        <v>3.1223654023965315</v>
      </c>
      <c r="F46">
        <v>3.0212008800000003E-3</v>
      </c>
      <c r="G46">
        <v>3.1234396421277761</v>
      </c>
      <c r="H46">
        <v>2.6532062610000002E-3</v>
      </c>
      <c r="I46">
        <v>2.1875427254443025E-3</v>
      </c>
      <c r="J46">
        <v>1.0742397312446528E-3</v>
      </c>
    </row>
    <row r="47" spans="1:10" x14ac:dyDescent="0.2">
      <c r="A47" t="s">
        <v>13</v>
      </c>
      <c r="B47">
        <v>2</v>
      </c>
      <c r="C47">
        <v>13.173838092423679</v>
      </c>
      <c r="D47">
        <v>1.0110132048000001E-2</v>
      </c>
      <c r="E47">
        <v>13.175849850465829</v>
      </c>
      <c r="F47">
        <v>3.9268460120000003E-3</v>
      </c>
      <c r="G47">
        <v>13.176357672884235</v>
      </c>
      <c r="H47">
        <v>2.9613941260000004E-3</v>
      </c>
      <c r="I47">
        <v>2.0117580421494807E-3</v>
      </c>
      <c r="J47">
        <v>5.0782241840607867E-4</v>
      </c>
    </row>
    <row r="48" spans="1:10" x14ac:dyDescent="0.2">
      <c r="A48" t="s">
        <v>13</v>
      </c>
      <c r="B48">
        <v>3</v>
      </c>
      <c r="C48">
        <v>19.483289577405806</v>
      </c>
      <c r="D48">
        <v>1.2765429871000001E-2</v>
      </c>
      <c r="E48">
        <v>19.485359930342387</v>
      </c>
      <c r="F48">
        <v>5.2786007069999998E-3</v>
      </c>
      <c r="G48">
        <v>19.486473233336586</v>
      </c>
      <c r="H48">
        <v>3.3794311310000004E-3</v>
      </c>
      <c r="I48">
        <v>2.070352936581088E-3</v>
      </c>
      <c r="J48">
        <v>1.1133029941987616E-3</v>
      </c>
    </row>
    <row r="49" spans="1:10" x14ac:dyDescent="0.2">
      <c r="A49" t="s">
        <v>13</v>
      </c>
      <c r="B49">
        <v>4</v>
      </c>
      <c r="C49">
        <v>25.426575506814586</v>
      </c>
      <c r="D49">
        <v>1.4173939955000001E-2</v>
      </c>
      <c r="E49">
        <v>25.428606796488214</v>
      </c>
      <c r="F49">
        <v>5.9267106329999996E-3</v>
      </c>
      <c r="G49">
        <v>25.429720099482413</v>
      </c>
      <c r="H49">
        <v>2.9839742270000003E-3</v>
      </c>
      <c r="I49">
        <v>2.0312896736278674E-3</v>
      </c>
      <c r="J49">
        <v>1.1133029941987616E-3</v>
      </c>
    </row>
    <row r="50" spans="1:10" x14ac:dyDescent="0.2">
      <c r="A50" t="s">
        <v>13</v>
      </c>
      <c r="B50">
        <v>5</v>
      </c>
      <c r="C50">
        <v>41.920358322842247</v>
      </c>
      <c r="D50">
        <v>1.4692672005000001E-2</v>
      </c>
      <c r="E50">
        <v>41.922389612515872</v>
      </c>
      <c r="F50">
        <v>5.6258460440000001E-3</v>
      </c>
      <c r="G50">
        <v>41.923522447141551</v>
      </c>
      <c r="H50">
        <v>3.254935439E-3</v>
      </c>
      <c r="I50">
        <v>2.0312896736243147E-3</v>
      </c>
      <c r="J50">
        <v>1.1328346256789246E-3</v>
      </c>
    </row>
    <row r="51" spans="1:10" x14ac:dyDescent="0.2">
      <c r="A51" t="s">
        <v>13</v>
      </c>
      <c r="B51">
        <v>6</v>
      </c>
      <c r="C51">
        <v>49.255003270622474</v>
      </c>
      <c r="D51">
        <v>1.0201062725E-2</v>
      </c>
      <c r="E51">
        <v>49.256995497033145</v>
      </c>
      <c r="F51">
        <v>4.5456628339999999E-3</v>
      </c>
      <c r="G51">
        <v>49.257522851083024</v>
      </c>
      <c r="H51">
        <v>2.4963661000000003E-3</v>
      </c>
      <c r="I51">
        <v>1.9922264106710941E-3</v>
      </c>
      <c r="J51">
        <v>5.2735404987913626E-4</v>
      </c>
    </row>
    <row r="52" spans="1:10" x14ac:dyDescent="0.2">
      <c r="A52" t="s">
        <v>13</v>
      </c>
      <c r="B52">
        <v>7</v>
      </c>
      <c r="C52">
        <v>57.457255868354849</v>
      </c>
      <c r="D52">
        <v>1.0815607636000001E-2</v>
      </c>
      <c r="E52">
        <v>57.45924809476552</v>
      </c>
      <c r="F52">
        <v>4.844086331E-3</v>
      </c>
      <c r="G52">
        <v>57.460224676339379</v>
      </c>
      <c r="H52">
        <v>2.5982816910000003E-3</v>
      </c>
      <c r="I52">
        <v>1.9922264106710941E-3</v>
      </c>
      <c r="J52">
        <v>9.7658157385893674E-4</v>
      </c>
    </row>
    <row r="53" spans="1:10" x14ac:dyDescent="0.2">
      <c r="A53" t="s">
        <v>13</v>
      </c>
      <c r="B53">
        <v>8</v>
      </c>
      <c r="C53">
        <v>65.998777170259189</v>
      </c>
      <c r="D53">
        <v>4.5134127700000026E-4</v>
      </c>
      <c r="E53">
        <v>66.001160029299413</v>
      </c>
      <c r="F53">
        <v>3.6285169200000024E-4</v>
      </c>
      <c r="G53">
        <v>66.003288977130424</v>
      </c>
      <c r="H53">
        <v>3.530873240000002E-4</v>
      </c>
      <c r="I53">
        <v>2.3828590402246164E-3</v>
      </c>
      <c r="J53">
        <v>2.1289478310109189E-3</v>
      </c>
    </row>
    <row r="54" spans="1:10" x14ac:dyDescent="0.2">
      <c r="A54" t="s">
        <v>13</v>
      </c>
      <c r="B54">
        <v>9</v>
      </c>
      <c r="C54">
        <v>78.515127537785901</v>
      </c>
      <c r="D54">
        <v>1.0569057344E-2</v>
      </c>
      <c r="E54">
        <v>78.517178359091005</v>
      </c>
      <c r="F54">
        <v>4.4748711660000003E-3</v>
      </c>
      <c r="G54">
        <v>78.518174472296337</v>
      </c>
      <c r="H54">
        <v>3.4795159030000002E-3</v>
      </c>
      <c r="I54">
        <v>2.0508213051044777E-3</v>
      </c>
      <c r="J54">
        <v>9.9611320533199432E-4</v>
      </c>
    </row>
    <row r="55" spans="1:10" x14ac:dyDescent="0.2">
      <c r="A55" t="s">
        <v>14</v>
      </c>
    </row>
    <row r="56" spans="1:10" x14ac:dyDescent="0.2">
      <c r="A56" t="s">
        <v>15</v>
      </c>
      <c r="B56">
        <v>1</v>
      </c>
      <c r="C56">
        <v>12.009816674354969</v>
      </c>
      <c r="D56">
        <v>1.7309522628999999E-2</v>
      </c>
      <c r="E56">
        <v>12.012551102761773</v>
      </c>
      <c r="F56">
        <v>6.1274904500000001E-3</v>
      </c>
      <c r="G56">
        <v>12.013527684335632</v>
      </c>
      <c r="H56">
        <v>5.0753797979999999E-3</v>
      </c>
      <c r="I56">
        <v>2.7344284068036018E-3</v>
      </c>
      <c r="J56">
        <v>9.7658157385893674E-4</v>
      </c>
    </row>
    <row r="57" spans="1:10" x14ac:dyDescent="0.2">
      <c r="A57" t="s">
        <v>15</v>
      </c>
      <c r="B57">
        <v>2</v>
      </c>
      <c r="C57">
        <v>24.307575468077502</v>
      </c>
      <c r="D57">
        <v>1.3309793387E-2</v>
      </c>
      <c r="E57">
        <v>24.310114580169536</v>
      </c>
      <c r="F57">
        <v>6.5058597100000008E-3</v>
      </c>
      <c r="G57">
        <v>24.311149756637825</v>
      </c>
      <c r="H57">
        <v>5.3524437400000006E-3</v>
      </c>
      <c r="I57">
        <v>2.5391120920339461E-3</v>
      </c>
      <c r="J57">
        <v>1.0351764682887676E-3</v>
      </c>
    </row>
    <row r="58" spans="1:10" x14ac:dyDescent="0.2">
      <c r="A58" t="s">
        <v>15</v>
      </c>
      <c r="B58">
        <v>3</v>
      </c>
      <c r="C58">
        <v>34.461955303668034</v>
      </c>
      <c r="D58">
        <v>1.4636526889000001E-2</v>
      </c>
      <c r="E58">
        <v>34.464670200443365</v>
      </c>
      <c r="F58">
        <v>5.7900094810000007E-3</v>
      </c>
      <c r="G58">
        <v>34.465705376911657</v>
      </c>
      <c r="H58">
        <v>4.9472224680000001E-3</v>
      </c>
      <c r="I58">
        <v>2.7148967753305442E-3</v>
      </c>
      <c r="J58">
        <v>1.0351764682923204E-3</v>
      </c>
    </row>
    <row r="59" spans="1:10" x14ac:dyDescent="0.2">
      <c r="A59" t="s">
        <v>15</v>
      </c>
      <c r="B59">
        <v>4</v>
      </c>
      <c r="C59">
        <v>61.268820153827221</v>
      </c>
      <c r="D59">
        <v>1.4606013239000001E-2</v>
      </c>
      <c r="E59">
        <v>61.271456924076638</v>
      </c>
      <c r="F59">
        <v>6.4735152410000003E-3</v>
      </c>
      <c r="G59">
        <v>61.272413974019017</v>
      </c>
      <c r="H59">
        <v>3.6027910490000004E-3</v>
      </c>
      <c r="I59">
        <v>2.6367702494169976E-3</v>
      </c>
      <c r="J59">
        <v>9.5704994237877372E-4</v>
      </c>
    </row>
    <row r="60" spans="1:10" x14ac:dyDescent="0.2">
      <c r="A60" t="s">
        <v>15</v>
      </c>
      <c r="B60">
        <v>5</v>
      </c>
      <c r="C60">
        <v>76.628453539647253</v>
      </c>
      <c r="D60">
        <v>1.4872092267E-2</v>
      </c>
      <c r="E60">
        <v>76.631109841528144</v>
      </c>
      <c r="F60">
        <v>5.7686499259999996E-3</v>
      </c>
      <c r="G60">
        <v>76.63210595473349</v>
      </c>
      <c r="H60">
        <v>4.1575292060000001E-3</v>
      </c>
      <c r="I60">
        <v>2.6563018808900551E-3</v>
      </c>
      <c r="J60">
        <v>9.9611320534620518E-4</v>
      </c>
    </row>
    <row r="61" spans="1:10" x14ac:dyDescent="0.2">
      <c r="A61" t="s">
        <v>15</v>
      </c>
      <c r="B61">
        <v>6</v>
      </c>
      <c r="C61">
        <v>86.88001720954901</v>
      </c>
      <c r="D61">
        <v>1.4176381047000001E-2</v>
      </c>
      <c r="E61">
        <v>86.882634448166954</v>
      </c>
      <c r="F61">
        <v>5.1492228309999999E-3</v>
      </c>
      <c r="G61">
        <v>86.883552434846379</v>
      </c>
      <c r="H61">
        <v>5.7662088340000002E-3</v>
      </c>
      <c r="I61">
        <v>2.61723861794394E-3</v>
      </c>
      <c r="J61">
        <v>9.1798667942555312E-4</v>
      </c>
    </row>
    <row r="62" spans="1:10" x14ac:dyDescent="0.2">
      <c r="A62" t="s">
        <v>16</v>
      </c>
    </row>
    <row r="63" spans="1:10" x14ac:dyDescent="0.2">
      <c r="A63" t="s">
        <v>17</v>
      </c>
      <c r="B63">
        <v>1</v>
      </c>
      <c r="C63">
        <v>21.632664320750408</v>
      </c>
      <c r="D63">
        <v>1.4121456477000001E-2</v>
      </c>
      <c r="E63">
        <v>21.634988584896192</v>
      </c>
      <c r="F63">
        <v>4.5755662110000001E-3</v>
      </c>
      <c r="G63">
        <v>21.636961279675386</v>
      </c>
      <c r="H63">
        <v>3.4184886030000001E-3</v>
      </c>
      <c r="I63">
        <v>2.3242641457841273E-3</v>
      </c>
      <c r="J63">
        <v>1.9726947791944838E-3</v>
      </c>
    </row>
    <row r="64" spans="1:10" x14ac:dyDescent="0.2">
      <c r="A64" t="s">
        <v>17</v>
      </c>
      <c r="B64">
        <v>2</v>
      </c>
      <c r="C64">
        <v>27.998277125666515</v>
      </c>
      <c r="D64">
        <v>1.6368481662999999E-2</v>
      </c>
      <c r="E64">
        <v>28.000640453075253</v>
      </c>
      <c r="F64">
        <v>6.2532066879999997E-3</v>
      </c>
      <c r="G64">
        <v>28.001949072384225</v>
      </c>
      <c r="H64">
        <v>3.9616315730000001E-3</v>
      </c>
      <c r="I64">
        <v>2.3633274087373479E-3</v>
      </c>
      <c r="J64">
        <v>1.30861930897197E-3</v>
      </c>
    </row>
    <row r="65" spans="1:10" x14ac:dyDescent="0.2">
      <c r="A65" t="s">
        <v>17</v>
      </c>
      <c r="B65">
        <v>3</v>
      </c>
      <c r="C65">
        <v>34.886434373477996</v>
      </c>
      <c r="D65">
        <v>1.4957530487000001E-2</v>
      </c>
      <c r="E65">
        <v>34.888797700886734</v>
      </c>
      <c r="F65">
        <v>4.8605637019999998E-3</v>
      </c>
      <c r="G65">
        <v>34.890692269140018</v>
      </c>
      <c r="H65">
        <v>3.812114688E-3</v>
      </c>
      <c r="I65">
        <v>2.3633274087373479E-3</v>
      </c>
      <c r="J65">
        <v>1.8945682532844899E-3</v>
      </c>
    </row>
    <row r="66" spans="1:10" x14ac:dyDescent="0.2">
      <c r="A66" t="s">
        <v>17</v>
      </c>
      <c r="B66">
        <v>4</v>
      </c>
      <c r="C66">
        <v>40.964066290993962</v>
      </c>
      <c r="D66">
        <v>1.5724033374999998E-2</v>
      </c>
      <c r="E66">
        <v>40.96644915003418</v>
      </c>
      <c r="F66">
        <v>5.3719724760000007E-3</v>
      </c>
      <c r="G66">
        <v>40.967738237711671</v>
      </c>
      <c r="H66">
        <v>4.1642422089999999E-3</v>
      </c>
      <c r="I66">
        <v>2.3828590402175109E-3</v>
      </c>
      <c r="J66">
        <v>1.289087677491807E-3</v>
      </c>
    </row>
    <row r="67" spans="1:10" x14ac:dyDescent="0.2">
      <c r="A67" t="s">
        <v>17</v>
      </c>
      <c r="B67">
        <v>5</v>
      </c>
      <c r="C67">
        <v>47.09848997034122</v>
      </c>
      <c r="D67">
        <v>1.4313082199E-2</v>
      </c>
      <c r="E67">
        <v>47.100833766118477</v>
      </c>
      <c r="F67">
        <v>6.1195569010000003E-3</v>
      </c>
      <c r="G67">
        <v>47.102064258901542</v>
      </c>
      <c r="H67">
        <v>4.0879580840000006E-3</v>
      </c>
      <c r="I67">
        <v>2.3437957772571849E-3</v>
      </c>
      <c r="J67">
        <v>1.2304927830655288E-3</v>
      </c>
    </row>
    <row r="68" spans="1:10" x14ac:dyDescent="0.2">
      <c r="A68" t="s">
        <v>17</v>
      </c>
      <c r="B68">
        <v>6</v>
      </c>
      <c r="C68">
        <v>54.799689799015603</v>
      </c>
      <c r="D68">
        <v>1.5244358797E-2</v>
      </c>
      <c r="E68">
        <v>54.80207265805582</v>
      </c>
      <c r="F68">
        <v>5.5532235570000003E-3</v>
      </c>
      <c r="G68">
        <v>54.803322682470359</v>
      </c>
      <c r="H68">
        <v>3.7608517560000004E-3</v>
      </c>
      <c r="I68">
        <v>2.3828590402175109E-3</v>
      </c>
      <c r="J68">
        <v>1.2500244145385864E-3</v>
      </c>
    </row>
    <row r="69" spans="1:10" x14ac:dyDescent="0.2">
      <c r="A69" t="s">
        <v>17</v>
      </c>
      <c r="B69">
        <v>7</v>
      </c>
      <c r="C69">
        <v>60.738211380493766</v>
      </c>
      <c r="D69">
        <v>1.5512878917000001E-2</v>
      </c>
      <c r="E69">
        <v>60.74049658137659</v>
      </c>
      <c r="F69">
        <v>5.3982142150000006E-3</v>
      </c>
      <c r="G69">
        <v>60.741746605791128</v>
      </c>
      <c r="H69">
        <v>3.1737691300000002E-3</v>
      </c>
      <c r="I69">
        <v>2.2852008828238013E-3</v>
      </c>
      <c r="J69">
        <v>1.2500244145385864E-3</v>
      </c>
    </row>
    <row r="70" spans="1:10" x14ac:dyDescent="0.2">
      <c r="A70" t="s">
        <v>17</v>
      </c>
      <c r="B70">
        <v>8</v>
      </c>
      <c r="C70">
        <v>75.518376128205631</v>
      </c>
      <c r="D70">
        <v>1.4975228404E-2</v>
      </c>
      <c r="E70">
        <v>75.520700392351415</v>
      </c>
      <c r="F70">
        <v>6.0042153040000008E-3</v>
      </c>
      <c r="G70">
        <v>75.521950416765961</v>
      </c>
      <c r="H70">
        <v>3.5100295530000004E-3</v>
      </c>
      <c r="I70">
        <v>2.3242641457841273E-3</v>
      </c>
      <c r="J70">
        <v>1.2500244145456918E-3</v>
      </c>
    </row>
    <row r="71" spans="1:10" x14ac:dyDescent="0.2">
      <c r="A71" t="s">
        <v>18</v>
      </c>
    </row>
    <row r="72" spans="1:10" x14ac:dyDescent="0.2">
      <c r="A72" t="s">
        <v>19</v>
      </c>
      <c r="B72">
        <v>1</v>
      </c>
      <c r="C72">
        <v>12.227038152346726</v>
      </c>
      <c r="D72">
        <v>2.1373940809E-2</v>
      </c>
      <c r="E72">
        <v>12.230338998066369</v>
      </c>
      <c r="F72">
        <v>5.457410696E-3</v>
      </c>
      <c r="G72">
        <v>12.232018718373405</v>
      </c>
      <c r="H72">
        <v>3.1884156820000003E-3</v>
      </c>
      <c r="I72">
        <v>3.3008457196430641E-3</v>
      </c>
      <c r="J72">
        <v>1.6797203070364475E-3</v>
      </c>
    </row>
    <row r="73" spans="1:10" x14ac:dyDescent="0.2">
      <c r="A73" t="s">
        <v>19</v>
      </c>
      <c r="B73">
        <v>2</v>
      </c>
      <c r="C73">
        <v>32.718025784626654</v>
      </c>
      <c r="D73">
        <v>1.3918235568E-2</v>
      </c>
      <c r="E73">
        <v>32.720896934453798</v>
      </c>
      <c r="F73">
        <v>4.0177766890000001E-3</v>
      </c>
      <c r="G73">
        <v>32.722264148657203</v>
      </c>
      <c r="H73">
        <v>2.8210313360000003E-3</v>
      </c>
      <c r="I73">
        <v>2.8711498271434266E-3</v>
      </c>
      <c r="J73">
        <v>1.3672142034053536E-3</v>
      </c>
    </row>
    <row r="74" spans="1:10" x14ac:dyDescent="0.2">
      <c r="A74" t="s">
        <v>19</v>
      </c>
      <c r="B74">
        <v>3</v>
      </c>
      <c r="C74">
        <v>47.010619356266723</v>
      </c>
      <c r="D74">
        <v>1.8393977749999998E-2</v>
      </c>
      <c r="E74">
        <v>47.013744417303073</v>
      </c>
      <c r="F74">
        <v>6.2355087710000007E-3</v>
      </c>
      <c r="G74">
        <v>47.015228821295338</v>
      </c>
      <c r="H74">
        <v>2.8167594250000003E-3</v>
      </c>
      <c r="I74">
        <v>3.1250610363500186E-3</v>
      </c>
      <c r="J74">
        <v>1.4844039922650154E-3</v>
      </c>
    </row>
    <row r="75" spans="1:10" x14ac:dyDescent="0.2">
      <c r="A75" t="s">
        <v>19</v>
      </c>
      <c r="B75">
        <v>4</v>
      </c>
      <c r="C75">
        <v>68.6293004844118</v>
      </c>
      <c r="D75">
        <v>1.8343935363999999E-2</v>
      </c>
      <c r="E75">
        <v>68.632406013816677</v>
      </c>
      <c r="F75">
        <v>6.1323726340000006E-3</v>
      </c>
      <c r="G75">
        <v>68.633812291283036</v>
      </c>
      <c r="H75">
        <v>3.6772443550000004E-3</v>
      </c>
      <c r="I75">
        <v>3.1055294048769611E-3</v>
      </c>
      <c r="J75">
        <v>1.4062774663585742E-3</v>
      </c>
    </row>
    <row r="76" spans="1:10" x14ac:dyDescent="0.2">
      <c r="A76" t="s">
        <v>19</v>
      </c>
      <c r="B76">
        <v>5</v>
      </c>
      <c r="C76">
        <v>91.351829033442058</v>
      </c>
      <c r="D76">
        <v>1.7662870696000001E-2</v>
      </c>
      <c r="E76">
        <v>91.354895499583975</v>
      </c>
      <c r="F76">
        <v>4.7446118320000003E-3</v>
      </c>
      <c r="G76">
        <v>91.356321308681814</v>
      </c>
      <c r="H76">
        <v>4.0568341610000003E-3</v>
      </c>
      <c r="I76">
        <v>3.066466141916635E-3</v>
      </c>
      <c r="J76">
        <v>1.4258090978387372E-3</v>
      </c>
    </row>
    <row r="77" spans="1:10" x14ac:dyDescent="0.2">
      <c r="A77" t="s">
        <v>19</v>
      </c>
      <c r="B77">
        <v>6</v>
      </c>
      <c r="C77">
        <v>108.11696868844508</v>
      </c>
      <c r="D77">
        <v>1.5687416994999998E-2</v>
      </c>
      <c r="E77">
        <v>108.11993749642961</v>
      </c>
      <c r="F77">
        <v>5.2737185230000002E-3</v>
      </c>
      <c r="G77">
        <v>108.12071876168871</v>
      </c>
      <c r="H77">
        <v>2.7917382320000001E-3</v>
      </c>
      <c r="I77">
        <v>2.9688079845300308E-3</v>
      </c>
      <c r="J77">
        <v>7.8126525909283373E-4</v>
      </c>
    </row>
    <row r="78" spans="1:10" x14ac:dyDescent="0.2">
      <c r="A78" t="s">
        <v>20</v>
      </c>
    </row>
    <row r="79" spans="1:10" x14ac:dyDescent="0.2">
      <c r="A79" t="s">
        <v>21</v>
      </c>
      <c r="B79">
        <v>1</v>
      </c>
      <c r="C79">
        <v>5.2432689320006247</v>
      </c>
      <c r="D79">
        <v>9.2984689579999995E-3</v>
      </c>
      <c r="E79">
        <v>5.2449486523076621</v>
      </c>
      <c r="F79">
        <v>3.273853902E-3</v>
      </c>
      <c r="G79">
        <v>5.2454955379890231</v>
      </c>
      <c r="H79">
        <v>3.0340166130000002E-3</v>
      </c>
      <c r="I79">
        <v>1.6797203070373357E-3</v>
      </c>
      <c r="J79">
        <v>5.4688568136107563E-4</v>
      </c>
    </row>
    <row r="80" spans="1:10" x14ac:dyDescent="0.2">
      <c r="A80" t="s">
        <v>21</v>
      </c>
      <c r="B80">
        <v>2</v>
      </c>
      <c r="C80">
        <v>37.227156257719876</v>
      </c>
      <c r="D80">
        <v>1.1609572809000001E-2</v>
      </c>
      <c r="E80">
        <v>37.228757851501001</v>
      </c>
      <c r="F80">
        <v>6.0859918859999997E-3</v>
      </c>
      <c r="G80">
        <v>37.22946099023418</v>
      </c>
      <c r="H80">
        <v>3.5277274700000003E-3</v>
      </c>
      <c r="I80">
        <v>1.6015937811246772E-3</v>
      </c>
      <c r="J80">
        <v>7.031387331792871E-4</v>
      </c>
    </row>
    <row r="81" spans="1:10" x14ac:dyDescent="0.2">
      <c r="A81" t="s">
        <v>21</v>
      </c>
      <c r="B81">
        <v>3</v>
      </c>
      <c r="C81">
        <v>61.336044414644817</v>
      </c>
      <c r="D81">
        <v>1.1956818146000001E-2</v>
      </c>
      <c r="E81">
        <v>61.337626476794469</v>
      </c>
      <c r="F81">
        <v>6.5272192650000001E-3</v>
      </c>
      <c r="G81">
        <v>61.338329615527648</v>
      </c>
      <c r="H81">
        <v>2.7746505880000003E-3</v>
      </c>
      <c r="I81">
        <v>1.5820621496516196E-3</v>
      </c>
      <c r="J81">
        <v>7.031387331792871E-4</v>
      </c>
    </row>
    <row r="82" spans="1:10" x14ac:dyDescent="0.2">
      <c r="A82" t="s">
        <v>22</v>
      </c>
    </row>
    <row r="83" spans="1:10" x14ac:dyDescent="0.2">
      <c r="A83" t="s">
        <v>23</v>
      </c>
      <c r="B83">
        <v>1</v>
      </c>
      <c r="C83">
        <v>20.178373793486202</v>
      </c>
      <c r="D83">
        <v>1.2101452847E-2</v>
      </c>
      <c r="E83">
        <v>20.179799602584033</v>
      </c>
      <c r="F83">
        <v>5.8778887930000003E-3</v>
      </c>
      <c r="G83">
        <v>20.180502741317213</v>
      </c>
      <c r="H83">
        <v>3.2476121630000002E-3</v>
      </c>
      <c r="I83">
        <v>1.4258090978316318E-3</v>
      </c>
      <c r="J83">
        <v>7.031387331792871E-4</v>
      </c>
    </row>
    <row r="84" spans="1:10" x14ac:dyDescent="0.2">
      <c r="A84" t="s">
        <v>23</v>
      </c>
      <c r="B84">
        <v>2</v>
      </c>
      <c r="C84">
        <v>37.396160505921991</v>
      </c>
      <c r="D84">
        <v>1.2184449975000001E-2</v>
      </c>
      <c r="E84">
        <v>37.397547251756869</v>
      </c>
      <c r="F84">
        <v>6.7017573430000008E-3</v>
      </c>
      <c r="G84">
        <v>37.398250390490048</v>
      </c>
      <c r="H84">
        <v>2.4505956250000004E-3</v>
      </c>
      <c r="I84">
        <v>1.3867458348784112E-3</v>
      </c>
      <c r="J84">
        <v>7.031387331792871E-4</v>
      </c>
    </row>
    <row r="85" spans="1:10" x14ac:dyDescent="0.2">
      <c r="A85" t="s">
        <v>23</v>
      </c>
      <c r="B85">
        <v>3</v>
      </c>
      <c r="C85">
        <v>48.114461406287234</v>
      </c>
      <c r="D85">
        <v>1.3242053084E-2</v>
      </c>
      <c r="E85">
        <v>48.115887215385065</v>
      </c>
      <c r="F85">
        <v>6.8335763110000001E-3</v>
      </c>
      <c r="G85">
        <v>48.116531759223811</v>
      </c>
      <c r="H85">
        <v>3.0950439130000003E-3</v>
      </c>
      <c r="I85">
        <v>1.4258090978316318E-3</v>
      </c>
      <c r="J85">
        <v>6.4454383874590349E-4</v>
      </c>
    </row>
    <row r="86" spans="1:10" x14ac:dyDescent="0.2">
      <c r="A86" t="s">
        <v>23</v>
      </c>
      <c r="B86">
        <v>4</v>
      </c>
      <c r="C86">
        <v>59.703384141776212</v>
      </c>
      <c r="D86">
        <v>1.3239001719E-2</v>
      </c>
      <c r="E86">
        <v>59.70475135597961</v>
      </c>
      <c r="F86">
        <v>6.9403740859999997E-3</v>
      </c>
      <c r="G86">
        <v>59.705298241660969</v>
      </c>
      <c r="H86">
        <v>2.71606438E-3</v>
      </c>
      <c r="I86">
        <v>1.3672142033982482E-3</v>
      </c>
      <c r="J86">
        <v>5.4688568135929927E-4</v>
      </c>
    </row>
    <row r="87" spans="1:10" x14ac:dyDescent="0.2">
      <c r="A87" t="s">
        <v>24</v>
      </c>
    </row>
    <row r="88" spans="1:10" x14ac:dyDescent="0.2">
      <c r="A88" t="s">
        <v>25</v>
      </c>
      <c r="B88">
        <v>1</v>
      </c>
      <c r="C88">
        <v>21.109269420871502</v>
      </c>
      <c r="D88">
        <v>1.1867108015000001E-2</v>
      </c>
      <c r="E88">
        <v>21.110714761600814</v>
      </c>
      <c r="F88">
        <v>5.1260324570000003E-3</v>
      </c>
      <c r="G88">
        <v>21.111320242176607</v>
      </c>
      <c r="H88">
        <v>2.9845845000000004E-3</v>
      </c>
      <c r="I88">
        <v>1.4453407293117948E-3</v>
      </c>
      <c r="J88">
        <v>6.0548057579268288E-4</v>
      </c>
    </row>
    <row r="89" spans="1:10" x14ac:dyDescent="0.2">
      <c r="A89" t="s">
        <v>25</v>
      </c>
      <c r="B89">
        <v>2</v>
      </c>
      <c r="C89">
        <v>38.430670112340081</v>
      </c>
      <c r="D89">
        <v>1.0151630612000001E-2</v>
      </c>
      <c r="E89">
        <v>38.43207638980644</v>
      </c>
      <c r="F89">
        <v>4.6475784249999999E-3</v>
      </c>
      <c r="G89">
        <v>38.432681870382233</v>
      </c>
      <c r="H89">
        <v>2.9937385950000004E-3</v>
      </c>
      <c r="I89">
        <v>1.4062774663585742E-3</v>
      </c>
      <c r="J89">
        <v>6.0548057579268288E-4</v>
      </c>
    </row>
    <row r="90" spans="1:10" x14ac:dyDescent="0.2">
      <c r="A90" t="s">
        <v>25</v>
      </c>
      <c r="B90">
        <v>3</v>
      </c>
      <c r="C90">
        <v>48.153473912332274</v>
      </c>
      <c r="D90">
        <v>1.3306131749000001E-2</v>
      </c>
      <c r="E90">
        <v>48.154880189798632</v>
      </c>
      <c r="F90">
        <v>6.145188367E-3</v>
      </c>
      <c r="G90">
        <v>48.155505202005898</v>
      </c>
      <c r="H90">
        <v>2.846052529E-3</v>
      </c>
      <c r="I90">
        <v>1.4062774663585742E-3</v>
      </c>
      <c r="J90">
        <v>6.2501220726574047E-4</v>
      </c>
    </row>
    <row r="91" spans="1:10" x14ac:dyDescent="0.2">
      <c r="A91" t="s">
        <v>25</v>
      </c>
      <c r="B91">
        <v>4</v>
      </c>
      <c r="C91">
        <v>58.068704996492116</v>
      </c>
      <c r="D91">
        <v>1.0841239102E-2</v>
      </c>
      <c r="E91">
        <v>58.070111273958474</v>
      </c>
      <c r="F91">
        <v>4.7922131260000004E-3</v>
      </c>
      <c r="G91">
        <v>58.07075581779722</v>
      </c>
      <c r="H91">
        <v>2.7892971400000004E-3</v>
      </c>
      <c r="I91">
        <v>1.4062774663585742E-3</v>
      </c>
      <c r="J91">
        <v>6.4454383874590349E-4</v>
      </c>
    </row>
    <row r="92" spans="1:10" x14ac:dyDescent="0.2">
      <c r="A92" t="s">
        <v>25</v>
      </c>
      <c r="B92">
        <v>5</v>
      </c>
      <c r="C92">
        <v>69.680785556051873</v>
      </c>
      <c r="D92">
        <v>1.0575770347E-2</v>
      </c>
      <c r="E92">
        <v>69.682152770255286</v>
      </c>
      <c r="F92">
        <v>4.7244728230000001E-3</v>
      </c>
      <c r="G92">
        <v>69.682816845725498</v>
      </c>
      <c r="H92">
        <v>2.3682087700000001E-3</v>
      </c>
      <c r="I92">
        <v>1.367214203412459E-3</v>
      </c>
      <c r="J92">
        <v>6.6407547021185565E-4</v>
      </c>
    </row>
    <row r="93" spans="1:10" x14ac:dyDescent="0.2">
      <c r="A93" t="s">
        <v>26</v>
      </c>
    </row>
    <row r="94" spans="1:10" x14ac:dyDescent="0.2">
      <c r="A94" t="s">
        <v>27</v>
      </c>
      <c r="B94">
        <v>1</v>
      </c>
      <c r="C94">
        <v>5.2468940605265724</v>
      </c>
      <c r="D94">
        <v>1.2954614501E-2</v>
      </c>
      <c r="E94">
        <v>5.2489644134631535</v>
      </c>
      <c r="F94">
        <v>4.3125385480000007E-3</v>
      </c>
      <c r="G94">
        <v>5.2498042736166717</v>
      </c>
      <c r="H94">
        <v>3.2116060560000003E-3</v>
      </c>
      <c r="I94">
        <v>2.070352936581088E-3</v>
      </c>
      <c r="J94">
        <v>8.3986015351822374E-4</v>
      </c>
    </row>
    <row r="95" spans="1:10" x14ac:dyDescent="0.2">
      <c r="A95" t="s">
        <v>27</v>
      </c>
      <c r="B95">
        <v>2</v>
      </c>
      <c r="C95">
        <v>34.635360564993455</v>
      </c>
      <c r="D95">
        <v>1.3190790152E-2</v>
      </c>
      <c r="E95">
        <v>34.637196538352313</v>
      </c>
      <c r="F95">
        <v>4.5908230360000007E-3</v>
      </c>
      <c r="G95">
        <v>34.638075461768786</v>
      </c>
      <c r="H95">
        <v>2.9491886660000001E-3</v>
      </c>
      <c r="I95">
        <v>1.8359733588582117E-3</v>
      </c>
      <c r="J95">
        <v>8.7892341647233252E-4</v>
      </c>
    </row>
    <row r="96" spans="1:10" x14ac:dyDescent="0.2">
      <c r="A96" t="s">
        <v>27</v>
      </c>
      <c r="B96">
        <v>3</v>
      </c>
      <c r="C96">
        <v>42.156477992874862</v>
      </c>
      <c r="D96">
        <v>1.4314913018000001E-2</v>
      </c>
      <c r="E96">
        <v>42.15817724481338</v>
      </c>
      <c r="F96">
        <v>6.2233033110000004E-3</v>
      </c>
      <c r="G96">
        <v>42.159134294755759</v>
      </c>
      <c r="H96">
        <v>3.1609533970000003E-3</v>
      </c>
      <c r="I96">
        <v>1.6992519385183869E-3</v>
      </c>
      <c r="J96">
        <v>9.5704994237877372E-4</v>
      </c>
    </row>
    <row r="97" spans="1:10" x14ac:dyDescent="0.2">
      <c r="A97" t="s">
        <v>27</v>
      </c>
      <c r="B97">
        <v>4</v>
      </c>
      <c r="C97">
        <v>50.064734888544699</v>
      </c>
      <c r="D97">
        <v>1.2430389994E-2</v>
      </c>
      <c r="E97">
        <v>50.066375545588784</v>
      </c>
      <c r="F97">
        <v>5.2316096859999998E-3</v>
      </c>
      <c r="G97">
        <v>50.067254469005256</v>
      </c>
      <c r="H97">
        <v>3.1292192010000004E-3</v>
      </c>
      <c r="I97">
        <v>1.6406570440850032E-3</v>
      </c>
      <c r="J97">
        <v>8.7892341647233252E-4</v>
      </c>
    </row>
    <row r="98" spans="1:10" x14ac:dyDescent="0.2">
      <c r="A98" t="s">
        <v>28</v>
      </c>
    </row>
    <row r="99" spans="1:10" x14ac:dyDescent="0.2">
      <c r="A99" t="s">
        <v>29</v>
      </c>
      <c r="B99">
        <v>1</v>
      </c>
      <c r="C99">
        <v>25.424329418771851</v>
      </c>
      <c r="D99">
        <v>1.3624083982000001E-2</v>
      </c>
      <c r="E99">
        <v>25.425931012552979</v>
      </c>
      <c r="F99">
        <v>5.8656833330000008E-3</v>
      </c>
      <c r="G99">
        <v>25.426809935969452</v>
      </c>
      <c r="H99">
        <v>2.614148789E-3</v>
      </c>
      <c r="I99">
        <v>1.6015937811282299E-3</v>
      </c>
      <c r="J99">
        <v>8.7892341647233252E-4</v>
      </c>
    </row>
    <row r="100" spans="1:10" x14ac:dyDescent="0.2">
      <c r="A100" t="s">
        <v>29</v>
      </c>
      <c r="B100">
        <v>2</v>
      </c>
      <c r="C100">
        <v>45.506466954428795</v>
      </c>
      <c r="D100">
        <v>1.5189434227E-2</v>
      </c>
      <c r="E100">
        <v>45.508049016578447</v>
      </c>
      <c r="F100">
        <v>6.451545413E-3</v>
      </c>
      <c r="G100">
        <v>45.509006066520826</v>
      </c>
      <c r="H100">
        <v>3.3916365910000002E-3</v>
      </c>
      <c r="I100">
        <v>1.5820621496516196E-3</v>
      </c>
      <c r="J100">
        <v>9.5704994237877372E-4</v>
      </c>
    </row>
    <row r="101" spans="1:10" x14ac:dyDescent="0.2">
      <c r="A101" t="s">
        <v>29</v>
      </c>
      <c r="B101">
        <v>3</v>
      </c>
      <c r="C101">
        <v>67.407607089253688</v>
      </c>
      <c r="D101">
        <v>1.2948511771000001E-2</v>
      </c>
      <c r="E101">
        <v>67.409169619771873</v>
      </c>
      <c r="F101">
        <v>6.5162343510000009E-3</v>
      </c>
      <c r="G101">
        <v>67.410107138082779</v>
      </c>
      <c r="H101">
        <v>3.7419332930000004E-3</v>
      </c>
      <c r="I101">
        <v>1.5625305181856675E-3</v>
      </c>
      <c r="J101">
        <v>9.3751831090571613E-4</v>
      </c>
    </row>
    <row r="102" spans="1:10" x14ac:dyDescent="0.2">
      <c r="A102" t="s">
        <v>29</v>
      </c>
      <c r="B102">
        <v>4</v>
      </c>
      <c r="C102">
        <v>100.08623032947713</v>
      </c>
      <c r="D102">
        <v>1.4494943553000001E-2</v>
      </c>
      <c r="E102">
        <v>100.088066302836</v>
      </c>
      <c r="F102">
        <v>5.9639372860000005E-3</v>
      </c>
      <c r="G102">
        <v>100.08902335277837</v>
      </c>
      <c r="H102">
        <v>2.6007227830000001E-3</v>
      </c>
      <c r="I102">
        <v>1.8359733588653171E-3</v>
      </c>
      <c r="J102">
        <v>9.5704994237166829E-4</v>
      </c>
    </row>
    <row r="103" spans="1:10" x14ac:dyDescent="0.2">
      <c r="A103" t="s">
        <v>29</v>
      </c>
      <c r="B103">
        <v>5</v>
      </c>
      <c r="C103">
        <v>125.97861446295239</v>
      </c>
      <c r="D103">
        <v>1.3863310998000001E-2</v>
      </c>
      <c r="E103">
        <v>125.98043090467978</v>
      </c>
      <c r="F103">
        <v>6.1244390850000007E-3</v>
      </c>
      <c r="G103">
        <v>125.98119263830739</v>
      </c>
      <c r="H103">
        <v>2.5091818330000002E-3</v>
      </c>
      <c r="I103">
        <v>1.8164417273851541E-3</v>
      </c>
      <c r="J103">
        <v>7.6173362761267072E-4</v>
      </c>
    </row>
    <row r="104" spans="1:10" x14ac:dyDescent="0.2">
      <c r="A104" t="s">
        <v>29</v>
      </c>
      <c r="B104">
        <v>6</v>
      </c>
      <c r="C104">
        <v>137.33540513453585</v>
      </c>
      <c r="D104">
        <v>1.2689756019000001E-2</v>
      </c>
      <c r="E104">
        <v>137.3372215762632</v>
      </c>
      <c r="F104">
        <v>6.7286093549999999E-3</v>
      </c>
      <c r="G104">
        <v>137.33886223330731</v>
      </c>
      <c r="H104">
        <v>2.8753456330000001E-3</v>
      </c>
      <c r="I104">
        <v>1.8164417273567324E-3</v>
      </c>
      <c r="J104">
        <v>1.6406570441063195E-3</v>
      </c>
    </row>
    <row r="105" spans="1:10" x14ac:dyDescent="0.2">
      <c r="A105" t="s">
        <v>30</v>
      </c>
    </row>
    <row r="106" spans="1:10" x14ac:dyDescent="0.2">
      <c r="A106" t="s">
        <v>31</v>
      </c>
      <c r="B106">
        <v>1</v>
      </c>
      <c r="C106">
        <v>6.9500385659270689</v>
      </c>
      <c r="D106">
        <v>1.1873821018E-2</v>
      </c>
      <c r="E106">
        <v>6.9519331341803552</v>
      </c>
      <c r="F106">
        <v>4.4394753320000004E-3</v>
      </c>
      <c r="G106">
        <v>6.9526753361764877</v>
      </c>
      <c r="H106">
        <v>2.4640216310000003E-3</v>
      </c>
      <c r="I106">
        <v>1.8945682532862662E-3</v>
      </c>
      <c r="J106">
        <v>7.422019961325077E-4</v>
      </c>
    </row>
    <row r="107" spans="1:10" x14ac:dyDescent="0.2">
      <c r="A107" t="s">
        <v>31</v>
      </c>
      <c r="B107">
        <v>2</v>
      </c>
      <c r="C107">
        <v>16.239648332844393</v>
      </c>
      <c r="D107">
        <v>1.3027847261000002E-2</v>
      </c>
      <c r="E107">
        <v>16.241425711308814</v>
      </c>
      <c r="F107">
        <v>5.0997907180000005E-3</v>
      </c>
      <c r="G107">
        <v>16.24228510309381</v>
      </c>
      <c r="H107">
        <v>2.7746505880000003E-3</v>
      </c>
      <c r="I107">
        <v>1.7773784644212753E-3</v>
      </c>
      <c r="J107">
        <v>8.5939178499572222E-4</v>
      </c>
    </row>
    <row r="108" spans="1:10" x14ac:dyDescent="0.2">
      <c r="A108" t="s">
        <v>31</v>
      </c>
      <c r="B108">
        <v>3</v>
      </c>
      <c r="C108">
        <v>28.83566634260044</v>
      </c>
      <c r="D108">
        <v>1.2558547324E-2</v>
      </c>
      <c r="E108">
        <v>28.837385126170432</v>
      </c>
      <c r="F108">
        <v>5.6545288750000002E-3</v>
      </c>
      <c r="G108">
        <v>28.838244517955427</v>
      </c>
      <c r="H108">
        <v>2.7270492940000002E-3</v>
      </c>
      <c r="I108">
        <v>1.7187835699914444E-3</v>
      </c>
      <c r="J108">
        <v>8.5939178499572222E-4</v>
      </c>
    </row>
    <row r="109" spans="1:10" x14ac:dyDescent="0.2">
      <c r="A109" t="s">
        <v>31</v>
      </c>
      <c r="B109">
        <v>4</v>
      </c>
      <c r="C109">
        <v>43.180821870517008</v>
      </c>
      <c r="D109">
        <v>1.3812658339E-2</v>
      </c>
      <c r="E109">
        <v>43.182560185718472</v>
      </c>
      <c r="F109">
        <v>6.4198112170000005E-3</v>
      </c>
      <c r="G109">
        <v>43.183419577503471</v>
      </c>
      <c r="H109">
        <v>3.5081987340000002E-3</v>
      </c>
      <c r="I109">
        <v>1.738315201464502E-3</v>
      </c>
      <c r="J109">
        <v>8.5939178499927493E-4</v>
      </c>
    </row>
    <row r="110" spans="1:10" x14ac:dyDescent="0.2">
      <c r="A110" t="s">
        <v>31</v>
      </c>
      <c r="B110">
        <v>5</v>
      </c>
      <c r="C110">
        <v>63.501649514513957</v>
      </c>
      <c r="D110">
        <v>1.4698164462E-2</v>
      </c>
      <c r="E110">
        <v>63.503387829715422</v>
      </c>
      <c r="F110">
        <v>6.8396790409999998E-3</v>
      </c>
      <c r="G110">
        <v>63.504364411289281</v>
      </c>
      <c r="H110">
        <v>3.8945015430000003E-3</v>
      </c>
      <c r="I110">
        <v>1.738315201464502E-3</v>
      </c>
      <c r="J110">
        <v>9.7658157385893674E-4</v>
      </c>
    </row>
    <row r="111" spans="1:10" x14ac:dyDescent="0.2">
      <c r="A111" t="s">
        <v>31</v>
      </c>
      <c r="B111">
        <v>6</v>
      </c>
      <c r="C111">
        <v>97.429765762456285</v>
      </c>
      <c r="D111">
        <v>1.5066159081000001E-2</v>
      </c>
      <c r="E111">
        <v>97.431504077657763</v>
      </c>
      <c r="F111">
        <v>7.5097587949999999E-3</v>
      </c>
      <c r="G111">
        <v>97.432441595968669</v>
      </c>
      <c r="H111">
        <v>2.9827536810000002E-3</v>
      </c>
      <c r="I111">
        <v>1.7383152014787129E-3</v>
      </c>
      <c r="J111">
        <v>9.3751831090571613E-4</v>
      </c>
    </row>
    <row r="112" spans="1:10" x14ac:dyDescent="0.2">
      <c r="A112" t="s">
        <v>31</v>
      </c>
      <c r="B112">
        <v>7</v>
      </c>
      <c r="C112">
        <v>112.74495742765288</v>
      </c>
      <c r="D112">
        <v>1.2322981946000001E-2</v>
      </c>
      <c r="E112">
        <v>112.74675433774878</v>
      </c>
      <c r="F112">
        <v>6.405164665E-3</v>
      </c>
      <c r="G112">
        <v>112.74765279279673</v>
      </c>
      <c r="H112">
        <v>4.0977224519999998E-3</v>
      </c>
      <c r="I112">
        <v>1.7969100959049911E-3</v>
      </c>
      <c r="J112">
        <v>8.9845504794539011E-4</v>
      </c>
    </row>
    <row r="113" spans="1:10" x14ac:dyDescent="0.2">
      <c r="A113" t="s">
        <v>31</v>
      </c>
      <c r="B113">
        <v>8</v>
      </c>
      <c r="C113">
        <v>133.60160744653606</v>
      </c>
      <c r="D113">
        <v>1.3702198926000001E-2</v>
      </c>
      <c r="E113">
        <v>133.60338482500049</v>
      </c>
      <c r="F113">
        <v>6.1988923910000007E-3</v>
      </c>
      <c r="G113">
        <v>133.6043028116799</v>
      </c>
      <c r="H113">
        <v>2.8613093540000001E-3</v>
      </c>
      <c r="I113">
        <v>1.7773784644248281E-3</v>
      </c>
      <c r="J113">
        <v>9.1798667941134227E-4</v>
      </c>
    </row>
    <row r="114" spans="1:10" x14ac:dyDescent="0.2">
      <c r="A114" t="s">
        <v>32</v>
      </c>
    </row>
    <row r="115" spans="1:10" x14ac:dyDescent="0.2">
      <c r="A115" t="s">
        <v>33</v>
      </c>
      <c r="B115">
        <v>1</v>
      </c>
      <c r="C115">
        <v>3.7635575389050566</v>
      </c>
      <c r="D115">
        <v>1.4174550228E-2</v>
      </c>
      <c r="E115">
        <v>3.7660771193656126</v>
      </c>
      <c r="F115">
        <v>3.6668697140000003E-3</v>
      </c>
      <c r="G115">
        <v>3.7669169795191313</v>
      </c>
      <c r="H115">
        <v>3.5588513930000002E-3</v>
      </c>
      <c r="I115">
        <v>2.5195804605560035E-3</v>
      </c>
      <c r="J115">
        <v>8.3986015351866783E-4</v>
      </c>
    </row>
    <row r="116" spans="1:10" x14ac:dyDescent="0.2">
      <c r="A116" t="s">
        <v>33</v>
      </c>
      <c r="B116">
        <v>2</v>
      </c>
      <c r="C116">
        <v>13.310032047469676</v>
      </c>
      <c r="D116">
        <v>1.5123524743000001E-2</v>
      </c>
      <c r="E116">
        <v>13.31243443814137</v>
      </c>
      <c r="F116">
        <v>3.7736674890000003E-3</v>
      </c>
      <c r="G116">
        <v>13.313371956452274</v>
      </c>
      <c r="H116">
        <v>3.8554440710000001E-3</v>
      </c>
      <c r="I116">
        <v>2.4023906716941212E-3</v>
      </c>
      <c r="J116">
        <v>9.3751831090393978E-4</v>
      </c>
    </row>
    <row r="117" spans="1:10" x14ac:dyDescent="0.2">
      <c r="A117" t="s">
        <v>33</v>
      </c>
      <c r="B117">
        <v>3</v>
      </c>
      <c r="C117">
        <v>24.588814415953436</v>
      </c>
      <c r="D117">
        <v>1.4843409436E-2</v>
      </c>
      <c r="E117">
        <v>24.591177743362177</v>
      </c>
      <c r="F117">
        <v>4.1776682150000003E-3</v>
      </c>
      <c r="G117">
        <v>24.592095730041603</v>
      </c>
      <c r="H117">
        <v>4.1404415620000003E-3</v>
      </c>
      <c r="I117">
        <v>2.3633274087409006E-3</v>
      </c>
      <c r="J117">
        <v>9.1798667942555312E-4</v>
      </c>
    </row>
    <row r="118" spans="1:10" x14ac:dyDescent="0.2">
      <c r="A118" t="s">
        <v>33</v>
      </c>
      <c r="B118">
        <v>4</v>
      </c>
      <c r="C118">
        <v>34.712678253208068</v>
      </c>
      <c r="D118">
        <v>1.5556818573E-2</v>
      </c>
      <c r="E118">
        <v>34.715002517353852</v>
      </c>
      <c r="F118">
        <v>4.5249135519999997E-3</v>
      </c>
      <c r="G118">
        <v>34.715881440770325</v>
      </c>
      <c r="H118">
        <v>3.8713111690000003E-3</v>
      </c>
      <c r="I118">
        <v>2.3242641457841273E-3</v>
      </c>
      <c r="J118">
        <v>8.7892341647233252E-4</v>
      </c>
    </row>
    <row r="119" spans="1:10" x14ac:dyDescent="0.2">
      <c r="A119" t="s">
        <v>33</v>
      </c>
      <c r="B119">
        <v>5</v>
      </c>
      <c r="C119">
        <v>42.384059370151761</v>
      </c>
      <c r="D119">
        <v>1.4537052390000001E-2</v>
      </c>
      <c r="E119">
        <v>42.386383634297545</v>
      </c>
      <c r="F119">
        <v>4.462665706E-3</v>
      </c>
      <c r="G119">
        <v>42.387223494451064</v>
      </c>
      <c r="H119">
        <v>3.1371527500000003E-3</v>
      </c>
      <c r="I119">
        <v>2.3242641457841273E-3</v>
      </c>
      <c r="J119">
        <v>8.3986015351911192E-4</v>
      </c>
    </row>
    <row r="120" spans="1:10" x14ac:dyDescent="0.2">
      <c r="A120" t="s">
        <v>33</v>
      </c>
      <c r="B120">
        <v>6</v>
      </c>
      <c r="C120">
        <v>49.091528752528369</v>
      </c>
      <c r="D120">
        <v>1.5556818573E-2</v>
      </c>
      <c r="E120">
        <v>49.093872548305626</v>
      </c>
      <c r="F120">
        <v>4.7250830960000002E-3</v>
      </c>
      <c r="G120">
        <v>49.094771003353578</v>
      </c>
      <c r="H120">
        <v>3.0590378060000004E-3</v>
      </c>
      <c r="I120">
        <v>2.3437957772571849E-3</v>
      </c>
      <c r="J120">
        <v>8.9845504795249553E-4</v>
      </c>
    </row>
    <row r="121" spans="1:10" x14ac:dyDescent="0.2">
      <c r="A121" t="s">
        <v>33</v>
      </c>
      <c r="B121">
        <v>7</v>
      </c>
      <c r="C121">
        <v>63.434165768286491</v>
      </c>
      <c r="D121">
        <v>1.5452461890000001E-2</v>
      </c>
      <c r="E121">
        <v>63.436490032432275</v>
      </c>
      <c r="F121">
        <v>4.9722436610000007E-3</v>
      </c>
      <c r="G121">
        <v>63.437329892585794</v>
      </c>
      <c r="H121">
        <v>2.9247777460000004E-3</v>
      </c>
      <c r="I121">
        <v>2.3242641457841273E-3</v>
      </c>
      <c r="J121">
        <v>8.3986015351911192E-4</v>
      </c>
    </row>
    <row r="122" spans="1:10" x14ac:dyDescent="0.2">
      <c r="A122" t="s">
        <v>33</v>
      </c>
      <c r="B122">
        <v>8</v>
      </c>
      <c r="C122">
        <v>71.483851289779096</v>
      </c>
      <c r="D122">
        <v>1.4345426668E-2</v>
      </c>
      <c r="E122">
        <v>71.486136490661934</v>
      </c>
      <c r="F122">
        <v>4.5432217419999997E-3</v>
      </c>
      <c r="G122">
        <v>71.486956819183973</v>
      </c>
      <c r="H122">
        <v>2.9443064820000001E-3</v>
      </c>
      <c r="I122">
        <v>2.2852008828380121E-3</v>
      </c>
      <c r="J122">
        <v>8.203285220389489E-4</v>
      </c>
    </row>
    <row r="123" spans="1:10" x14ac:dyDescent="0.2">
      <c r="A123" t="s">
        <v>33</v>
      </c>
      <c r="B123">
        <v>9</v>
      </c>
      <c r="C123">
        <v>78.056810617289401</v>
      </c>
      <c r="D123">
        <v>1.4163565314000001E-2</v>
      </c>
      <c r="E123">
        <v>78.059095818172239</v>
      </c>
      <c r="F123">
        <v>4.4577835220000004E-3</v>
      </c>
      <c r="G123">
        <v>78.059994273220184</v>
      </c>
      <c r="H123">
        <v>3.8926707240000001E-3</v>
      </c>
      <c r="I123">
        <v>2.2852008828380121E-3</v>
      </c>
      <c r="J123">
        <v>8.9845504794539011E-4</v>
      </c>
    </row>
    <row r="124" spans="1:10" x14ac:dyDescent="0.2">
      <c r="A124" t="s">
        <v>33</v>
      </c>
      <c r="B124">
        <v>10</v>
      </c>
      <c r="C124">
        <v>91.110729572247507</v>
      </c>
      <c r="D124">
        <v>1.3486772557000001E-2</v>
      </c>
      <c r="E124">
        <v>91.113034304761811</v>
      </c>
      <c r="F124">
        <v>4.6756509829999999E-3</v>
      </c>
      <c r="G124">
        <v>91.113835101652384</v>
      </c>
      <c r="H124">
        <v>3.8841269020000002E-3</v>
      </c>
      <c r="I124">
        <v>2.3047325143039643E-3</v>
      </c>
      <c r="J124">
        <v>8.0079689057299674E-4</v>
      </c>
    </row>
    <row r="125" spans="1:10" x14ac:dyDescent="0.2">
      <c r="A125" t="s">
        <v>33</v>
      </c>
      <c r="B125">
        <v>11</v>
      </c>
      <c r="C125">
        <v>106.63418151552959</v>
      </c>
      <c r="D125">
        <v>1.5685586176000001E-2</v>
      </c>
      <c r="E125">
        <v>106.63646671641243</v>
      </c>
      <c r="F125">
        <v>5.3512231940000005E-3</v>
      </c>
      <c r="G125">
        <v>106.63744329798628</v>
      </c>
      <c r="H125">
        <v>3.8450694300000005E-3</v>
      </c>
      <c r="I125">
        <v>2.2852008828380121E-3</v>
      </c>
      <c r="J125">
        <v>9.7658157385183131E-4</v>
      </c>
    </row>
    <row r="126" spans="1:10" x14ac:dyDescent="0.2">
      <c r="A126" t="s">
        <v>34</v>
      </c>
    </row>
    <row r="127" spans="1:10" x14ac:dyDescent="0.2">
      <c r="A127" t="s">
        <v>35</v>
      </c>
      <c r="B127">
        <v>1</v>
      </c>
      <c r="C127">
        <v>4.616192012215083</v>
      </c>
      <c r="D127">
        <v>1.4339323938E-2</v>
      </c>
      <c r="E127">
        <v>4.618652997781207</v>
      </c>
      <c r="F127">
        <v>4.4760917120000004E-3</v>
      </c>
      <c r="G127">
        <v>4.6202155282993811</v>
      </c>
      <c r="H127">
        <v>4.2899584470000003E-3</v>
      </c>
      <c r="I127">
        <v>2.4609855661239521E-3</v>
      </c>
      <c r="J127">
        <v>1.5625305181741211E-3</v>
      </c>
    </row>
    <row r="128" spans="1:10" x14ac:dyDescent="0.2">
      <c r="A128" t="s">
        <v>35</v>
      </c>
      <c r="B128">
        <v>2</v>
      </c>
      <c r="C128">
        <v>14.376653145668859</v>
      </c>
      <c r="D128">
        <v>1.2874058465000001E-2</v>
      </c>
      <c r="E128">
        <v>14.379114131234985</v>
      </c>
      <c r="F128">
        <v>3.1334911120000004E-3</v>
      </c>
      <c r="G128">
        <v>14.379875864862594</v>
      </c>
      <c r="H128">
        <v>3.3794311310000004E-3</v>
      </c>
      <c r="I128">
        <v>2.4609855661257285E-3</v>
      </c>
      <c r="J128">
        <v>7.61733627609118E-4</v>
      </c>
    </row>
    <row r="129" spans="1:10" x14ac:dyDescent="0.2">
      <c r="A129" t="s">
        <v>35</v>
      </c>
      <c r="B129">
        <v>3</v>
      </c>
      <c r="C129">
        <v>32.776877867065764</v>
      </c>
      <c r="D129">
        <v>1.4244121350000001E-2</v>
      </c>
      <c r="E129">
        <v>32.779319321000415</v>
      </c>
      <c r="F129">
        <v>3.9006042730000004E-3</v>
      </c>
      <c r="G129">
        <v>32.78021777604836</v>
      </c>
      <c r="H129">
        <v>5.1437303740000002E-3</v>
      </c>
      <c r="I129">
        <v>2.4414539346508946E-3</v>
      </c>
      <c r="J129">
        <v>8.9845504794539011E-4</v>
      </c>
    </row>
    <row r="130" spans="1:10" x14ac:dyDescent="0.2">
      <c r="A130" t="s">
        <v>35</v>
      </c>
      <c r="B130">
        <v>4</v>
      </c>
      <c r="C130">
        <v>41.825044467470072</v>
      </c>
      <c r="D130">
        <v>1.3638730534E-2</v>
      </c>
      <c r="E130">
        <v>41.827427326510282</v>
      </c>
      <c r="F130">
        <v>4.0415773360000006E-3</v>
      </c>
      <c r="G130">
        <v>41.828208591769368</v>
      </c>
      <c r="H130">
        <v>3.3043675520000003E-3</v>
      </c>
      <c r="I130">
        <v>2.3828590402104055E-3</v>
      </c>
      <c r="J130">
        <v>7.812652590857283E-4</v>
      </c>
    </row>
    <row r="131" spans="1:10" x14ac:dyDescent="0.2">
      <c r="A131" t="s">
        <v>35</v>
      </c>
      <c r="B131">
        <v>5</v>
      </c>
      <c r="C131">
        <v>41.825044467470072</v>
      </c>
      <c r="D131">
        <v>1.3638730534E-2</v>
      </c>
      <c r="E131">
        <v>41.827427326510282</v>
      </c>
      <c r="F131">
        <v>4.0415773360000006E-3</v>
      </c>
      <c r="G131">
        <v>41.828208591769368</v>
      </c>
      <c r="H131">
        <v>3.3043675520000003E-3</v>
      </c>
      <c r="I131">
        <v>2.3828590402104055E-3</v>
      </c>
      <c r="J131">
        <v>7.812652590857283E-4</v>
      </c>
    </row>
    <row r="132" spans="1:10" x14ac:dyDescent="0.2">
      <c r="A132" t="s">
        <v>35</v>
      </c>
      <c r="B132">
        <v>6</v>
      </c>
      <c r="C132">
        <v>56.72272921076388</v>
      </c>
      <c r="D132">
        <v>1.4274024727E-2</v>
      </c>
      <c r="E132">
        <v>56.725112069804098</v>
      </c>
      <c r="F132">
        <v>4.035474606E-3</v>
      </c>
      <c r="G132">
        <v>56.725932398326137</v>
      </c>
      <c r="H132">
        <v>3.8737522610000001E-3</v>
      </c>
      <c r="I132">
        <v>2.3828590402175109E-3</v>
      </c>
      <c r="J132">
        <v>8.203285220389489E-4</v>
      </c>
    </row>
    <row r="133" spans="1:10" x14ac:dyDescent="0.2">
      <c r="A133" t="s">
        <v>35</v>
      </c>
      <c r="B133">
        <v>7</v>
      </c>
      <c r="C133">
        <v>64.258394831231072</v>
      </c>
      <c r="D133">
        <v>1.5213845147000001E-2</v>
      </c>
      <c r="E133">
        <v>64.260777690271297</v>
      </c>
      <c r="F133">
        <v>4.6848050779999999E-3</v>
      </c>
      <c r="G133">
        <v>64.261637082056282</v>
      </c>
      <c r="H133">
        <v>3.1505787560000002E-3</v>
      </c>
      <c r="I133">
        <v>2.3828590402246164E-3</v>
      </c>
      <c r="J133">
        <v>8.5939178498506408E-4</v>
      </c>
    </row>
    <row r="134" spans="1:10" x14ac:dyDescent="0.2">
      <c r="A134" t="s">
        <v>35</v>
      </c>
      <c r="B134">
        <v>8</v>
      </c>
      <c r="C134">
        <v>71.096215762460204</v>
      </c>
      <c r="D134">
        <v>1.4010997064E-2</v>
      </c>
      <c r="E134">
        <v>71.098598621500415</v>
      </c>
      <c r="F134">
        <v>3.9829911280000003E-3</v>
      </c>
      <c r="G134">
        <v>71.099497076548374</v>
      </c>
      <c r="H134">
        <v>4.0409670630000005E-3</v>
      </c>
      <c r="I134">
        <v>2.3828590402104055E-3</v>
      </c>
      <c r="J134">
        <v>8.9845504795960096E-4</v>
      </c>
    </row>
    <row r="135" spans="1:10" x14ac:dyDescent="0.2">
      <c r="A135" t="s">
        <v>35</v>
      </c>
      <c r="B135">
        <v>9</v>
      </c>
      <c r="C135">
        <v>77.499060020346093</v>
      </c>
      <c r="D135">
        <v>1.5266938898000001E-2</v>
      </c>
      <c r="E135">
        <v>77.501442879386317</v>
      </c>
      <c r="F135">
        <v>4.7793973930000001E-3</v>
      </c>
      <c r="G135">
        <v>77.502263207908356</v>
      </c>
      <c r="H135">
        <v>3.3934674100000004E-3</v>
      </c>
      <c r="I135">
        <v>2.3828590402246164E-3</v>
      </c>
      <c r="J135">
        <v>8.203285220389489E-4</v>
      </c>
    </row>
    <row r="136" spans="1:10" x14ac:dyDescent="0.2">
      <c r="A136" t="s">
        <v>35</v>
      </c>
      <c r="B136">
        <v>10</v>
      </c>
      <c r="C136">
        <v>83.916183290825998</v>
      </c>
      <c r="D136">
        <v>1.5242527978000001E-2</v>
      </c>
      <c r="E136">
        <v>83.918527086603262</v>
      </c>
      <c r="F136">
        <v>4.2875173550000001E-3</v>
      </c>
      <c r="G136">
        <v>83.919327883493821</v>
      </c>
      <c r="H136">
        <v>3.626591696E-3</v>
      </c>
      <c r="I136">
        <v>2.3437957772642903E-3</v>
      </c>
      <c r="J136">
        <v>8.0079689055878589E-4</v>
      </c>
    </row>
    <row r="137" spans="1:10" x14ac:dyDescent="0.2">
      <c r="A137" t="s">
        <v>36</v>
      </c>
    </row>
    <row r="138" spans="1:10" x14ac:dyDescent="0.2">
      <c r="A138" t="s">
        <v>37</v>
      </c>
      <c r="B138">
        <v>1</v>
      </c>
      <c r="C138">
        <v>25.424329418771851</v>
      </c>
      <c r="D138">
        <v>1.3624083982000001E-2</v>
      </c>
      <c r="E138">
        <v>25.425931012552979</v>
      </c>
      <c r="F138">
        <v>5.8656833330000008E-3</v>
      </c>
      <c r="G138">
        <v>25.426809935969452</v>
      </c>
      <c r="H138">
        <v>2.614148789E-3</v>
      </c>
      <c r="I138">
        <v>1.6015937811282299E-3</v>
      </c>
      <c r="J138">
        <v>8.7892341647233252E-4</v>
      </c>
    </row>
    <row r="139" spans="1:10" x14ac:dyDescent="0.2">
      <c r="A139" t="s">
        <v>37</v>
      </c>
      <c r="B139">
        <v>2</v>
      </c>
      <c r="C139">
        <v>45.506466954428795</v>
      </c>
      <c r="D139">
        <v>1.5189434227E-2</v>
      </c>
      <c r="E139">
        <v>45.508049016578447</v>
      </c>
      <c r="F139">
        <v>6.451545413E-3</v>
      </c>
      <c r="G139">
        <v>45.509006066520826</v>
      </c>
      <c r="H139">
        <v>3.3916365910000002E-3</v>
      </c>
      <c r="I139">
        <v>1.5820621496516196E-3</v>
      </c>
      <c r="J139">
        <v>9.5704994237877372E-4</v>
      </c>
    </row>
    <row r="140" spans="1:10" x14ac:dyDescent="0.2">
      <c r="A140" t="s">
        <v>37</v>
      </c>
      <c r="B140">
        <v>3</v>
      </c>
      <c r="C140">
        <v>67.407607089253688</v>
      </c>
      <c r="D140">
        <v>1.2948511771000001E-2</v>
      </c>
      <c r="E140">
        <v>67.409169619771873</v>
      </c>
      <c r="F140">
        <v>6.5162343510000009E-3</v>
      </c>
      <c r="G140">
        <v>67.410107138082779</v>
      </c>
      <c r="H140">
        <v>3.7419332930000004E-3</v>
      </c>
      <c r="I140">
        <v>1.5625305181856675E-3</v>
      </c>
      <c r="J140">
        <v>9.3751831090571613E-4</v>
      </c>
    </row>
    <row r="141" spans="1:10" x14ac:dyDescent="0.2">
      <c r="A141" t="s">
        <v>37</v>
      </c>
      <c r="B141">
        <v>4</v>
      </c>
      <c r="C141">
        <v>100.08623032947713</v>
      </c>
      <c r="D141">
        <v>1.4494943553000001E-2</v>
      </c>
      <c r="E141">
        <v>100.088066302836</v>
      </c>
      <c r="F141">
        <v>5.9639372860000005E-3</v>
      </c>
      <c r="G141">
        <v>100.08902335277837</v>
      </c>
      <c r="H141">
        <v>2.6007227830000001E-3</v>
      </c>
      <c r="I141">
        <v>1.8359733588653171E-3</v>
      </c>
      <c r="J141">
        <v>9.5704994237166829E-4</v>
      </c>
    </row>
    <row r="142" spans="1:10" x14ac:dyDescent="0.2">
      <c r="A142" t="s">
        <v>37</v>
      </c>
      <c r="B142">
        <v>5</v>
      </c>
      <c r="C142">
        <v>125.97861446295239</v>
      </c>
      <c r="D142">
        <v>1.3863310998000001E-2</v>
      </c>
      <c r="E142">
        <v>125.98043090467978</v>
      </c>
      <c r="F142">
        <v>6.1244390850000007E-3</v>
      </c>
      <c r="G142">
        <v>125.98119263830739</v>
      </c>
      <c r="H142">
        <v>2.5091818330000002E-3</v>
      </c>
      <c r="I142">
        <v>1.8164417273851541E-3</v>
      </c>
      <c r="J142">
        <v>7.6173362761267072E-4</v>
      </c>
    </row>
    <row r="143" spans="1:10" x14ac:dyDescent="0.2">
      <c r="A143" t="s">
        <v>37</v>
      </c>
      <c r="B143">
        <v>6</v>
      </c>
      <c r="C143">
        <v>137.33540513453585</v>
      </c>
      <c r="D143">
        <v>1.2689756019000001E-2</v>
      </c>
      <c r="E143">
        <v>137.3372215762632</v>
      </c>
      <c r="F143">
        <v>6.7286093549999999E-3</v>
      </c>
      <c r="G143">
        <v>137.33886223330731</v>
      </c>
      <c r="H143">
        <v>2.8753456330000001E-3</v>
      </c>
      <c r="I143">
        <v>1.8164417273567324E-3</v>
      </c>
      <c r="J143">
        <v>1.6406570441063195E-3</v>
      </c>
    </row>
    <row r="144" spans="1:10" x14ac:dyDescent="0.2">
      <c r="A14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B387-8820-8A41-899F-A593895C198C}">
  <dimension ref="A1:AA152"/>
  <sheetViews>
    <sheetView tabSelected="1" topLeftCell="K1" zoomScaleNormal="125" workbookViewId="0">
      <selection activeCell="AA22" sqref="AA22"/>
    </sheetView>
  </sheetViews>
  <sheetFormatPr baseColWidth="10" defaultRowHeight="15" x14ac:dyDescent="0.2"/>
  <cols>
    <col min="1" max="1" width="20.5" style="2" customWidth="1"/>
    <col min="2" max="3" width="14.6640625" style="2" customWidth="1"/>
    <col min="4" max="6" width="10.83203125" style="2" customWidth="1"/>
    <col min="7" max="7" width="11.1640625" style="2" bestFit="1" customWidth="1"/>
    <col min="8" max="9" width="10.83203125" style="2"/>
    <col min="10" max="10" width="18.83203125" style="2" bestFit="1" customWidth="1"/>
    <col min="11" max="20" width="10.83203125" style="2"/>
    <col min="21" max="21" width="18.83203125" style="2" bestFit="1" customWidth="1"/>
    <col min="22" max="22" width="12.1640625" style="2" bestFit="1" customWidth="1"/>
    <col min="23" max="23" width="7" style="2" bestFit="1" customWidth="1"/>
    <col min="24" max="24" width="7" style="2" customWidth="1"/>
    <col min="25" max="25" width="8" style="2" bestFit="1" customWidth="1"/>
    <col min="26" max="26" width="12.1640625" style="2" bestFit="1" customWidth="1"/>
    <col min="27" max="16384" width="10.83203125" style="2"/>
  </cols>
  <sheetData>
    <row r="1" spans="1:27" x14ac:dyDescent="0.2">
      <c r="A1" s="1" t="s">
        <v>0</v>
      </c>
      <c r="B1" s="1" t="s">
        <v>41</v>
      </c>
      <c r="C1" s="1" t="s">
        <v>43</v>
      </c>
      <c r="D1" s="1" t="s">
        <v>48</v>
      </c>
      <c r="E1" s="1" t="s">
        <v>49</v>
      </c>
      <c r="F1" s="1" t="s">
        <v>50</v>
      </c>
      <c r="G1" s="1" t="s">
        <v>51</v>
      </c>
      <c r="H1" s="2" t="s">
        <v>58</v>
      </c>
      <c r="J1" s="1" t="s">
        <v>52</v>
      </c>
      <c r="K1" s="1" t="s">
        <v>48</v>
      </c>
      <c r="L1" s="1" t="s">
        <v>53</v>
      </c>
      <c r="M1" s="2" t="s">
        <v>58</v>
      </c>
      <c r="N1" s="1" t="s">
        <v>54</v>
      </c>
      <c r="U1" s="2" t="s">
        <v>52</v>
      </c>
      <c r="V1" s="2" t="s">
        <v>48</v>
      </c>
      <c r="W1" s="2" t="s">
        <v>53</v>
      </c>
      <c r="X1" s="2" t="s">
        <v>59</v>
      </c>
      <c r="Y1" s="2" t="s">
        <v>60</v>
      </c>
      <c r="Z1" s="2" t="s">
        <v>54</v>
      </c>
      <c r="AA1" s="2" t="s">
        <v>58</v>
      </c>
    </row>
    <row r="2" spans="1:27" x14ac:dyDescent="0.2">
      <c r="A2" s="1" t="s">
        <v>1</v>
      </c>
      <c r="B2" s="1">
        <v>1.5136340476000001E-2</v>
      </c>
      <c r="C2" s="1">
        <v>7.7221337990000007E-3</v>
      </c>
      <c r="D2" s="1">
        <f>B2/C2</f>
        <v>1.9601240887538265</v>
      </c>
      <c r="E2" s="1">
        <f>AVERAGE(D2:D6)</f>
        <v>1.9246707861364016</v>
      </c>
      <c r="F2" s="2">
        <f>_xlfn.STDEV.S(D2:D6)</f>
        <v>7.6548246451438123E-2</v>
      </c>
      <c r="G2" s="3">
        <v>0.11302982731554165</v>
      </c>
      <c r="H2" s="4">
        <v>0.3212494015831851</v>
      </c>
      <c r="J2" s="1" t="str">
        <f>A2</f>
        <v>L_M1_EST.mat</v>
      </c>
      <c r="K2" s="1">
        <f>E2</f>
        <v>1.9246707861364016</v>
      </c>
      <c r="L2" s="5">
        <f>G2</f>
        <v>0.11302982731554165</v>
      </c>
      <c r="M2" s="5">
        <f>H2</f>
        <v>0.3212494015831851</v>
      </c>
      <c r="N2" s="1">
        <f>F2</f>
        <v>7.6548246451438123E-2</v>
      </c>
      <c r="U2" s="2" t="s">
        <v>1</v>
      </c>
      <c r="V2" s="2">
        <v>1.9246707861364016</v>
      </c>
      <c r="W2" s="4">
        <v>0.11302982731554165</v>
      </c>
      <c r="X2" s="7">
        <v>0.21</v>
      </c>
      <c r="Y2" s="4">
        <f>W2/X2</f>
        <v>0.53823727293115076</v>
      </c>
      <c r="Z2" s="2">
        <v>7.6548246451438123E-2</v>
      </c>
      <c r="AA2" s="2">
        <f>_xlfn.XLOOKUP(U2,$J$2:$J$19,$M$2:$M$19)</f>
        <v>0.3212494015831851</v>
      </c>
    </row>
    <row r="3" spans="1:27" x14ac:dyDescent="0.2">
      <c r="A3" s="1" t="s">
        <v>1</v>
      </c>
      <c r="B3" s="1">
        <v>1.3812048066000001E-2</v>
      </c>
      <c r="C3" s="1">
        <v>6.8470023170000005E-3</v>
      </c>
      <c r="D3" s="1">
        <f t="shared" ref="D3:D6" si="0">B3/C3</f>
        <v>2.0172401624148595</v>
      </c>
      <c r="E3" s="1"/>
      <c r="G3" s="3"/>
      <c r="J3" s="1" t="str">
        <f>A8</f>
        <v>L_M1_EST_#2.mat</v>
      </c>
      <c r="K3" s="1">
        <f>E8</f>
        <v>1.9134301698747911</v>
      </c>
      <c r="L3" s="5">
        <f>G8</f>
        <v>0.11302982731554165</v>
      </c>
      <c r="M3" s="5">
        <f>H8</f>
        <v>0.3212494015831851</v>
      </c>
      <c r="N3" s="1">
        <f>F8</f>
        <v>0.17811123062637685</v>
      </c>
      <c r="U3" s="2" t="s">
        <v>5</v>
      </c>
      <c r="V3" s="2">
        <v>2.195333934907997</v>
      </c>
      <c r="W3" s="4">
        <v>0.13227722772277212</v>
      </c>
      <c r="X3" s="7">
        <v>0.16</v>
      </c>
      <c r="Y3" s="4">
        <f t="shared" ref="Y3:Y14" si="1">W3/X3</f>
        <v>0.82673267326732569</v>
      </c>
      <c r="Z3" s="2">
        <v>0.26167701450442665</v>
      </c>
      <c r="AA3" s="2">
        <f t="shared" ref="AA3:AA13" si="2">_xlfn.XLOOKUP(U3,$J$2:$J$19,$M$2:$M$19)</f>
        <v>0.65447439315144107</v>
      </c>
    </row>
    <row r="4" spans="1:27" x14ac:dyDescent="0.2">
      <c r="A4" s="1" t="s">
        <v>1</v>
      </c>
      <c r="B4" s="1">
        <v>1.6771261842999999E-2</v>
      </c>
      <c r="C4" s="1">
        <v>8.5826187289999994E-3</v>
      </c>
      <c r="D4" s="1">
        <f t="shared" si="0"/>
        <v>1.9540961066266656</v>
      </c>
      <c r="E4" s="1"/>
      <c r="G4" s="3"/>
      <c r="J4" s="1" t="str">
        <f>A14</f>
        <v>L_M1_MOD_56.mat</v>
      </c>
      <c r="K4" s="1">
        <f>E14</f>
        <v>2.195333934907997</v>
      </c>
      <c r="L4" s="5">
        <f>G14</f>
        <v>0.13227722772277212</v>
      </c>
      <c r="M4" s="5">
        <f>H14</f>
        <v>0.65447439315144107</v>
      </c>
      <c r="N4" s="1">
        <f>F14</f>
        <v>0.26167701450442665</v>
      </c>
      <c r="U4" s="2" t="s">
        <v>7</v>
      </c>
      <c r="V4" s="2">
        <v>2.4186860629867977</v>
      </c>
      <c r="W4" s="4">
        <v>0.14261363636363625</v>
      </c>
      <c r="X4" s="7">
        <v>0.21</v>
      </c>
      <c r="Y4" s="4">
        <f t="shared" si="1"/>
        <v>0.67911255411255356</v>
      </c>
      <c r="Z4" s="2">
        <v>0.64273794050824717</v>
      </c>
      <c r="AA4" s="2">
        <f t="shared" si="2"/>
        <v>0.45929290078498514</v>
      </c>
    </row>
    <row r="5" spans="1:27" x14ac:dyDescent="0.2">
      <c r="A5" s="1" t="s">
        <v>1</v>
      </c>
      <c r="B5" s="1">
        <v>1.7153903014000001E-2</v>
      </c>
      <c r="C5" s="1">
        <v>9.2264567439999997E-3</v>
      </c>
      <c r="D5" s="1">
        <f t="shared" si="0"/>
        <v>1.8592080892976872</v>
      </c>
      <c r="E5" s="1"/>
      <c r="G5" s="3"/>
      <c r="J5" s="1" t="str">
        <f>A22</f>
        <v>L_M2_EST.mat</v>
      </c>
      <c r="K5" s="1">
        <f>E22</f>
        <v>2.4186860629867977</v>
      </c>
      <c r="L5" s="5">
        <f>G22</f>
        <v>0.14261363636363625</v>
      </c>
      <c r="M5" s="5">
        <f>H22</f>
        <v>0.45929290078498514</v>
      </c>
      <c r="N5" s="1">
        <f>F22</f>
        <v>0.64273794050824717</v>
      </c>
      <c r="U5" s="2" t="s">
        <v>9</v>
      </c>
      <c r="V5" s="2">
        <v>2.3094126654132445</v>
      </c>
      <c r="W5" s="4">
        <v>0.15978994748687164</v>
      </c>
      <c r="X5" s="7">
        <v>0.16</v>
      </c>
      <c r="Y5" s="4">
        <f t="shared" si="1"/>
        <v>0.99868717179294775</v>
      </c>
      <c r="Z5" s="2">
        <v>0.16080658691588567</v>
      </c>
      <c r="AA5" s="2">
        <f t="shared" si="2"/>
        <v>0.83610261337825054</v>
      </c>
    </row>
    <row r="6" spans="1:27" x14ac:dyDescent="0.2">
      <c r="A6" s="1" t="s">
        <v>1</v>
      </c>
      <c r="B6" s="1">
        <v>1.6073719803999999E-2</v>
      </c>
      <c r="C6" s="1">
        <v>8.7705828129999996E-3</v>
      </c>
      <c r="D6" s="1">
        <f t="shared" si="0"/>
        <v>1.8326854835889683</v>
      </c>
      <c r="E6" s="1"/>
      <c r="G6" s="3"/>
      <c r="J6" s="1" t="str">
        <f>A30</f>
        <v>L_M2_MOD_56.mat</v>
      </c>
      <c r="K6" s="1">
        <f>E30</f>
        <v>2.3094126654132445</v>
      </c>
      <c r="L6" s="5">
        <f>G30</f>
        <v>0.15978994748687164</v>
      </c>
      <c r="M6" s="5">
        <f>H30</f>
        <v>0.83610261337825054</v>
      </c>
      <c r="N6" s="1">
        <f>F30</f>
        <v>0.16080658691588567</v>
      </c>
      <c r="U6" s="2" t="s">
        <v>11</v>
      </c>
      <c r="V6" s="2">
        <v>2.0687647764526438</v>
      </c>
      <c r="W6" s="4">
        <v>0.19204244031830223</v>
      </c>
      <c r="X6" s="7">
        <v>0.21</v>
      </c>
      <c r="Y6" s="4">
        <f t="shared" si="1"/>
        <v>0.91448781103953447</v>
      </c>
      <c r="Z6" s="2">
        <v>0.49262241392665956</v>
      </c>
      <c r="AA6" s="2">
        <f t="shared" si="2"/>
        <v>0.68051559881047952</v>
      </c>
    </row>
    <row r="7" spans="1:27" x14ac:dyDescent="0.2">
      <c r="A7" s="1" t="s">
        <v>2</v>
      </c>
      <c r="B7" s="1"/>
      <c r="C7" s="1"/>
      <c r="D7" s="1"/>
      <c r="E7" s="1"/>
      <c r="G7" s="1"/>
      <c r="J7" s="1" t="str">
        <f>A38</f>
        <v>L_M3_EST.mat</v>
      </c>
      <c r="K7" s="1">
        <f>E38</f>
        <v>2.0687647764526438</v>
      </c>
      <c r="L7" s="5">
        <f>G38</f>
        <v>0.19204244031830223</v>
      </c>
      <c r="M7" s="5">
        <f>H38</f>
        <v>0.68051559881047952</v>
      </c>
      <c r="N7" s="1">
        <f>F38</f>
        <v>0.49262241392665956</v>
      </c>
      <c r="U7" s="2" t="s">
        <v>13</v>
      </c>
      <c r="V7" s="2">
        <v>2.3873716925750474</v>
      </c>
      <c r="W7" s="4">
        <v>0.18811394891944982</v>
      </c>
      <c r="X7" s="7">
        <v>0.16</v>
      </c>
      <c r="Y7" s="4">
        <f>W7/X7</f>
        <v>1.1757121807465614</v>
      </c>
      <c r="Z7" s="2">
        <v>0.55676152772517817</v>
      </c>
      <c r="AA7" s="2">
        <f t="shared" si="2"/>
        <v>0.90551362714545369</v>
      </c>
    </row>
    <row r="8" spans="1:27" x14ac:dyDescent="0.2">
      <c r="A8" s="1" t="s">
        <v>3</v>
      </c>
      <c r="B8" s="1">
        <v>1.2063005648000001E-2</v>
      </c>
      <c r="C8" s="1">
        <v>5.5178277229999996E-3</v>
      </c>
      <c r="D8" s="1">
        <f t="shared" ref="D8:D43" si="3">B8/C8</f>
        <v>2.1861874370810255</v>
      </c>
      <c r="E8" s="1">
        <f>AVERAGE(D8:D12)</f>
        <v>1.9134301698747911</v>
      </c>
      <c r="F8" s="2">
        <f>_xlfn.STDEV.S(D8:D12)</f>
        <v>0.17811123062637685</v>
      </c>
      <c r="G8" s="3">
        <v>0.11302982731554165</v>
      </c>
      <c r="H8" s="4">
        <v>0.3212494015831851</v>
      </c>
      <c r="J8" s="1" t="str">
        <f>A46</f>
        <v>L_M3_MOD_56.mat</v>
      </c>
      <c r="K8" s="1">
        <f>E46</f>
        <v>2.3873716925750474</v>
      </c>
      <c r="L8" s="5">
        <f>G46</f>
        <v>0.18811394891944982</v>
      </c>
      <c r="M8" s="5">
        <f>H46</f>
        <v>0.90551362714545369</v>
      </c>
      <c r="N8" s="1">
        <f>F46</f>
        <v>0.55676152772517817</v>
      </c>
      <c r="U8" s="2" t="s">
        <v>15</v>
      </c>
      <c r="V8" s="2">
        <v>2.4976795945113945</v>
      </c>
      <c r="W8" s="4">
        <v>0.24606215410813118</v>
      </c>
      <c r="X8" s="7">
        <v>0.21</v>
      </c>
      <c r="Y8" s="4">
        <f t="shared" si="1"/>
        <v>1.1717245433720533</v>
      </c>
      <c r="Z8" s="2">
        <v>0.29737253329276131</v>
      </c>
      <c r="AA8" s="2">
        <f t="shared" si="2"/>
        <v>0.88588990763905762</v>
      </c>
    </row>
    <row r="9" spans="1:27" x14ac:dyDescent="0.2">
      <c r="A9" s="1" t="s">
        <v>3</v>
      </c>
      <c r="B9" s="1">
        <v>1.5906505001999999E-2</v>
      </c>
      <c r="C9" s="1">
        <v>8.1358988929999994E-3</v>
      </c>
      <c r="D9" s="1">
        <f t="shared" si="3"/>
        <v>1.955101115586098</v>
      </c>
      <c r="E9" s="1"/>
      <c r="G9" s="3"/>
      <c r="J9" s="1" t="str">
        <f>A56</f>
        <v>L_M4_EST.mat</v>
      </c>
      <c r="K9" s="1">
        <f>E56</f>
        <v>2.4976795945113945</v>
      </c>
      <c r="L9" s="5">
        <f>G56</f>
        <v>0.24606215410813118</v>
      </c>
      <c r="M9" s="5">
        <f>H56</f>
        <v>0.88588990763905762</v>
      </c>
      <c r="N9" s="1">
        <f>F56</f>
        <v>0.29737253329276131</v>
      </c>
      <c r="U9" s="2" t="s">
        <v>17</v>
      </c>
      <c r="V9" s="2">
        <v>2.7700167143548673</v>
      </c>
      <c r="W9" s="4">
        <v>0.22389937106918242</v>
      </c>
      <c r="X9" s="7">
        <v>0.16</v>
      </c>
      <c r="Y9" s="4">
        <f t="shared" si="1"/>
        <v>1.3993710691823902</v>
      </c>
      <c r="Z9" s="2">
        <v>0.27142160446394126</v>
      </c>
      <c r="AA9" s="2">
        <f t="shared" si="2"/>
        <v>0.84367532187400063</v>
      </c>
    </row>
    <row r="10" spans="1:27" x14ac:dyDescent="0.2">
      <c r="A10" s="1" t="s">
        <v>3</v>
      </c>
      <c r="B10" s="1">
        <v>1.5735628562E-2</v>
      </c>
      <c r="C10" s="1">
        <v>8.9567160780000005E-3</v>
      </c>
      <c r="D10" s="1">
        <f t="shared" si="3"/>
        <v>1.7568524473663683</v>
      </c>
      <c r="E10" s="1"/>
      <c r="G10" s="3"/>
      <c r="J10" s="1" t="str">
        <f>A63</f>
        <v>L_M4_MOD_56.mat</v>
      </c>
      <c r="K10" s="1">
        <f>E63</f>
        <v>2.7700167143548673</v>
      </c>
      <c r="L10" s="5">
        <f>G63</f>
        <v>0.22389937106918242</v>
      </c>
      <c r="M10" s="5">
        <f>H63</f>
        <v>0.84367532187400063</v>
      </c>
      <c r="N10" s="1">
        <f>F63</f>
        <v>0.27142160446394126</v>
      </c>
      <c r="U10" s="2" t="s">
        <v>19</v>
      </c>
      <c r="V10" s="2">
        <v>3.3365380274156862</v>
      </c>
      <c r="W10" s="4">
        <v>0.29512735326688799</v>
      </c>
      <c r="X10" s="7">
        <v>0.21</v>
      </c>
      <c r="Y10" s="4">
        <f t="shared" si="1"/>
        <v>1.4053683488899429</v>
      </c>
      <c r="Z10" s="2">
        <v>0.42460052080167432</v>
      </c>
      <c r="AA10" s="2">
        <f t="shared" si="2"/>
        <v>0.84000708917054345</v>
      </c>
    </row>
    <row r="11" spans="1:27" x14ac:dyDescent="0.2">
      <c r="A11" s="1" t="s">
        <v>3</v>
      </c>
      <c r="B11" s="1">
        <v>1.5042968707000001E-2</v>
      </c>
      <c r="C11" s="1">
        <v>8.588721459E-3</v>
      </c>
      <c r="D11" s="1">
        <f t="shared" si="3"/>
        <v>1.7514793999095972</v>
      </c>
      <c r="E11" s="1"/>
      <c r="G11" s="3"/>
      <c r="J11" s="1" t="str">
        <f>A72</f>
        <v>L_M5_2_EST.mat</v>
      </c>
      <c r="K11" s="1">
        <f>E72</f>
        <v>3.3365380274156862</v>
      </c>
      <c r="L11" s="5">
        <f>G72</f>
        <v>0.29512735326688799</v>
      </c>
      <c r="M11" s="5">
        <f>H72</f>
        <v>0.84000708917054345</v>
      </c>
      <c r="N11" s="1">
        <f>F72</f>
        <v>0.42460052080167432</v>
      </c>
      <c r="U11" s="2" t="s">
        <v>25</v>
      </c>
      <c r="V11" s="2">
        <v>2.2330826000547201</v>
      </c>
      <c r="W11" s="4">
        <v>0.11079723791588189</v>
      </c>
      <c r="X11" s="7">
        <v>0.17199999999999999</v>
      </c>
      <c r="Y11" s="4">
        <f t="shared" si="1"/>
        <v>0.64416998788303426</v>
      </c>
      <c r="Z11" s="2">
        <v>6.0371860527192844E-2</v>
      </c>
      <c r="AA11" s="2">
        <f t="shared" si="2"/>
        <v>0.42159234574390719</v>
      </c>
    </row>
    <row r="12" spans="1:27" x14ac:dyDescent="0.2">
      <c r="A12" s="1" t="s">
        <v>3</v>
      </c>
      <c r="B12" s="1">
        <v>1.5545833659000001E-2</v>
      </c>
      <c r="C12" s="1">
        <v>8.107216062000001E-3</v>
      </c>
      <c r="D12" s="1">
        <f t="shared" si="3"/>
        <v>1.9175304494308665</v>
      </c>
      <c r="E12" s="1"/>
      <c r="G12" s="3"/>
      <c r="J12" s="1" t="str">
        <f>A79</f>
        <v>L_M5_MOD#2.mat</v>
      </c>
      <c r="K12" s="1">
        <f>E79</f>
        <v>2.1932166291917548</v>
      </c>
      <c r="L12" s="5">
        <f>G79</f>
        <v>0.11079723791588189</v>
      </c>
      <c r="M12" s="5">
        <f>H79</f>
        <v>0.42159234574390719</v>
      </c>
      <c r="N12" s="1">
        <f>F79</f>
        <v>0.5616009289898567</v>
      </c>
      <c r="U12" s="2" t="s">
        <v>29</v>
      </c>
      <c r="V12" s="2">
        <v>2.2073593865390193</v>
      </c>
      <c r="W12" s="4">
        <v>0.16014588859416429</v>
      </c>
      <c r="X12" s="7">
        <v>0.17199999999999999</v>
      </c>
      <c r="Y12" s="4">
        <f t="shared" si="1"/>
        <v>0.93108074764049009</v>
      </c>
      <c r="Z12" s="2">
        <v>0.21893262956350473</v>
      </c>
      <c r="AA12" s="2">
        <f t="shared" si="2"/>
        <v>0.70349181350424639</v>
      </c>
    </row>
    <row r="13" spans="1:27" x14ac:dyDescent="0.2">
      <c r="A13" s="1" t="s">
        <v>2</v>
      </c>
      <c r="B13" s="1"/>
      <c r="C13" s="1"/>
      <c r="D13" s="1"/>
      <c r="E13" s="1"/>
      <c r="G13" s="1"/>
      <c r="J13" s="1" t="str">
        <f>A83</f>
        <v>L_M5_MOD#3.mat</v>
      </c>
      <c r="K13" s="1">
        <f>E83</f>
        <v>1.930558504148908</v>
      </c>
      <c r="L13" s="5">
        <f>G83</f>
        <v>0.11079723791588189</v>
      </c>
      <c r="M13" s="5">
        <f>H83</f>
        <v>0.42159234574390719</v>
      </c>
      <c r="N13" s="1">
        <f>F83</f>
        <v>9.9462159270935019E-2</v>
      </c>
      <c r="U13" s="2" t="s">
        <v>31</v>
      </c>
      <c r="V13" s="2">
        <v>2.2364037902679628</v>
      </c>
      <c r="W13" s="4">
        <v>0.18882395909422914</v>
      </c>
      <c r="X13" s="7">
        <v>0.17199999999999999</v>
      </c>
      <c r="Y13" s="4">
        <f t="shared" si="1"/>
        <v>1.097813715664123</v>
      </c>
      <c r="Z13" s="2">
        <v>0.256250852693095</v>
      </c>
      <c r="AA13" s="2">
        <f t="shared" si="2"/>
        <v>0.84475946587239459</v>
      </c>
    </row>
    <row r="14" spans="1:27" x14ac:dyDescent="0.2">
      <c r="A14" s="1" t="s">
        <v>5</v>
      </c>
      <c r="B14" s="1">
        <v>1.2586009609E-2</v>
      </c>
      <c r="C14" s="1">
        <v>5.8144204010000004E-3</v>
      </c>
      <c r="D14" s="1">
        <f t="shared" si="3"/>
        <v>2.1646198143559383</v>
      </c>
      <c r="E14" s="1">
        <f>AVERAGE(D14:D20)</f>
        <v>2.195333934907997</v>
      </c>
      <c r="F14" s="1">
        <f>_xlfn.STDEV.S(D14:D20)</f>
        <v>0.26167701450442665</v>
      </c>
      <c r="G14" s="3">
        <v>0.13227722772277212</v>
      </c>
      <c r="H14" s="4">
        <v>0.65447439315144107</v>
      </c>
      <c r="J14" s="1" t="str">
        <f>A88</f>
        <v>L_M5_MOD.mat</v>
      </c>
      <c r="K14" s="1">
        <f>E88</f>
        <v>2.2330826000547201</v>
      </c>
      <c r="L14" s="5">
        <f>G88</f>
        <v>0.11079723791588189</v>
      </c>
      <c r="M14" s="5">
        <f>H88</f>
        <v>0.42159234574390719</v>
      </c>
      <c r="N14" s="1">
        <f>F88</f>
        <v>6.0371860527192844E-2</v>
      </c>
      <c r="U14" s="2" t="s">
        <v>35</v>
      </c>
      <c r="V14" s="2">
        <v>3.4764804908428872</v>
      </c>
      <c r="W14" s="4">
        <v>0.24161849710982658</v>
      </c>
      <c r="X14" s="7">
        <v>0.17199999999999999</v>
      </c>
      <c r="Y14" s="4">
        <f t="shared" si="1"/>
        <v>1.4047587041268987</v>
      </c>
      <c r="Z14" s="2">
        <v>0.27265881292576449</v>
      </c>
      <c r="AA14" s="2">
        <f>_xlfn.XLOOKUP(U14,$J$2:$J$19,$M$2:$M$19)</f>
        <v>0.85638781398421826</v>
      </c>
    </row>
    <row r="15" spans="1:27" x14ac:dyDescent="0.2">
      <c r="A15" s="1" t="s">
        <v>5</v>
      </c>
      <c r="B15" s="1">
        <v>1.3491654741000001E-2</v>
      </c>
      <c r="C15" s="1">
        <v>5.5233201800000001E-3</v>
      </c>
      <c r="D15" s="1">
        <f t="shared" si="3"/>
        <v>2.4426711291975112</v>
      </c>
      <c r="E15" s="1"/>
      <c r="G15" s="3"/>
      <c r="J15" s="1" t="str">
        <f>A94</f>
        <v>L_M6_MOD#2.mat</v>
      </c>
      <c r="K15" s="1">
        <f>E94</f>
        <v>2.6383661735353172</v>
      </c>
      <c r="L15" s="5">
        <f>G94</f>
        <v>0.16014588859416429</v>
      </c>
      <c r="M15" s="5">
        <f>H94</f>
        <v>0.70349181350424639</v>
      </c>
      <c r="N15" s="1">
        <f>F94</f>
        <v>0.35214262704286975</v>
      </c>
    </row>
    <row r="16" spans="1:27" x14ac:dyDescent="0.2">
      <c r="A16" s="1" t="s">
        <v>5</v>
      </c>
      <c r="B16" s="1">
        <v>1.2293688842000002E-2</v>
      </c>
      <c r="C16" s="1">
        <v>5.4763291590000001E-3</v>
      </c>
      <c r="D16" s="1">
        <f t="shared" si="3"/>
        <v>2.2448776333679841</v>
      </c>
      <c r="E16" s="1"/>
      <c r="G16" s="3"/>
      <c r="J16" s="1" t="str">
        <f>A99</f>
        <v>L_M6_MOD.mat</v>
      </c>
      <c r="K16" s="1">
        <f>E99</f>
        <v>2.2073593865390193</v>
      </c>
      <c r="L16" s="5">
        <f>G99</f>
        <v>0.16014588859416429</v>
      </c>
      <c r="M16" s="5">
        <f>H99</f>
        <v>0.70349181350424639</v>
      </c>
      <c r="N16" s="1">
        <f>F99</f>
        <v>0.21893262956350473</v>
      </c>
      <c r="W16" s="4"/>
      <c r="X16" s="4"/>
      <c r="Y16" s="4"/>
    </row>
    <row r="17" spans="1:25" x14ac:dyDescent="0.2">
      <c r="A17" s="1" t="s">
        <v>5</v>
      </c>
      <c r="B17" s="1">
        <v>1.2293688842000002E-2</v>
      </c>
      <c r="C17" s="1">
        <v>5.4763291590000001E-3</v>
      </c>
      <c r="D17" s="1">
        <f t="shared" si="3"/>
        <v>2.2448776333679841</v>
      </c>
      <c r="E17" s="1"/>
      <c r="G17" s="3"/>
      <c r="J17" s="1" t="str">
        <f>A106</f>
        <v>L_M7_MOD.mat</v>
      </c>
      <c r="K17" s="1">
        <f>E106</f>
        <v>2.2364037902679628</v>
      </c>
      <c r="L17" s="5">
        <f>G106</f>
        <v>0.18882395909422914</v>
      </c>
      <c r="M17" s="5">
        <f>H106</f>
        <v>0.84475946587239459</v>
      </c>
      <c r="N17" s="1">
        <f>F106</f>
        <v>0.256250852693095</v>
      </c>
      <c r="W17" s="4"/>
      <c r="X17" s="4"/>
      <c r="Y17" s="4"/>
    </row>
    <row r="18" spans="1:25" x14ac:dyDescent="0.2">
      <c r="A18" s="1" t="s">
        <v>5</v>
      </c>
      <c r="B18" s="1">
        <v>1.4582212592E-2</v>
      </c>
      <c r="C18" s="1">
        <v>6.4637508730000003E-3</v>
      </c>
      <c r="D18" s="1">
        <f t="shared" si="3"/>
        <v>2.2559985492188384</v>
      </c>
      <c r="E18" s="1"/>
      <c r="G18" s="3"/>
      <c r="J18" s="1" t="str">
        <f>A115</f>
        <v>L_M8_MOD#2.mat</v>
      </c>
      <c r="K18" s="1">
        <f>E115</f>
        <v>3.3338549667237958</v>
      </c>
      <c r="L18" s="5">
        <f>G115</f>
        <v>0.24161849710982658</v>
      </c>
      <c r="M18" s="5">
        <f>H115</f>
        <v>0.85638781398421826</v>
      </c>
      <c r="N18" s="1">
        <f>F115</f>
        <v>0.35692609968125555</v>
      </c>
      <c r="W18" s="4"/>
      <c r="X18" s="4"/>
      <c r="Y18" s="4"/>
    </row>
    <row r="19" spans="1:25" x14ac:dyDescent="0.2">
      <c r="A19" s="1" t="s">
        <v>5</v>
      </c>
      <c r="B19" s="1">
        <v>1.3157835410000001E-2</v>
      </c>
      <c r="C19" s="1">
        <v>5.5422386430000001E-3</v>
      </c>
      <c r="D19" s="1">
        <f t="shared" si="3"/>
        <v>2.3741011994528076</v>
      </c>
      <c r="E19" s="1"/>
      <c r="G19" s="3"/>
      <c r="J19" s="1" t="str">
        <f>A127</f>
        <v>L_M8_MOD.mat</v>
      </c>
      <c r="K19" s="1">
        <f>E127</f>
        <v>3.4764804908428872</v>
      </c>
      <c r="L19" s="5">
        <f>G127</f>
        <v>0.24161849710982658</v>
      </c>
      <c r="M19" s="5">
        <f>H127</f>
        <v>0.85638781398421826</v>
      </c>
      <c r="N19" s="1">
        <f>F127</f>
        <v>0.27265881292576449</v>
      </c>
      <c r="W19" s="4"/>
      <c r="X19" s="4"/>
      <c r="Y19" s="4"/>
    </row>
    <row r="20" spans="1:25" x14ac:dyDescent="0.2">
      <c r="A20" s="1" t="s">
        <v>5</v>
      </c>
      <c r="B20" s="1">
        <v>1.8565464463E-2</v>
      </c>
      <c r="C20" s="1">
        <v>1.1319082861E-2</v>
      </c>
      <c r="D20" s="1">
        <f t="shared" si="3"/>
        <v>1.6401915853949149</v>
      </c>
      <c r="E20" s="1"/>
      <c r="G20" s="1"/>
      <c r="J20" s="1"/>
      <c r="K20" s="1"/>
      <c r="L20" s="1"/>
      <c r="M20" s="1"/>
      <c r="N20" s="1"/>
    </row>
    <row r="21" spans="1:25" x14ac:dyDescent="0.2">
      <c r="A21" s="1" t="s">
        <v>2</v>
      </c>
      <c r="B21" s="1"/>
      <c r="C21" s="1"/>
      <c r="D21" s="1"/>
      <c r="E21" s="1"/>
      <c r="G21" s="3"/>
      <c r="J21" s="1"/>
      <c r="K21" s="1"/>
      <c r="L21" s="3"/>
      <c r="M21" s="3"/>
      <c r="N21" s="1"/>
    </row>
    <row r="22" spans="1:25" x14ac:dyDescent="0.2">
      <c r="A22" s="1" t="s">
        <v>7</v>
      </c>
      <c r="B22" s="1">
        <v>1.6804826857999999E-2</v>
      </c>
      <c r="C22" s="1">
        <v>7.7355598050000002E-3</v>
      </c>
      <c r="D22" s="1">
        <f>B22/C22</f>
        <v>2.1724125055743135</v>
      </c>
      <c r="E22" s="1">
        <f>AVERAGE(D22:D28)</f>
        <v>2.4186860629867977</v>
      </c>
      <c r="F22" s="2">
        <f>_xlfn.STDEV.S(D22:D28)</f>
        <v>0.64273794050824717</v>
      </c>
      <c r="G22" s="3">
        <v>0.14261363636363625</v>
      </c>
      <c r="H22" s="4">
        <v>0.45929290078498514</v>
      </c>
      <c r="J22" s="1"/>
      <c r="K22" s="1"/>
      <c r="L22" s="3"/>
      <c r="M22" s="3"/>
      <c r="N22" s="1"/>
    </row>
    <row r="23" spans="1:25" x14ac:dyDescent="0.2">
      <c r="A23" s="1" t="s">
        <v>7</v>
      </c>
      <c r="B23" s="1">
        <v>1.3622253163000001E-2</v>
      </c>
      <c r="C23" s="1">
        <v>6.7908572010000005E-3</v>
      </c>
      <c r="D23" s="1">
        <f t="shared" si="3"/>
        <v>2.0059696088137491</v>
      </c>
      <c r="E23" s="1"/>
      <c r="G23" s="3"/>
      <c r="J23" s="1"/>
      <c r="K23" s="1"/>
      <c r="L23" s="3"/>
      <c r="M23" s="3"/>
      <c r="N23" s="1"/>
    </row>
    <row r="24" spans="1:25" x14ac:dyDescent="0.2">
      <c r="A24" s="1" t="s">
        <v>7</v>
      </c>
      <c r="B24" s="1">
        <v>1.3859039087000001E-2</v>
      </c>
      <c r="C24" s="1">
        <v>3.7797702190000004E-3</v>
      </c>
      <c r="D24" s="1">
        <f t="shared" si="3"/>
        <v>3.6666353465969777</v>
      </c>
      <c r="E24" s="1"/>
      <c r="G24" s="3"/>
      <c r="J24" s="1"/>
      <c r="K24" s="1"/>
      <c r="L24" s="3"/>
      <c r="M24" s="3"/>
      <c r="N24" s="1"/>
    </row>
    <row r="25" spans="1:25" x14ac:dyDescent="0.2">
      <c r="A25" s="1" t="s">
        <v>7</v>
      </c>
      <c r="B25" s="1">
        <v>1.6615642228000001E-2</v>
      </c>
      <c r="C25" s="1">
        <v>8.3574279920000001E-3</v>
      </c>
      <c r="D25" s="1">
        <f t="shared" si="3"/>
        <v>1.9881286735470565</v>
      </c>
      <c r="E25" s="1"/>
      <c r="G25" s="3"/>
    </row>
    <row r="26" spans="1:25" x14ac:dyDescent="0.2">
      <c r="A26" s="1" t="s">
        <v>7</v>
      </c>
      <c r="B26" s="1">
        <v>1.3240832538000001E-2</v>
      </c>
      <c r="C26" s="1">
        <v>4.60180795E-3</v>
      </c>
      <c r="D26" s="1">
        <f t="shared" si="3"/>
        <v>2.8773109790468334</v>
      </c>
      <c r="E26" s="1"/>
      <c r="G26" s="1"/>
    </row>
    <row r="27" spans="1:25" x14ac:dyDescent="0.2">
      <c r="A27" s="1" t="s">
        <v>7</v>
      </c>
      <c r="B27" s="1">
        <v>1.2495078932000001E-2</v>
      </c>
      <c r="C27" s="1">
        <v>5.3432896450000007E-3</v>
      </c>
      <c r="D27" s="1">
        <f t="shared" si="3"/>
        <v>2.3384618394573291</v>
      </c>
      <c r="E27" s="1"/>
      <c r="G27" s="3"/>
    </row>
    <row r="28" spans="1:25" x14ac:dyDescent="0.2">
      <c r="A28" s="1" t="s">
        <v>7</v>
      </c>
      <c r="B28" s="1">
        <v>1.3180415511E-2</v>
      </c>
      <c r="C28" s="1">
        <v>7.0038424780000004E-3</v>
      </c>
      <c r="D28" s="1">
        <f t="shared" si="3"/>
        <v>1.8818834878713273</v>
      </c>
      <c r="E28" s="1"/>
      <c r="G28" s="3"/>
    </row>
    <row r="29" spans="1:25" x14ac:dyDescent="0.2">
      <c r="A29" s="1" t="s">
        <v>2</v>
      </c>
      <c r="B29" s="1"/>
      <c r="C29" s="1"/>
      <c r="D29" s="1"/>
      <c r="E29" s="1"/>
      <c r="G29" s="3"/>
    </row>
    <row r="30" spans="1:25" x14ac:dyDescent="0.2">
      <c r="A30" s="1" t="s">
        <v>9</v>
      </c>
      <c r="B30" s="1">
        <v>1.2164310966E-2</v>
      </c>
      <c r="C30" s="1">
        <v>4.7726843900000003E-3</v>
      </c>
      <c r="D30" s="1">
        <f t="shared" si="3"/>
        <v>2.5487356740972347</v>
      </c>
      <c r="E30" s="1">
        <f>AVERAGE(D30:D36)</f>
        <v>2.3094126654132445</v>
      </c>
      <c r="F30" s="2">
        <f>_xlfn.STDEV.S(D30:D36)</f>
        <v>0.16080658691588567</v>
      </c>
      <c r="G30" s="3">
        <v>0.15978994748687164</v>
      </c>
      <c r="H30" s="4">
        <v>0.83610261337825054</v>
      </c>
    </row>
    <row r="31" spans="1:25" x14ac:dyDescent="0.2">
      <c r="A31" s="1" t="s">
        <v>9</v>
      </c>
      <c r="B31" s="1">
        <v>1.3956072494000001E-2</v>
      </c>
      <c r="C31" s="1">
        <v>5.7893992079999998E-3</v>
      </c>
      <c r="D31" s="1">
        <f t="shared" si="3"/>
        <v>2.4106253503325523</v>
      </c>
      <c r="E31" s="1"/>
      <c r="G31" s="3"/>
    </row>
    <row r="32" spans="1:25" x14ac:dyDescent="0.2">
      <c r="A32" s="1" t="s">
        <v>9</v>
      </c>
      <c r="B32" s="1">
        <v>1.2917387848000001E-2</v>
      </c>
      <c r="C32" s="1">
        <v>5.5977734860000001E-3</v>
      </c>
      <c r="D32" s="1">
        <f t="shared" si="3"/>
        <v>2.3075938818007402</v>
      </c>
      <c r="E32" s="1"/>
      <c r="G32" s="3"/>
    </row>
    <row r="33" spans="1:8" x14ac:dyDescent="0.2">
      <c r="A33" s="1" t="s">
        <v>9</v>
      </c>
      <c r="B33" s="1">
        <v>1.2202758165000001E-2</v>
      </c>
      <c r="C33" s="1">
        <v>5.5581057409999999E-3</v>
      </c>
      <c r="D33" s="1">
        <f t="shared" si="3"/>
        <v>2.1954886671163822</v>
      </c>
      <c r="E33" s="1"/>
      <c r="G33" s="1"/>
    </row>
    <row r="34" spans="1:8" x14ac:dyDescent="0.2">
      <c r="A34" s="1" t="s">
        <v>9</v>
      </c>
      <c r="B34" s="1">
        <v>1.4441239529E-2</v>
      </c>
      <c r="C34" s="1">
        <v>6.1293212690000003E-3</v>
      </c>
      <c r="D34" s="1">
        <f t="shared" si="3"/>
        <v>2.3560911388409065</v>
      </c>
      <c r="E34" s="1"/>
      <c r="G34" s="3"/>
    </row>
    <row r="35" spans="1:8" x14ac:dyDescent="0.2">
      <c r="A35" s="1" t="s">
        <v>9</v>
      </c>
      <c r="B35" s="1">
        <v>1.2654360185000001E-2</v>
      </c>
      <c r="C35" s="1">
        <v>5.484872981E-3</v>
      </c>
      <c r="D35" s="1">
        <f t="shared" si="3"/>
        <v>2.3071382379930454</v>
      </c>
      <c r="E35" s="1"/>
      <c r="G35" s="3"/>
    </row>
    <row r="36" spans="1:8" x14ac:dyDescent="0.2">
      <c r="A36" s="1" t="s">
        <v>9</v>
      </c>
      <c r="B36" s="1">
        <v>1.2954614501E-2</v>
      </c>
      <c r="C36" s="1">
        <v>6.349629822E-3</v>
      </c>
      <c r="D36" s="1">
        <f t="shared" si="3"/>
        <v>2.0402157077118503</v>
      </c>
      <c r="E36" s="1"/>
      <c r="G36" s="3"/>
    </row>
    <row r="37" spans="1:8" x14ac:dyDescent="0.2">
      <c r="A37" s="1" t="s">
        <v>2</v>
      </c>
      <c r="B37" s="1"/>
      <c r="C37" s="1"/>
      <c r="D37" s="1"/>
      <c r="E37" s="1"/>
      <c r="G37" s="3"/>
    </row>
    <row r="38" spans="1:8" x14ac:dyDescent="0.2">
      <c r="A38" s="1" t="s">
        <v>11</v>
      </c>
      <c r="B38" s="1">
        <v>1.6177466214E-2</v>
      </c>
      <c r="C38" s="1">
        <v>5.1882803030000001E-3</v>
      </c>
      <c r="D38" s="1">
        <f t="shared" si="3"/>
        <v>3.1180786829589304</v>
      </c>
      <c r="E38" s="1">
        <f>AVERAGE(D38:D44)</f>
        <v>2.0687647764526438</v>
      </c>
      <c r="F38" s="2">
        <f>_xlfn.STDEV.S(D38:D44)</f>
        <v>0.49262241392665956</v>
      </c>
      <c r="G38" s="3">
        <v>0.19204244031830223</v>
      </c>
      <c r="H38" s="4">
        <v>0.68051559881047952</v>
      </c>
    </row>
    <row r="39" spans="1:8" x14ac:dyDescent="0.2">
      <c r="A39" s="1" t="s">
        <v>11</v>
      </c>
      <c r="B39" s="1">
        <v>1.6186620309000001E-2</v>
      </c>
      <c r="C39" s="1">
        <v>8.4099114699999998E-3</v>
      </c>
      <c r="D39" s="1">
        <f t="shared" si="3"/>
        <v>1.9247075747160038</v>
      </c>
      <c r="E39" s="1"/>
      <c r="G39" s="3"/>
    </row>
    <row r="40" spans="1:8" x14ac:dyDescent="0.2">
      <c r="A40" s="1" t="s">
        <v>11</v>
      </c>
      <c r="B40" s="1">
        <v>1.8190146567999999E-2</v>
      </c>
      <c r="C40" s="1">
        <v>9.9801438989999998E-3</v>
      </c>
      <c r="D40" s="1">
        <f t="shared" si="3"/>
        <v>1.8226336966767216</v>
      </c>
      <c r="E40" s="1"/>
      <c r="G40" s="1"/>
    </row>
    <row r="41" spans="1:8" x14ac:dyDescent="0.2">
      <c r="A41" s="1" t="s">
        <v>11</v>
      </c>
      <c r="B41" s="1">
        <v>2.2900938260000002E-3</v>
      </c>
      <c r="C41" s="1">
        <v>1.0176746210000002E-3</v>
      </c>
      <c r="D41" s="1">
        <f t="shared" si="3"/>
        <v>2.2503202681321457</v>
      </c>
      <c r="E41" s="1"/>
      <c r="G41" s="3"/>
    </row>
    <row r="42" spans="1:8" x14ac:dyDescent="0.2">
      <c r="A42" s="1" t="s">
        <v>11</v>
      </c>
      <c r="B42" s="1">
        <v>1.7216761133E-2</v>
      </c>
      <c r="C42" s="1">
        <v>9.7665483490000007E-3</v>
      </c>
      <c r="D42" s="1">
        <f t="shared" si="3"/>
        <v>1.762829662821751</v>
      </c>
      <c r="E42" s="1"/>
      <c r="G42" s="3"/>
    </row>
    <row r="43" spans="1:8" x14ac:dyDescent="0.2">
      <c r="A43" s="1" t="s">
        <v>11</v>
      </c>
      <c r="B43" s="1">
        <v>1.7997910573000001E-2</v>
      </c>
      <c r="C43" s="1">
        <v>9.7451887939999995E-3</v>
      </c>
      <c r="D43" s="1">
        <f t="shared" si="3"/>
        <v>1.8468508874944636</v>
      </c>
      <c r="E43" s="1"/>
      <c r="G43" s="3"/>
    </row>
    <row r="44" spans="1:8" x14ac:dyDescent="0.2">
      <c r="A44" s="1" t="s">
        <v>11</v>
      </c>
      <c r="B44" s="1">
        <v>1.8030255041999999E-2</v>
      </c>
      <c r="C44" s="1">
        <v>1.0268192755000001E-2</v>
      </c>
      <c r="D44" s="1">
        <f>B44/C44</f>
        <v>1.7559326623684908</v>
      </c>
      <c r="E44" s="1"/>
      <c r="G44" s="3"/>
    </row>
    <row r="45" spans="1:8" x14ac:dyDescent="0.2">
      <c r="A45" s="1" t="s">
        <v>2</v>
      </c>
      <c r="B45" s="1"/>
      <c r="C45" s="1"/>
      <c r="D45" s="1"/>
      <c r="E45" s="1"/>
      <c r="G45" s="3"/>
    </row>
    <row r="46" spans="1:8" x14ac:dyDescent="0.2">
      <c r="A46" s="1" t="s">
        <v>13</v>
      </c>
      <c r="B46" s="1">
        <v>1.0295044767E-2</v>
      </c>
      <c r="C46" s="1">
        <v>3.0212008800000003E-3</v>
      </c>
      <c r="D46" s="1">
        <f>B46/C46</f>
        <v>3.4076002145875179</v>
      </c>
      <c r="E46" s="1">
        <f>AVERAGE(D46:D54)</f>
        <v>2.3873716925750474</v>
      </c>
      <c r="F46" s="2">
        <f>_xlfn.STDEV.S(D46:D54)</f>
        <v>0.55676152772517817</v>
      </c>
      <c r="G46" s="3">
        <v>0.18811394891944982</v>
      </c>
      <c r="H46" s="4">
        <v>0.90551362714545369</v>
      </c>
    </row>
    <row r="47" spans="1:8" x14ac:dyDescent="0.2">
      <c r="A47" s="1" t="s">
        <v>13</v>
      </c>
      <c r="B47" s="1">
        <v>1.0110132048000001E-2</v>
      </c>
      <c r="C47" s="1">
        <v>3.9268460120000003E-3</v>
      </c>
      <c r="D47" s="1">
        <f t="shared" ref="D47:D54" si="4">B47/C47</f>
        <v>2.5746189224391722</v>
      </c>
      <c r="E47" s="1"/>
      <c r="G47" s="1"/>
    </row>
    <row r="48" spans="1:8" x14ac:dyDescent="0.2">
      <c r="A48" s="1" t="s">
        <v>13</v>
      </c>
      <c r="B48" s="1">
        <v>1.2765429871000001E-2</v>
      </c>
      <c r="C48" s="1">
        <v>5.2786007069999998E-3</v>
      </c>
      <c r="D48" s="1">
        <f t="shared" si="4"/>
        <v>2.4183359529489796</v>
      </c>
      <c r="E48" s="1"/>
      <c r="G48" s="3"/>
    </row>
    <row r="49" spans="1:8" x14ac:dyDescent="0.2">
      <c r="A49" s="1" t="s">
        <v>13</v>
      </c>
      <c r="B49" s="1">
        <v>1.4173939955000001E-2</v>
      </c>
      <c r="C49" s="1">
        <v>5.9267106329999996E-3</v>
      </c>
      <c r="D49" s="1">
        <f t="shared" si="4"/>
        <v>2.3915356818804896</v>
      </c>
      <c r="E49" s="1"/>
      <c r="G49" s="3"/>
    </row>
    <row r="50" spans="1:8" x14ac:dyDescent="0.2">
      <c r="A50" s="1" t="s">
        <v>13</v>
      </c>
      <c r="B50" s="1">
        <v>1.4692672005000001E-2</v>
      </c>
      <c r="C50" s="1">
        <v>5.6258460440000001E-3</v>
      </c>
      <c r="D50" s="1">
        <f t="shared" si="4"/>
        <v>2.6116377679175611</v>
      </c>
      <c r="E50" s="1"/>
      <c r="G50" s="3"/>
    </row>
    <row r="51" spans="1:8" x14ac:dyDescent="0.2">
      <c r="A51" s="1" t="s">
        <v>13</v>
      </c>
      <c r="B51" s="1">
        <v>1.0201062725E-2</v>
      </c>
      <c r="C51" s="1">
        <v>4.5456628339999999E-3</v>
      </c>
      <c r="D51" s="1">
        <f t="shared" si="4"/>
        <v>2.24413096560958</v>
      </c>
      <c r="E51" s="1"/>
      <c r="G51" s="3"/>
    </row>
    <row r="52" spans="1:8" x14ac:dyDescent="0.2">
      <c r="A52" s="1" t="s">
        <v>13</v>
      </c>
      <c r="B52" s="1">
        <v>1.0815607636000001E-2</v>
      </c>
      <c r="C52" s="1">
        <v>4.844086331E-3</v>
      </c>
      <c r="D52" s="1">
        <f t="shared" si="4"/>
        <v>2.2327446079531899</v>
      </c>
      <c r="E52" s="1"/>
      <c r="G52" s="3"/>
    </row>
    <row r="53" spans="1:8" x14ac:dyDescent="0.2">
      <c r="A53" s="1" t="s">
        <v>13</v>
      </c>
      <c r="B53" s="1">
        <v>4.5134127700000026E-4</v>
      </c>
      <c r="C53" s="1">
        <v>3.6285169200000024E-4</v>
      </c>
      <c r="D53" s="1">
        <f t="shared" si="4"/>
        <v>1.2438725985050663</v>
      </c>
      <c r="E53" s="1"/>
      <c r="G53" s="3"/>
    </row>
    <row r="54" spans="1:8" x14ac:dyDescent="0.2">
      <c r="A54" s="1" t="s">
        <v>13</v>
      </c>
      <c r="B54" s="1">
        <v>1.0569057344E-2</v>
      </c>
      <c r="C54" s="1">
        <v>4.4748711660000003E-3</v>
      </c>
      <c r="D54" s="1">
        <f t="shared" si="4"/>
        <v>2.3618685213338719</v>
      </c>
      <c r="E54" s="1"/>
      <c r="G54" s="1"/>
    </row>
    <row r="55" spans="1:8" x14ac:dyDescent="0.2">
      <c r="A55" s="1" t="s">
        <v>2</v>
      </c>
      <c r="B55" s="1"/>
      <c r="C55" s="1"/>
      <c r="D55" s="1"/>
      <c r="E55" s="1"/>
      <c r="G55" s="3"/>
    </row>
    <row r="56" spans="1:8" x14ac:dyDescent="0.2">
      <c r="A56" s="1" t="s">
        <v>15</v>
      </c>
      <c r="B56" s="1">
        <v>1.7309522628999999E-2</v>
      </c>
      <c r="C56" s="1">
        <v>6.1274904500000001E-3</v>
      </c>
      <c r="D56" s="1">
        <f>B56/C56</f>
        <v>2.824895896655375</v>
      </c>
      <c r="E56" s="1">
        <f>AVERAGE(D56:D61)</f>
        <v>2.4976795945113945</v>
      </c>
      <c r="F56" s="2">
        <f>_xlfn.STDEV.S(D56:D61)</f>
        <v>0.29737253329276131</v>
      </c>
      <c r="G56" s="3">
        <v>0.24606215410813118</v>
      </c>
      <c r="H56" s="4">
        <v>0.88588990763905762</v>
      </c>
    </row>
    <row r="57" spans="1:8" x14ac:dyDescent="0.2">
      <c r="A57" s="1" t="s">
        <v>15</v>
      </c>
      <c r="B57" s="1">
        <v>1.3309793387E-2</v>
      </c>
      <c r="C57" s="1">
        <v>6.5058597100000008E-3</v>
      </c>
      <c r="D57" s="1">
        <f t="shared" ref="D57:D61" si="5">B57/C57</f>
        <v>2.0458162303349141</v>
      </c>
      <c r="E57" s="1"/>
      <c r="G57" s="3"/>
    </row>
    <row r="58" spans="1:8" x14ac:dyDescent="0.2">
      <c r="A58" s="1" t="s">
        <v>15</v>
      </c>
      <c r="B58" s="1">
        <v>1.4636526889000001E-2</v>
      </c>
      <c r="C58" s="1">
        <v>5.7900094810000007E-3</v>
      </c>
      <c r="D58" s="1">
        <f t="shared" si="5"/>
        <v>2.5278934234961055</v>
      </c>
      <c r="E58" s="1"/>
      <c r="G58" s="3"/>
    </row>
    <row r="59" spans="1:8" x14ac:dyDescent="0.2">
      <c r="A59" s="1" t="s">
        <v>15</v>
      </c>
      <c r="B59" s="1">
        <v>1.4606013239000001E-2</v>
      </c>
      <c r="C59" s="1">
        <v>6.4735152410000003E-3</v>
      </c>
      <c r="D59" s="1">
        <f t="shared" si="5"/>
        <v>2.2562723180896889</v>
      </c>
      <c r="E59" s="1"/>
      <c r="G59" s="3"/>
    </row>
    <row r="60" spans="1:8" x14ac:dyDescent="0.2">
      <c r="A60" s="1" t="s">
        <v>15</v>
      </c>
      <c r="B60" s="1">
        <v>1.4872092267E-2</v>
      </c>
      <c r="C60" s="1">
        <v>5.7686499259999996E-3</v>
      </c>
      <c r="D60" s="1">
        <f t="shared" si="5"/>
        <v>2.5780888869629077</v>
      </c>
      <c r="E60" s="1"/>
      <c r="G60" s="3"/>
    </row>
    <row r="61" spans="1:8" x14ac:dyDescent="0.2">
      <c r="A61" s="1" t="s">
        <v>15</v>
      </c>
      <c r="B61" s="1">
        <v>1.4176381047000001E-2</v>
      </c>
      <c r="C61" s="1">
        <v>5.1492228309999999E-3</v>
      </c>
      <c r="D61" s="1">
        <f t="shared" si="5"/>
        <v>2.7531108115293761</v>
      </c>
      <c r="E61" s="1"/>
      <c r="G61" s="1"/>
    </row>
    <row r="62" spans="1:8" x14ac:dyDescent="0.2">
      <c r="A62" s="1" t="s">
        <v>2</v>
      </c>
      <c r="B62" s="1"/>
      <c r="C62" s="1"/>
      <c r="D62" s="1"/>
      <c r="E62" s="1"/>
      <c r="G62" s="3"/>
    </row>
    <row r="63" spans="1:8" x14ac:dyDescent="0.2">
      <c r="A63" s="1" t="s">
        <v>17</v>
      </c>
      <c r="B63" s="1">
        <v>1.4121456477000001E-2</v>
      </c>
      <c r="C63" s="1">
        <v>4.5755662110000001E-3</v>
      </c>
      <c r="D63" s="1">
        <f>B63/C63</f>
        <v>3.0862751899537533</v>
      </c>
      <c r="E63" s="1">
        <f>AVERAGE(D63:D70)</f>
        <v>2.7700167143548673</v>
      </c>
      <c r="F63" s="2">
        <f>_xlfn.STDEV.S(D63:D70)</f>
        <v>0.27142160446394126</v>
      </c>
      <c r="G63" s="3">
        <v>0.22389937106918242</v>
      </c>
      <c r="H63" s="4">
        <v>0.84367532187400063</v>
      </c>
    </row>
    <row r="64" spans="1:8" x14ac:dyDescent="0.2">
      <c r="A64" s="1" t="s">
        <v>17</v>
      </c>
      <c r="B64" s="1">
        <v>1.6368481662999999E-2</v>
      </c>
      <c r="C64" s="1">
        <v>6.2532066879999997E-3</v>
      </c>
      <c r="D64" s="1">
        <f t="shared" ref="D64:D70" si="6">B64/C64</f>
        <v>2.6176140466316857</v>
      </c>
      <c r="E64" s="1"/>
      <c r="G64" s="3"/>
    </row>
    <row r="65" spans="1:8" x14ac:dyDescent="0.2">
      <c r="A65" s="1" t="s">
        <v>17</v>
      </c>
      <c r="B65" s="1">
        <v>1.4957530487000001E-2</v>
      </c>
      <c r="C65" s="1">
        <v>4.8605637019999998E-3</v>
      </c>
      <c r="D65" s="1">
        <f t="shared" si="6"/>
        <v>3.0773242372783538</v>
      </c>
      <c r="E65" s="1"/>
      <c r="G65" s="3"/>
    </row>
    <row r="66" spans="1:8" x14ac:dyDescent="0.2">
      <c r="A66" s="1" t="s">
        <v>17</v>
      </c>
      <c r="B66" s="1">
        <v>1.5724033374999998E-2</v>
      </c>
      <c r="C66" s="1">
        <v>5.3719724760000007E-3</v>
      </c>
      <c r="D66" s="1">
        <f t="shared" si="6"/>
        <v>2.9270502492797945</v>
      </c>
      <c r="E66" s="1"/>
      <c r="G66" s="3"/>
    </row>
    <row r="67" spans="1:8" x14ac:dyDescent="0.2">
      <c r="A67" s="1" t="s">
        <v>17</v>
      </c>
      <c r="B67" s="1">
        <v>1.4313082199E-2</v>
      </c>
      <c r="C67" s="1">
        <v>6.1195569010000003E-3</v>
      </c>
      <c r="D67" s="1">
        <f t="shared" si="6"/>
        <v>2.3389082625673585</v>
      </c>
      <c r="E67" s="1"/>
      <c r="G67" s="3"/>
    </row>
    <row r="68" spans="1:8" x14ac:dyDescent="0.2">
      <c r="A68" s="1" t="s">
        <v>17</v>
      </c>
      <c r="B68" s="1">
        <v>1.5244358797E-2</v>
      </c>
      <c r="C68" s="1">
        <v>5.5532235570000003E-3</v>
      </c>
      <c r="D68" s="1">
        <f t="shared" si="6"/>
        <v>2.7451368814036021</v>
      </c>
      <c r="E68" s="1"/>
      <c r="G68" s="1"/>
    </row>
    <row r="69" spans="1:8" x14ac:dyDescent="0.2">
      <c r="A69" s="1" t="s">
        <v>17</v>
      </c>
      <c r="B69" s="1">
        <v>1.5512878917000001E-2</v>
      </c>
      <c r="C69" s="1">
        <v>5.3982142150000006E-3</v>
      </c>
      <c r="D69" s="1">
        <f t="shared" si="6"/>
        <v>2.8737056921332269</v>
      </c>
      <c r="E69" s="1"/>
      <c r="G69" s="3"/>
    </row>
    <row r="70" spans="1:8" x14ac:dyDescent="0.2">
      <c r="A70" s="1" t="s">
        <v>17</v>
      </c>
      <c r="B70" s="1">
        <v>1.4975228404E-2</v>
      </c>
      <c r="C70" s="1">
        <v>6.0042153040000008E-3</v>
      </c>
      <c r="D70" s="1">
        <f t="shared" si="6"/>
        <v>2.4941191555911599</v>
      </c>
      <c r="E70" s="1"/>
      <c r="G70" s="3"/>
    </row>
    <row r="71" spans="1:8" x14ac:dyDescent="0.2">
      <c r="A71" s="1" t="s">
        <v>2</v>
      </c>
      <c r="B71" s="1"/>
      <c r="C71" s="1"/>
      <c r="D71" s="1"/>
      <c r="E71" s="1"/>
      <c r="G71" s="3"/>
    </row>
    <row r="72" spans="1:8" x14ac:dyDescent="0.2">
      <c r="A72" s="1" t="s">
        <v>19</v>
      </c>
      <c r="B72" s="1">
        <v>2.1373940809E-2</v>
      </c>
      <c r="C72" s="1">
        <v>5.457410696E-3</v>
      </c>
      <c r="D72" s="1">
        <f t="shared" ref="D72:D125" si="7">B72/C72</f>
        <v>3.9164985007754671</v>
      </c>
      <c r="E72" s="1">
        <f>AVERAGE(D72:D77)</f>
        <v>3.3365380274156862</v>
      </c>
      <c r="F72" s="2">
        <f>_xlfn.STDEV.S(D72:D77)</f>
        <v>0.42460052080167432</v>
      </c>
      <c r="G72" s="3">
        <v>0.29512735326688799</v>
      </c>
      <c r="H72" s="4">
        <v>0.84000708917054345</v>
      </c>
    </row>
    <row r="73" spans="1:8" x14ac:dyDescent="0.2">
      <c r="A73" s="1" t="s">
        <v>19</v>
      </c>
      <c r="B73" s="1">
        <v>1.3918235568E-2</v>
      </c>
      <c r="C73" s="1">
        <v>4.0177766890000001E-3</v>
      </c>
      <c r="D73" s="1">
        <f t="shared" si="7"/>
        <v>3.4641635524706484</v>
      </c>
      <c r="E73" s="1"/>
      <c r="G73" s="3"/>
    </row>
    <row r="74" spans="1:8" x14ac:dyDescent="0.2">
      <c r="A74" s="1" t="s">
        <v>19</v>
      </c>
      <c r="B74" s="1">
        <v>1.8393977749999998E-2</v>
      </c>
      <c r="C74" s="1">
        <v>6.2355087710000007E-3</v>
      </c>
      <c r="D74" s="1">
        <f t="shared" si="7"/>
        <v>2.9498760126112566</v>
      </c>
      <c r="E74" s="1"/>
      <c r="G74" s="3"/>
    </row>
    <row r="75" spans="1:8" x14ac:dyDescent="0.2">
      <c r="A75" s="1" t="s">
        <v>19</v>
      </c>
      <c r="B75" s="1">
        <v>1.8343935363999999E-2</v>
      </c>
      <c r="C75" s="1">
        <v>6.1323726340000006E-3</v>
      </c>
      <c r="D75" s="1">
        <f t="shared" si="7"/>
        <v>2.9913275756099456</v>
      </c>
      <c r="E75" s="1"/>
      <c r="G75" s="1"/>
    </row>
    <row r="76" spans="1:8" x14ac:dyDescent="0.2">
      <c r="A76" s="1" t="s">
        <v>19</v>
      </c>
      <c r="B76" s="1">
        <v>1.7662870696000001E-2</v>
      </c>
      <c r="C76" s="1">
        <v>4.7446118320000003E-3</v>
      </c>
      <c r="D76" s="1">
        <f t="shared" si="7"/>
        <v>3.7227219678695098</v>
      </c>
      <c r="E76" s="1"/>
      <c r="G76" s="3"/>
    </row>
    <row r="77" spans="1:8" x14ac:dyDescent="0.2">
      <c r="A77" s="1" t="s">
        <v>19</v>
      </c>
      <c r="B77" s="1">
        <v>1.5687416994999998E-2</v>
      </c>
      <c r="C77" s="1">
        <v>5.2737185230000002E-3</v>
      </c>
      <c r="D77" s="1">
        <f t="shared" si="7"/>
        <v>2.974640555157289</v>
      </c>
      <c r="E77" s="1"/>
      <c r="G77" s="3"/>
    </row>
    <row r="78" spans="1:8" x14ac:dyDescent="0.2">
      <c r="A78" s="1" t="s">
        <v>2</v>
      </c>
      <c r="B78" s="1"/>
      <c r="C78" s="1"/>
      <c r="D78" s="1"/>
      <c r="E78" s="1"/>
      <c r="G78" s="3"/>
    </row>
    <row r="79" spans="1:8" x14ac:dyDescent="0.2">
      <c r="A79" s="1" t="s">
        <v>21</v>
      </c>
      <c r="B79" s="1">
        <v>9.2984689579999995E-3</v>
      </c>
      <c r="C79" s="1">
        <v>3.273853902E-3</v>
      </c>
      <c r="D79" s="1">
        <f t="shared" si="7"/>
        <v>2.8402211083150526</v>
      </c>
      <c r="E79" s="1">
        <f>AVERAGE(D79:D81)</f>
        <v>2.1932166291917548</v>
      </c>
      <c r="F79" s="2">
        <f>_xlfn.STDEV.S(D79:D81)</f>
        <v>0.5616009289898567</v>
      </c>
      <c r="G79" s="3">
        <v>0.11079723791588189</v>
      </c>
      <c r="H79" s="4">
        <v>0.42159234574390719</v>
      </c>
    </row>
    <row r="80" spans="1:8" x14ac:dyDescent="0.2">
      <c r="A80" s="1" t="s">
        <v>21</v>
      </c>
      <c r="B80" s="1">
        <v>1.1609572809000001E-2</v>
      </c>
      <c r="C80" s="1">
        <v>6.0859918859999997E-3</v>
      </c>
      <c r="D80" s="1">
        <f t="shared" si="7"/>
        <v>1.9075892683502014</v>
      </c>
      <c r="E80" s="1"/>
      <c r="G80" s="3"/>
    </row>
    <row r="81" spans="1:8" x14ac:dyDescent="0.2">
      <c r="A81" s="1" t="s">
        <v>21</v>
      </c>
      <c r="B81" s="1">
        <v>1.1956818146000001E-2</v>
      </c>
      <c r="C81" s="1">
        <v>6.5272192650000001E-3</v>
      </c>
      <c r="D81" s="1">
        <f t="shared" si="7"/>
        <v>1.831839510910011</v>
      </c>
      <c r="E81" s="1"/>
      <c r="G81" s="3"/>
    </row>
    <row r="82" spans="1:8" x14ac:dyDescent="0.2">
      <c r="A82" s="1" t="s">
        <v>2</v>
      </c>
      <c r="B82" s="1"/>
      <c r="C82" s="1"/>
      <c r="D82" s="1"/>
      <c r="E82" s="1"/>
      <c r="G82" s="1"/>
    </row>
    <row r="83" spans="1:8" x14ac:dyDescent="0.2">
      <c r="A83" s="1" t="s">
        <v>23</v>
      </c>
      <c r="B83" s="1">
        <v>1.2101452847E-2</v>
      </c>
      <c r="C83" s="1">
        <v>5.8778887930000003E-3</v>
      </c>
      <c r="D83" s="1">
        <f t="shared" si="7"/>
        <v>2.0588094251479658</v>
      </c>
      <c r="E83" s="1">
        <f>AVERAGE(D83:D86)</f>
        <v>1.930558504148908</v>
      </c>
      <c r="F83" s="2">
        <f>_xlfn.STDEV.S(D83:D86)</f>
        <v>9.9462159270935019E-2</v>
      </c>
      <c r="G83" s="3">
        <v>0.11079723791588189</v>
      </c>
      <c r="H83" s="4">
        <v>0.42159234574390719</v>
      </c>
    </row>
    <row r="84" spans="1:8" x14ac:dyDescent="0.2">
      <c r="A84" s="1" t="s">
        <v>23</v>
      </c>
      <c r="B84" s="1">
        <v>1.2184449975000001E-2</v>
      </c>
      <c r="C84" s="1">
        <v>6.7017573430000008E-3</v>
      </c>
      <c r="D84" s="1">
        <f t="shared" si="7"/>
        <v>1.8180977542743597</v>
      </c>
      <c r="E84" s="1"/>
      <c r="G84" s="3"/>
    </row>
    <row r="85" spans="1:8" x14ac:dyDescent="0.2">
      <c r="A85" s="1" t="s">
        <v>23</v>
      </c>
      <c r="B85" s="1">
        <v>1.3242053084E-2</v>
      </c>
      <c r="C85" s="1">
        <v>6.8335763110000001E-3</v>
      </c>
      <c r="D85" s="1">
        <f t="shared" si="7"/>
        <v>1.9377925234674385</v>
      </c>
      <c r="E85" s="1"/>
      <c r="G85" s="3"/>
    </row>
    <row r="86" spans="1:8" x14ac:dyDescent="0.2">
      <c r="A86" s="1" t="s">
        <v>23</v>
      </c>
      <c r="B86" s="1">
        <v>1.3239001719E-2</v>
      </c>
      <c r="C86" s="1">
        <v>6.9403740859999997E-3</v>
      </c>
      <c r="D86" s="1">
        <f t="shared" si="7"/>
        <v>1.907534313705868</v>
      </c>
      <c r="E86" s="1"/>
      <c r="G86" s="3"/>
    </row>
    <row r="87" spans="1:8" x14ac:dyDescent="0.2">
      <c r="A87" s="1" t="s">
        <v>2</v>
      </c>
      <c r="B87" s="1"/>
      <c r="C87" s="1"/>
      <c r="D87" s="1"/>
      <c r="E87" s="1"/>
      <c r="G87" s="3"/>
    </row>
    <row r="88" spans="1:8" x14ac:dyDescent="0.2">
      <c r="A88" s="1" t="s">
        <v>25</v>
      </c>
      <c r="B88" s="1">
        <v>1.1867108015000001E-2</v>
      </c>
      <c r="C88" s="1">
        <v>5.1260324570000003E-3</v>
      </c>
      <c r="D88" s="1">
        <f>B88/C88</f>
        <v>2.3150668893628508</v>
      </c>
      <c r="E88" s="1">
        <f>AVERAGE(D88:D92)</f>
        <v>2.2330826000547201</v>
      </c>
      <c r="F88" s="2">
        <f>_xlfn.STDEV.S(D88:D92)</f>
        <v>6.0371860527192844E-2</v>
      </c>
      <c r="G88" s="3">
        <v>0.11079723791588189</v>
      </c>
      <c r="H88" s="4">
        <v>0.42159234574390719</v>
      </c>
    </row>
    <row r="89" spans="1:8" x14ac:dyDescent="0.2">
      <c r="A89" s="1" t="s">
        <v>25</v>
      </c>
      <c r="B89" s="1">
        <v>1.0151630612000001E-2</v>
      </c>
      <c r="C89" s="1">
        <v>4.6475784249999999E-3</v>
      </c>
      <c r="D89" s="1">
        <f t="shared" si="7"/>
        <v>2.1842838751021185</v>
      </c>
      <c r="E89" s="1"/>
      <c r="G89" s="3"/>
    </row>
    <row r="90" spans="1:8" x14ac:dyDescent="0.2">
      <c r="A90" s="1" t="s">
        <v>25</v>
      </c>
      <c r="B90" s="1">
        <v>1.3306131749000001E-2</v>
      </c>
      <c r="C90" s="1">
        <v>6.145188367E-3</v>
      </c>
      <c r="D90" s="1">
        <f t="shared" si="7"/>
        <v>2.1652927386985663</v>
      </c>
      <c r="E90" s="1"/>
      <c r="G90" s="3"/>
    </row>
    <row r="91" spans="1:8" x14ac:dyDescent="0.2">
      <c r="A91" s="1" t="s">
        <v>25</v>
      </c>
      <c r="B91" s="1">
        <v>1.0841239102E-2</v>
      </c>
      <c r="C91" s="1">
        <v>4.7922131260000004E-3</v>
      </c>
      <c r="D91" s="1">
        <f t="shared" si="7"/>
        <v>2.2622614681265323</v>
      </c>
      <c r="E91" s="1"/>
      <c r="G91" s="3"/>
    </row>
    <row r="92" spans="1:8" x14ac:dyDescent="0.2">
      <c r="A92" s="1" t="s">
        <v>25</v>
      </c>
      <c r="B92" s="1">
        <v>1.0575770347E-2</v>
      </c>
      <c r="C92" s="1">
        <v>4.7244728230000001E-3</v>
      </c>
      <c r="D92" s="1">
        <f t="shared" si="7"/>
        <v>2.2385080289835333</v>
      </c>
      <c r="E92" s="1"/>
      <c r="G92" s="3"/>
    </row>
    <row r="93" spans="1:8" x14ac:dyDescent="0.2">
      <c r="A93" s="1" t="s">
        <v>2</v>
      </c>
      <c r="B93" s="1"/>
      <c r="C93" s="1"/>
      <c r="D93" s="1"/>
      <c r="E93" s="1"/>
      <c r="G93" s="3"/>
    </row>
    <row r="94" spans="1:8" x14ac:dyDescent="0.2">
      <c r="A94" s="1" t="s">
        <v>27</v>
      </c>
      <c r="B94" s="1">
        <v>1.2954614501E-2</v>
      </c>
      <c r="C94" s="1">
        <v>4.3125385480000007E-3</v>
      </c>
      <c r="D94" s="1">
        <f>B94/C94</f>
        <v>3.0039417287082295</v>
      </c>
      <c r="E94" s="1">
        <f>AVERAGE(D94:D97)</f>
        <v>2.6383661735353172</v>
      </c>
      <c r="F94" s="2">
        <f>_xlfn.STDEV.S(D94:D97)</f>
        <v>0.35214262704286975</v>
      </c>
      <c r="G94" s="3">
        <v>0.16014588859416429</v>
      </c>
      <c r="H94" s="4">
        <v>0.70349181350424639</v>
      </c>
    </row>
    <row r="95" spans="1:8" x14ac:dyDescent="0.2">
      <c r="A95" s="1" t="s">
        <v>27</v>
      </c>
      <c r="B95" s="1">
        <v>1.3190790152E-2</v>
      </c>
      <c r="C95" s="1">
        <v>4.5908230360000007E-3</v>
      </c>
      <c r="D95" s="1">
        <f t="shared" si="7"/>
        <v>2.8732952781149192</v>
      </c>
      <c r="E95" s="1"/>
      <c r="G95" s="3"/>
    </row>
    <row r="96" spans="1:8" x14ac:dyDescent="0.2">
      <c r="A96" s="1" t="s">
        <v>27</v>
      </c>
      <c r="B96" s="1">
        <v>1.4314913018000001E-2</v>
      </c>
      <c r="C96" s="1">
        <v>6.2233033110000004E-3</v>
      </c>
      <c r="D96" s="1">
        <f t="shared" si="7"/>
        <v>2.3002113672810509</v>
      </c>
      <c r="E96" s="1"/>
      <c r="G96" s="3"/>
    </row>
    <row r="97" spans="1:8" x14ac:dyDescent="0.2">
      <c r="A97" s="1" t="s">
        <v>27</v>
      </c>
      <c r="B97" s="1">
        <v>1.2430389994E-2</v>
      </c>
      <c r="C97" s="1">
        <v>5.2316096859999998E-3</v>
      </c>
      <c r="D97" s="1">
        <f t="shared" si="7"/>
        <v>2.3760163200370679</v>
      </c>
      <c r="E97" s="1"/>
      <c r="G97" s="3"/>
    </row>
    <row r="98" spans="1:8" x14ac:dyDescent="0.2">
      <c r="A98" s="1" t="s">
        <v>2</v>
      </c>
      <c r="B98" s="1"/>
      <c r="C98" s="1"/>
      <c r="D98" s="1"/>
      <c r="E98" s="1"/>
      <c r="G98" s="3"/>
    </row>
    <row r="99" spans="1:8" x14ac:dyDescent="0.2">
      <c r="A99" s="1" t="s">
        <v>29</v>
      </c>
      <c r="B99" s="1">
        <v>1.3624083982000001E-2</v>
      </c>
      <c r="C99" s="1">
        <v>5.8656833330000008E-3</v>
      </c>
      <c r="D99" s="1">
        <f t="shared" si="7"/>
        <v>2.322676354748249</v>
      </c>
      <c r="E99" s="1">
        <f>AVERAGE(D99:D104)</f>
        <v>2.2073593865390193</v>
      </c>
      <c r="F99" s="2">
        <f>_xlfn.STDEV.S(D99:D104)</f>
        <v>0.21893262956350473</v>
      </c>
      <c r="G99" s="3">
        <v>0.16014588859416429</v>
      </c>
      <c r="H99" s="4">
        <v>0.70349181350424639</v>
      </c>
    </row>
    <row r="100" spans="1:8" x14ac:dyDescent="0.2">
      <c r="A100" s="1" t="s">
        <v>29</v>
      </c>
      <c r="B100" s="1">
        <v>1.5189434227E-2</v>
      </c>
      <c r="C100" s="1">
        <v>6.451545413E-3</v>
      </c>
      <c r="D100" s="1">
        <f t="shared" si="7"/>
        <v>2.354386934391405</v>
      </c>
      <c r="E100" s="1"/>
      <c r="G100" s="3"/>
    </row>
    <row r="101" spans="1:8" x14ac:dyDescent="0.2">
      <c r="A101" s="1" t="s">
        <v>29</v>
      </c>
      <c r="B101" s="1">
        <v>1.2948511771000001E-2</v>
      </c>
      <c r="C101" s="1">
        <v>6.5162343510000009E-3</v>
      </c>
      <c r="D101" s="1">
        <f t="shared" si="7"/>
        <v>1.9871157287357051</v>
      </c>
      <c r="E101" s="1"/>
      <c r="G101" s="1"/>
    </row>
    <row r="102" spans="1:8" x14ac:dyDescent="0.2">
      <c r="A102" s="1" t="s">
        <v>29</v>
      </c>
      <c r="B102" s="1">
        <v>1.4494943553000001E-2</v>
      </c>
      <c r="C102" s="1">
        <v>5.9639372860000005E-3</v>
      </c>
      <c r="D102" s="1">
        <f t="shared" si="7"/>
        <v>2.4304319207088323</v>
      </c>
      <c r="E102" s="1"/>
      <c r="G102" s="3"/>
    </row>
    <row r="103" spans="1:8" x14ac:dyDescent="0.2">
      <c r="A103" s="1" t="s">
        <v>29</v>
      </c>
      <c r="B103" s="1">
        <v>1.3863310998000001E-2</v>
      </c>
      <c r="C103" s="1">
        <v>6.1244390850000007E-3</v>
      </c>
      <c r="D103" s="1">
        <f t="shared" si="7"/>
        <v>2.2636050102864234</v>
      </c>
      <c r="E103" s="1"/>
      <c r="G103" s="3"/>
    </row>
    <row r="104" spans="1:8" x14ac:dyDescent="0.2">
      <c r="A104" s="1" t="s">
        <v>29</v>
      </c>
      <c r="B104" s="1">
        <v>1.2689756019000001E-2</v>
      </c>
      <c r="C104" s="1">
        <v>6.7286093549999999E-3</v>
      </c>
      <c r="D104" s="1">
        <f t="shared" si="7"/>
        <v>1.8859403703634987</v>
      </c>
      <c r="E104" s="1"/>
      <c r="G104" s="3"/>
    </row>
    <row r="105" spans="1:8" x14ac:dyDescent="0.2">
      <c r="A105" s="1" t="s">
        <v>2</v>
      </c>
      <c r="B105" s="1"/>
      <c r="C105" s="1"/>
      <c r="D105" s="1"/>
      <c r="E105" s="1"/>
      <c r="G105" s="3"/>
    </row>
    <row r="106" spans="1:8" x14ac:dyDescent="0.2">
      <c r="A106" s="1" t="s">
        <v>31</v>
      </c>
      <c r="B106" s="1">
        <v>1.1873821018E-2</v>
      </c>
      <c r="C106" s="1">
        <v>4.4394753320000004E-3</v>
      </c>
      <c r="D106" s="1">
        <f t="shared" si="7"/>
        <v>2.6746000664566818</v>
      </c>
      <c r="E106" s="1">
        <f>AVERAGE(D106:D113)</f>
        <v>2.2364037902679628</v>
      </c>
      <c r="F106" s="2">
        <f>_xlfn.STDEV.S(D106:D113)</f>
        <v>0.256250852693095</v>
      </c>
      <c r="G106" s="3">
        <v>0.18882395909422914</v>
      </c>
      <c r="H106" s="4">
        <v>0.84475946587239459</v>
      </c>
    </row>
    <row r="107" spans="1:8" x14ac:dyDescent="0.2">
      <c r="A107" s="1" t="s">
        <v>31</v>
      </c>
      <c r="B107" s="1">
        <v>1.3027847261000002E-2</v>
      </c>
      <c r="C107" s="1">
        <v>5.0997907180000005E-3</v>
      </c>
      <c r="D107" s="1">
        <f t="shared" si="7"/>
        <v>2.5545846842337032</v>
      </c>
      <c r="E107" s="1"/>
      <c r="G107" s="3"/>
    </row>
    <row r="108" spans="1:8" x14ac:dyDescent="0.2">
      <c r="A108" s="1" t="s">
        <v>31</v>
      </c>
      <c r="B108" s="1">
        <v>1.2558547324E-2</v>
      </c>
      <c r="C108" s="1">
        <v>5.6545288750000002E-3</v>
      </c>
      <c r="D108" s="1">
        <f t="shared" si="7"/>
        <v>2.2209714728886234</v>
      </c>
      <c r="E108" s="1"/>
      <c r="G108" s="1"/>
    </row>
    <row r="109" spans="1:8" x14ac:dyDescent="0.2">
      <c r="A109" s="1" t="s">
        <v>31</v>
      </c>
      <c r="B109" s="1">
        <v>1.3812658339E-2</v>
      </c>
      <c r="C109" s="1">
        <v>6.4198112170000005E-3</v>
      </c>
      <c r="D109" s="1">
        <f t="shared" si="7"/>
        <v>2.1515676819940355</v>
      </c>
      <c r="E109" s="1"/>
      <c r="G109" s="3"/>
    </row>
    <row r="110" spans="1:8" x14ac:dyDescent="0.2">
      <c r="A110" s="1" t="s">
        <v>31</v>
      </c>
      <c r="B110" s="1">
        <v>1.4698164462E-2</v>
      </c>
      <c r="C110" s="1">
        <v>6.8396790409999998E-3</v>
      </c>
      <c r="D110" s="1">
        <f t="shared" si="7"/>
        <v>2.148955290722391</v>
      </c>
      <c r="E110" s="1"/>
      <c r="G110" s="3"/>
    </row>
    <row r="111" spans="1:8" x14ac:dyDescent="0.2">
      <c r="A111" s="1" t="s">
        <v>31</v>
      </c>
      <c r="B111" s="1">
        <v>1.5066159081000001E-2</v>
      </c>
      <c r="C111" s="1">
        <v>7.5097587949999999E-3</v>
      </c>
      <c r="D111" s="1">
        <f t="shared" si="7"/>
        <v>2.0062107841640739</v>
      </c>
      <c r="E111" s="1"/>
      <c r="G111" s="3"/>
    </row>
    <row r="112" spans="1:8" x14ac:dyDescent="0.2">
      <c r="A112" s="1" t="s">
        <v>31</v>
      </c>
      <c r="B112" s="1">
        <v>1.2322981946000001E-2</v>
      </c>
      <c r="C112" s="1">
        <v>6.405164665E-3</v>
      </c>
      <c r="D112" s="1">
        <f t="shared" si="7"/>
        <v>1.9239133715542036</v>
      </c>
      <c r="E112" s="1"/>
      <c r="G112" s="3"/>
    </row>
    <row r="113" spans="1:8" x14ac:dyDescent="0.2">
      <c r="A113" s="1" t="s">
        <v>31</v>
      </c>
      <c r="B113" s="1">
        <v>1.3702198926000001E-2</v>
      </c>
      <c r="C113" s="1">
        <v>6.1988923910000007E-3</v>
      </c>
      <c r="D113" s="1">
        <f t="shared" si="7"/>
        <v>2.2104269701299932</v>
      </c>
      <c r="E113" s="1"/>
      <c r="G113" s="3"/>
    </row>
    <row r="114" spans="1:8" x14ac:dyDescent="0.2">
      <c r="A114" s="1" t="s">
        <v>2</v>
      </c>
      <c r="B114" s="1"/>
      <c r="C114" s="1"/>
      <c r="D114" s="1"/>
      <c r="E114" s="1"/>
      <c r="G114" s="3"/>
    </row>
    <row r="115" spans="1:8" x14ac:dyDescent="0.2">
      <c r="A115" s="1" t="s">
        <v>33</v>
      </c>
      <c r="B115" s="1">
        <v>1.4174550228E-2</v>
      </c>
      <c r="C115" s="1">
        <v>3.6668697140000003E-3</v>
      </c>
      <c r="D115" s="1">
        <f t="shared" si="7"/>
        <v>3.8655723637744712</v>
      </c>
      <c r="E115" s="1">
        <f>AVERAGE(D115:D125)</f>
        <v>3.3338549667237958</v>
      </c>
      <c r="F115" s="2">
        <f>_xlfn.STDEV.S(D115:D125)</f>
        <v>0.35692609968125555</v>
      </c>
      <c r="G115" s="3">
        <v>0.24161849710982658</v>
      </c>
      <c r="H115" s="4">
        <v>0.85638781398421826</v>
      </c>
    </row>
    <row r="116" spans="1:8" x14ac:dyDescent="0.2">
      <c r="A116" s="1" t="s">
        <v>33</v>
      </c>
      <c r="B116" s="1">
        <v>1.5123524743000001E-2</v>
      </c>
      <c r="C116" s="1">
        <v>3.7736674890000003E-3</v>
      </c>
      <c r="D116" s="1">
        <f t="shared" si="7"/>
        <v>4.0076463512177769</v>
      </c>
      <c r="E116" s="1"/>
      <c r="G116" s="3"/>
    </row>
    <row r="117" spans="1:8" x14ac:dyDescent="0.2">
      <c r="A117" s="1" t="s">
        <v>33</v>
      </c>
      <c r="B117" s="1">
        <v>1.4843409436E-2</v>
      </c>
      <c r="C117" s="1">
        <v>4.1776682150000003E-3</v>
      </c>
      <c r="D117" s="1">
        <f t="shared" si="7"/>
        <v>3.5530369268446078</v>
      </c>
      <c r="E117" s="1"/>
      <c r="G117" s="3"/>
    </row>
    <row r="118" spans="1:8" x14ac:dyDescent="0.2">
      <c r="A118" s="1" t="s">
        <v>33</v>
      </c>
      <c r="B118" s="1">
        <v>1.5556818573E-2</v>
      </c>
      <c r="C118" s="1">
        <v>4.5249135519999997E-3</v>
      </c>
      <c r="D118" s="1">
        <f t="shared" si="7"/>
        <v>3.4380366374345268</v>
      </c>
      <c r="E118" s="1"/>
      <c r="G118" s="3"/>
    </row>
    <row r="119" spans="1:8" x14ac:dyDescent="0.2">
      <c r="A119" s="1" t="s">
        <v>33</v>
      </c>
      <c r="B119" s="1">
        <v>1.4537052390000001E-2</v>
      </c>
      <c r="C119" s="1">
        <v>4.462665706E-3</v>
      </c>
      <c r="D119" s="1">
        <f t="shared" si="7"/>
        <v>3.2574818164074246</v>
      </c>
      <c r="E119" s="1"/>
      <c r="G119" s="3"/>
    </row>
    <row r="120" spans="1:8" x14ac:dyDescent="0.2">
      <c r="A120" s="1" t="s">
        <v>33</v>
      </c>
      <c r="B120" s="1">
        <v>1.5556818573E-2</v>
      </c>
      <c r="C120" s="1">
        <v>4.7250830960000002E-3</v>
      </c>
      <c r="D120" s="1">
        <f t="shared" si="7"/>
        <v>3.2923904737610989</v>
      </c>
      <c r="E120" s="1"/>
      <c r="G120" s="1"/>
    </row>
    <row r="121" spans="1:8" x14ac:dyDescent="0.2">
      <c r="A121" s="1" t="s">
        <v>33</v>
      </c>
      <c r="B121" s="1">
        <v>1.5452461890000001E-2</v>
      </c>
      <c r="C121" s="1">
        <v>4.9722436610000007E-3</v>
      </c>
      <c r="D121" s="1">
        <f t="shared" si="7"/>
        <v>3.1077442988568778</v>
      </c>
      <c r="E121" s="1"/>
      <c r="G121" s="3"/>
    </row>
    <row r="122" spans="1:8" x14ac:dyDescent="0.2">
      <c r="A122" s="1" t="s">
        <v>33</v>
      </c>
      <c r="B122" s="1">
        <v>1.4345426668E-2</v>
      </c>
      <c r="C122" s="1">
        <v>4.5432217419999997E-3</v>
      </c>
      <c r="D122" s="1">
        <f t="shared" si="7"/>
        <v>3.1575449059382499</v>
      </c>
      <c r="E122" s="1"/>
      <c r="G122" s="3"/>
    </row>
    <row r="123" spans="1:8" x14ac:dyDescent="0.2">
      <c r="A123" s="1" t="s">
        <v>33</v>
      </c>
      <c r="B123" s="1">
        <v>1.4163565314000001E-2</v>
      </c>
      <c r="C123" s="1">
        <v>4.4577835220000004E-3</v>
      </c>
      <c r="D123" s="1">
        <f t="shared" si="7"/>
        <v>3.1772662903212194</v>
      </c>
      <c r="E123" s="1"/>
      <c r="G123" s="3"/>
    </row>
    <row r="124" spans="1:8" x14ac:dyDescent="0.2">
      <c r="A124" s="1" t="s">
        <v>33</v>
      </c>
      <c r="B124" s="1">
        <v>1.3486772557000001E-2</v>
      </c>
      <c r="C124" s="1">
        <v>4.6756509829999999E-3</v>
      </c>
      <c r="D124" s="1">
        <f t="shared" si="7"/>
        <v>2.8844694794448906</v>
      </c>
      <c r="E124" s="1"/>
      <c r="G124" s="3"/>
    </row>
    <row r="125" spans="1:8" x14ac:dyDescent="0.2">
      <c r="A125" s="1" t="s">
        <v>33</v>
      </c>
      <c r="B125" s="1">
        <v>1.5685586176000001E-2</v>
      </c>
      <c r="C125" s="1">
        <v>5.3512231940000005E-3</v>
      </c>
      <c r="D125" s="1">
        <f t="shared" si="7"/>
        <v>2.9312150899606073</v>
      </c>
      <c r="E125" s="1"/>
      <c r="G125" s="3"/>
    </row>
    <row r="126" spans="1:8" x14ac:dyDescent="0.2">
      <c r="A126" s="1" t="s">
        <v>2</v>
      </c>
      <c r="B126" s="1"/>
      <c r="C126" s="1"/>
      <c r="D126" s="1"/>
      <c r="E126" s="1"/>
      <c r="G126" s="3"/>
    </row>
    <row r="127" spans="1:8" x14ac:dyDescent="0.2">
      <c r="A127" s="1" t="s">
        <v>35</v>
      </c>
      <c r="B127" s="1">
        <v>1.4339323938E-2</v>
      </c>
      <c r="C127" s="1">
        <v>4.4760917120000004E-3</v>
      </c>
      <c r="D127" s="1">
        <f>B127/C127</f>
        <v>3.20353667007259</v>
      </c>
      <c r="E127" s="1">
        <f>AVERAGE(D127:D136)</f>
        <v>3.4764804908428872</v>
      </c>
      <c r="F127" s="2">
        <f>_xlfn.STDEV.S(D127:D136)</f>
        <v>0.27265881292576449</v>
      </c>
      <c r="G127" s="3">
        <v>0.24161849710982658</v>
      </c>
      <c r="H127" s="4">
        <v>0.85638781398421826</v>
      </c>
    </row>
    <row r="128" spans="1:8" x14ac:dyDescent="0.2">
      <c r="A128" s="1" t="s">
        <v>35</v>
      </c>
      <c r="B128" s="1">
        <v>1.2874058465000001E-2</v>
      </c>
      <c r="C128" s="1">
        <v>3.1334911120000004E-3</v>
      </c>
      <c r="D128" s="1">
        <f t="shared" ref="D128:D136" si="8">B128/C128</f>
        <v>4.10853517844604</v>
      </c>
      <c r="E128" s="1"/>
      <c r="G128" s="3"/>
    </row>
    <row r="129" spans="1:7" x14ac:dyDescent="0.2">
      <c r="A129" s="1" t="s">
        <v>35</v>
      </c>
      <c r="B129" s="1">
        <v>1.4244121350000001E-2</v>
      </c>
      <c r="C129" s="1">
        <v>3.9006042730000004E-3</v>
      </c>
      <c r="D129" s="1">
        <f t="shared" si="8"/>
        <v>3.6517729954299312</v>
      </c>
      <c r="E129" s="1"/>
      <c r="G129" s="3"/>
    </row>
    <row r="130" spans="1:7" x14ac:dyDescent="0.2">
      <c r="A130" s="1" t="s">
        <v>35</v>
      </c>
      <c r="B130" s="1">
        <v>1.3638730534E-2</v>
      </c>
      <c r="C130" s="1">
        <v>4.0415773360000006E-3</v>
      </c>
      <c r="D130" s="1">
        <f t="shared" si="8"/>
        <v>3.3746058531440655</v>
      </c>
      <c r="E130" s="1"/>
      <c r="G130" s="3"/>
    </row>
    <row r="131" spans="1:7" x14ac:dyDescent="0.2">
      <c r="A131" s="1" t="s">
        <v>35</v>
      </c>
      <c r="B131" s="1">
        <v>1.3638730534E-2</v>
      </c>
      <c r="C131" s="1">
        <v>4.0415773360000006E-3</v>
      </c>
      <c r="D131" s="1">
        <f t="shared" si="8"/>
        <v>3.3746058531440655</v>
      </c>
      <c r="E131" s="1"/>
      <c r="G131" s="3"/>
    </row>
    <row r="132" spans="1:7" x14ac:dyDescent="0.2">
      <c r="A132" s="1" t="s">
        <v>35</v>
      </c>
      <c r="B132" s="1">
        <v>1.4274024727E-2</v>
      </c>
      <c r="C132" s="1">
        <v>4.035474606E-3</v>
      </c>
      <c r="D132" s="1">
        <f t="shared" si="8"/>
        <v>3.537136550376796</v>
      </c>
      <c r="E132" s="1"/>
      <c r="G132" s="3"/>
    </row>
    <row r="133" spans="1:7" x14ac:dyDescent="0.2">
      <c r="A133" s="1" t="s">
        <v>35</v>
      </c>
      <c r="B133" s="1">
        <v>1.5213845147000001E-2</v>
      </c>
      <c r="C133" s="1">
        <v>4.6848050779999999E-3</v>
      </c>
      <c r="D133" s="1">
        <f t="shared" si="8"/>
        <v>3.2474873327056279</v>
      </c>
      <c r="E133" s="1"/>
      <c r="G133" s="1"/>
    </row>
    <row r="134" spans="1:7" x14ac:dyDescent="0.2">
      <c r="A134" s="1" t="s">
        <v>35</v>
      </c>
      <c r="B134" s="1">
        <v>1.4010997064E-2</v>
      </c>
      <c r="C134" s="1">
        <v>3.9829911280000003E-3</v>
      </c>
      <c r="D134" s="1">
        <f t="shared" si="8"/>
        <v>3.5177073244035606</v>
      </c>
      <c r="E134" s="1"/>
      <c r="G134" s="3"/>
    </row>
    <row r="135" spans="1:7" x14ac:dyDescent="0.2">
      <c r="A135" s="1" t="s">
        <v>35</v>
      </c>
      <c r="B135" s="1">
        <v>1.5266938898000001E-2</v>
      </c>
      <c r="C135" s="1">
        <v>4.7793973930000001E-3</v>
      </c>
      <c r="D135" s="1">
        <f t="shared" si="8"/>
        <v>3.1943229747667066</v>
      </c>
      <c r="E135" s="1"/>
      <c r="G135" s="3"/>
    </row>
    <row r="136" spans="1:7" x14ac:dyDescent="0.2">
      <c r="A136" s="1" t="s">
        <v>35</v>
      </c>
      <c r="B136" s="1">
        <v>1.5242527978000001E-2</v>
      </c>
      <c r="C136" s="1">
        <v>4.2875173550000001E-3</v>
      </c>
      <c r="D136" s="1">
        <f t="shared" si="8"/>
        <v>3.5550941759394932</v>
      </c>
      <c r="E136" s="1"/>
      <c r="G136" s="3"/>
    </row>
    <row r="137" spans="1:7" x14ac:dyDescent="0.2">
      <c r="A137" s="1" t="s">
        <v>2</v>
      </c>
      <c r="B137" s="1"/>
      <c r="C137" s="1"/>
      <c r="D137" s="1"/>
      <c r="E137" s="1"/>
      <c r="G137" s="3"/>
    </row>
    <row r="138" spans="1:7" x14ac:dyDescent="0.2">
      <c r="A138" s="1" t="s">
        <v>37</v>
      </c>
      <c r="B138" s="1">
        <v>1.3624083982000001E-2</v>
      </c>
      <c r="C138" s="1">
        <v>5.8656833330000008E-3</v>
      </c>
      <c r="D138" s="1">
        <f t="shared" ref="D138:D143" si="9">B138/C138</f>
        <v>2.322676354748249</v>
      </c>
      <c r="E138" s="1">
        <f>AVERAGE(D138:D143)</f>
        <v>2.2073593865390193</v>
      </c>
      <c r="F138" s="2">
        <f>_xlfn.STDEV.S(D138:D143)</f>
        <v>0.21893262956350473</v>
      </c>
      <c r="G138" s="3"/>
    </row>
    <row r="139" spans="1:7" x14ac:dyDescent="0.2">
      <c r="A139" s="1" t="s">
        <v>37</v>
      </c>
      <c r="B139" s="1">
        <v>1.5189434227E-2</v>
      </c>
      <c r="C139" s="1">
        <v>6.451545413E-3</v>
      </c>
      <c r="D139" s="1">
        <f t="shared" si="9"/>
        <v>2.354386934391405</v>
      </c>
      <c r="E139" s="1"/>
      <c r="G139" s="1"/>
    </row>
    <row r="140" spans="1:7" x14ac:dyDescent="0.2">
      <c r="A140" s="1" t="s">
        <v>37</v>
      </c>
      <c r="B140" s="1">
        <v>1.2948511771000001E-2</v>
      </c>
      <c r="C140" s="1">
        <v>6.5162343510000009E-3</v>
      </c>
      <c r="D140" s="1">
        <f t="shared" si="9"/>
        <v>1.9871157287357051</v>
      </c>
      <c r="E140" s="1"/>
      <c r="G140" s="3"/>
    </row>
    <row r="141" spans="1:7" x14ac:dyDescent="0.2">
      <c r="A141" s="1" t="s">
        <v>37</v>
      </c>
      <c r="B141" s="1">
        <v>1.4494943553000001E-2</v>
      </c>
      <c r="C141" s="1">
        <v>5.9639372860000005E-3</v>
      </c>
      <c r="D141" s="1">
        <f t="shared" si="9"/>
        <v>2.4304319207088323</v>
      </c>
      <c r="E141" s="1"/>
      <c r="G141" s="3"/>
    </row>
    <row r="142" spans="1:7" x14ac:dyDescent="0.2">
      <c r="A142" s="1" t="s">
        <v>37</v>
      </c>
      <c r="B142" s="1">
        <v>1.3863310998000001E-2</v>
      </c>
      <c r="C142" s="1">
        <v>6.1244390850000007E-3</v>
      </c>
      <c r="D142" s="1">
        <f t="shared" si="9"/>
        <v>2.2636050102864234</v>
      </c>
      <c r="E142" s="1"/>
      <c r="G142" s="3"/>
    </row>
    <row r="143" spans="1:7" x14ac:dyDescent="0.2">
      <c r="A143" s="1" t="s">
        <v>37</v>
      </c>
      <c r="B143" s="1">
        <v>1.2689756019000001E-2</v>
      </c>
      <c r="C143" s="1">
        <v>6.7286093549999999E-3</v>
      </c>
      <c r="D143" s="1">
        <f t="shared" si="9"/>
        <v>1.8859403703634987</v>
      </c>
      <c r="E143" s="1"/>
      <c r="G143" s="3"/>
    </row>
    <row r="144" spans="1:7" x14ac:dyDescent="0.2">
      <c r="A144" s="1" t="s">
        <v>2</v>
      </c>
      <c r="B144" s="1"/>
      <c r="C144" s="1"/>
      <c r="D144" s="1"/>
      <c r="E144" s="1"/>
      <c r="G144" s="3"/>
    </row>
    <row r="145" spans="1:7" x14ac:dyDescent="0.2">
      <c r="A145" s="1"/>
      <c r="B145" s="1"/>
      <c r="C145" s="1"/>
      <c r="D145" s="1"/>
      <c r="E145" s="1"/>
      <c r="G145" s="3"/>
    </row>
    <row r="146" spans="1:7" x14ac:dyDescent="0.2">
      <c r="A146" s="1"/>
      <c r="B146" s="1"/>
      <c r="C146" s="1"/>
      <c r="D146" s="1"/>
      <c r="E146" s="1"/>
      <c r="G146" s="3"/>
    </row>
    <row r="147" spans="1:7" x14ac:dyDescent="0.2">
      <c r="A147" s="1"/>
      <c r="B147" s="1"/>
      <c r="C147" s="1"/>
      <c r="D147" s="1"/>
      <c r="E147" s="1"/>
      <c r="G147" s="3"/>
    </row>
    <row r="148" spans="1:7" x14ac:dyDescent="0.2">
      <c r="A148" s="1"/>
      <c r="B148" s="1"/>
      <c r="C148" s="1"/>
      <c r="D148" s="1"/>
      <c r="E148" s="1"/>
      <c r="G148" s="3"/>
    </row>
    <row r="149" spans="1:7" x14ac:dyDescent="0.2">
      <c r="A149" s="1"/>
      <c r="B149" s="1"/>
      <c r="C149" s="1"/>
      <c r="D149" s="1"/>
      <c r="E149" s="1"/>
      <c r="G149" s="3"/>
    </row>
    <row r="150" spans="1:7" x14ac:dyDescent="0.2">
      <c r="A150" s="1"/>
      <c r="B150" s="1"/>
      <c r="C150" s="1"/>
      <c r="D150" s="1"/>
      <c r="E150" s="1"/>
      <c r="G150" s="3"/>
    </row>
    <row r="151" spans="1:7" x14ac:dyDescent="0.2">
      <c r="A151" s="1"/>
      <c r="B151" s="1"/>
      <c r="C151" s="1"/>
      <c r="D151" s="1"/>
      <c r="E151" s="1"/>
      <c r="G151" s="3"/>
    </row>
    <row r="152" spans="1:7" x14ac:dyDescent="0.2">
      <c r="A152" s="1"/>
      <c r="B152" s="1"/>
      <c r="C152" s="1"/>
      <c r="D152" s="1"/>
      <c r="E152" s="1"/>
      <c r="G152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0FE8-01F6-C242-9553-F618BDC5C1B1}">
  <dimension ref="A1:Y152"/>
  <sheetViews>
    <sheetView topLeftCell="V1" zoomScale="188" zoomScaleNormal="125" workbookViewId="0">
      <selection activeCell="W13" sqref="W13"/>
    </sheetView>
  </sheetViews>
  <sheetFormatPr baseColWidth="10" defaultRowHeight="15" x14ac:dyDescent="0.2"/>
  <cols>
    <col min="1" max="1" width="20.5" style="2" customWidth="1"/>
    <col min="2" max="3" width="14.6640625" style="2" customWidth="1"/>
    <col min="4" max="6" width="10.83203125" style="2" customWidth="1"/>
    <col min="7" max="7" width="11.1640625" style="2" bestFit="1" customWidth="1"/>
    <col min="8" max="9" width="10.83203125" style="2"/>
    <col min="10" max="10" width="18.83203125" style="2" bestFit="1" customWidth="1"/>
    <col min="11" max="20" width="10.83203125" style="2"/>
    <col min="21" max="21" width="18.83203125" style="2" bestFit="1" customWidth="1"/>
    <col min="22" max="22" width="12.1640625" style="2" bestFit="1" customWidth="1"/>
    <col min="23" max="23" width="7" style="2" bestFit="1" customWidth="1"/>
    <col min="24" max="24" width="12.1640625" style="2" bestFit="1" customWidth="1"/>
    <col min="25" max="16384" width="10.83203125" style="2"/>
  </cols>
  <sheetData>
    <row r="1" spans="1:25" x14ac:dyDescent="0.2">
      <c r="A1" s="1" t="s">
        <v>0</v>
      </c>
      <c r="B1" s="1" t="s">
        <v>43</v>
      </c>
      <c r="C1" s="1" t="s">
        <v>45</v>
      </c>
      <c r="D1" s="1" t="s">
        <v>55</v>
      </c>
      <c r="E1" s="1" t="s">
        <v>56</v>
      </c>
      <c r="F1" s="1" t="s">
        <v>57</v>
      </c>
      <c r="G1" s="1" t="s">
        <v>51</v>
      </c>
      <c r="H1" s="2" t="s">
        <v>58</v>
      </c>
      <c r="J1" s="1" t="s">
        <v>52</v>
      </c>
      <c r="K1" s="1" t="s">
        <v>55</v>
      </c>
      <c r="L1" s="1" t="s">
        <v>53</v>
      </c>
      <c r="M1" s="2" t="s">
        <v>58</v>
      </c>
      <c r="N1" s="1" t="s">
        <v>54</v>
      </c>
      <c r="U1" s="2" t="s">
        <v>52</v>
      </c>
      <c r="V1" s="2" t="s">
        <v>55</v>
      </c>
      <c r="W1" s="2" t="s">
        <v>53</v>
      </c>
      <c r="X1" s="2" t="s">
        <v>54</v>
      </c>
      <c r="Y1" s="2" t="s">
        <v>58</v>
      </c>
    </row>
    <row r="2" spans="1:25" x14ac:dyDescent="0.2">
      <c r="A2" s="1" t="s">
        <v>1</v>
      </c>
      <c r="B2" s="1">
        <v>7.7221337990000007E-3</v>
      </c>
      <c r="C2" s="1">
        <v>2.3968916010000002E-3</v>
      </c>
      <c r="D2" s="1">
        <f>B2/C2</f>
        <v>3.2217284235041217</v>
      </c>
      <c r="E2" s="1">
        <f>AVERAGE(D2:D6)</f>
        <v>2.0379167590336591</v>
      </c>
      <c r="F2" s="2">
        <f>_xlfn.STDEV.S(D2:D6)</f>
        <v>0.69981994843282735</v>
      </c>
      <c r="G2" s="3">
        <v>0.11302982731554165</v>
      </c>
      <c r="H2" s="4">
        <v>0.3212494015831851</v>
      </c>
      <c r="J2" s="1" t="str">
        <f>A2</f>
        <v>L_M1_EST.mat</v>
      </c>
      <c r="K2" s="1">
        <f>E2</f>
        <v>2.0379167590336591</v>
      </c>
      <c r="L2" s="5">
        <f>G2</f>
        <v>0.11302982731554165</v>
      </c>
      <c r="M2" s="5">
        <f>H2</f>
        <v>0.3212494015831851</v>
      </c>
      <c r="N2" s="1">
        <f>F2</f>
        <v>0.69981994843282735</v>
      </c>
      <c r="U2" s="2" t="s">
        <v>3</v>
      </c>
      <c r="V2" s="2">
        <v>2.0936645541815362</v>
      </c>
      <c r="W2" s="4">
        <v>0.11302982731554165</v>
      </c>
      <c r="X2" s="2">
        <v>0.4048649473292591</v>
      </c>
      <c r="Y2" s="6">
        <f>_xlfn.XLOOKUP(U2,$J$2:$J$19,$M$2:$M$19)</f>
        <v>0.3212494015831851</v>
      </c>
    </row>
    <row r="3" spans="1:25" x14ac:dyDescent="0.2">
      <c r="A3" s="1" t="s">
        <v>1</v>
      </c>
      <c r="B3" s="1">
        <v>6.8470023170000005E-3</v>
      </c>
      <c r="C3" s="1">
        <v>4.7793973930000001E-3</v>
      </c>
      <c r="D3" s="1">
        <f t="shared" ref="D3:D6" si="0">B3/C3</f>
        <v>1.4326078695670412</v>
      </c>
      <c r="E3" s="1"/>
      <c r="G3" s="3"/>
      <c r="J3" s="1" t="str">
        <f>A8</f>
        <v>L_M1_EST_#2.mat</v>
      </c>
      <c r="K3" s="1">
        <f>E8</f>
        <v>2.0936645541815362</v>
      </c>
      <c r="L3" s="5">
        <f>G8</f>
        <v>0.11302982731554165</v>
      </c>
      <c r="M3" s="5">
        <f>H8</f>
        <v>0.3212494015831851</v>
      </c>
      <c r="N3" s="1">
        <f>F8</f>
        <v>0.4048649473292591</v>
      </c>
      <c r="U3" s="2" t="s">
        <v>5</v>
      </c>
      <c r="V3" s="2">
        <v>2.5972638009032534</v>
      </c>
      <c r="W3" s="4">
        <v>0.13227722772277212</v>
      </c>
      <c r="X3" s="2">
        <v>0.58568073865452686</v>
      </c>
      <c r="Y3" s="6">
        <f t="shared" ref="Y3:Y13" si="1">_xlfn.XLOOKUP(U3,$J$2:$J$19,$M$2:$M$19)</f>
        <v>0.65447439315144107</v>
      </c>
    </row>
    <row r="4" spans="1:25" x14ac:dyDescent="0.2">
      <c r="A4" s="1" t="s">
        <v>1</v>
      </c>
      <c r="B4" s="1">
        <v>8.5826187289999994E-3</v>
      </c>
      <c r="C4" s="1">
        <v>4.1355593779999998E-3</v>
      </c>
      <c r="D4" s="1">
        <f t="shared" si="0"/>
        <v>2.0753223311596227</v>
      </c>
      <c r="E4" s="1"/>
      <c r="G4" s="3"/>
      <c r="J4" s="1" t="str">
        <f>A14</f>
        <v>L_M1_MOD_56.mat</v>
      </c>
      <c r="K4" s="1">
        <f>E14</f>
        <v>2.5972638009032534</v>
      </c>
      <c r="L4" s="5">
        <f>G14</f>
        <v>0.13227722772277212</v>
      </c>
      <c r="M4" s="5">
        <f>H14</f>
        <v>0.65447439315144107</v>
      </c>
      <c r="N4" s="1">
        <f>F14</f>
        <v>0.58568073865452686</v>
      </c>
      <c r="U4" s="2" t="s">
        <v>7</v>
      </c>
      <c r="V4" s="2">
        <v>1.4548798348461354</v>
      </c>
      <c r="W4" s="4">
        <v>0.14261363636363625</v>
      </c>
      <c r="X4" s="2">
        <v>0.37583594406689835</v>
      </c>
      <c r="Y4" s="6">
        <f t="shared" si="1"/>
        <v>0.45929290078498514</v>
      </c>
    </row>
    <row r="5" spans="1:25" x14ac:dyDescent="0.2">
      <c r="A5" s="1" t="s">
        <v>1</v>
      </c>
      <c r="B5" s="1">
        <v>9.2264567439999997E-3</v>
      </c>
      <c r="C5" s="1">
        <v>5.3103349030000002E-3</v>
      </c>
      <c r="D5" s="1">
        <f t="shared" si="0"/>
        <v>1.7374528937501927</v>
      </c>
      <c r="E5" s="1"/>
      <c r="G5" s="3"/>
      <c r="J5" s="1" t="str">
        <f>A22</f>
        <v>L_M2_EST.mat</v>
      </c>
      <c r="K5" s="1">
        <f>E22</f>
        <v>1.4548798348461354</v>
      </c>
      <c r="L5" s="5">
        <f>G22</f>
        <v>0.14261363636363625</v>
      </c>
      <c r="M5" s="5">
        <f>H22</f>
        <v>0.45929290078498514</v>
      </c>
      <c r="N5" s="1">
        <f>F22</f>
        <v>0.37583594406689835</v>
      </c>
      <c r="U5" s="2" t="s">
        <v>9</v>
      </c>
      <c r="V5" s="2">
        <v>1.9052694329566999</v>
      </c>
      <c r="W5" s="4">
        <v>0.15978994748687164</v>
      </c>
      <c r="X5" s="2">
        <v>0.40372040306407964</v>
      </c>
      <c r="Y5" s="6">
        <f t="shared" si="1"/>
        <v>0.83610261337825054</v>
      </c>
    </row>
    <row r="6" spans="1:25" x14ac:dyDescent="0.2">
      <c r="A6" s="1" t="s">
        <v>1</v>
      </c>
      <c r="B6" s="1">
        <v>8.7705828129999996E-3</v>
      </c>
      <c r="C6" s="1">
        <v>5.0918571689999997E-3</v>
      </c>
      <c r="D6" s="1">
        <f t="shared" si="0"/>
        <v>1.722472277187318</v>
      </c>
      <c r="E6" s="1"/>
      <c r="G6" s="3"/>
      <c r="J6" s="1" t="str">
        <f>A30</f>
        <v>L_M2_MOD_56.mat</v>
      </c>
      <c r="K6" s="1">
        <f>E30</f>
        <v>1.9052694329566999</v>
      </c>
      <c r="L6" s="5">
        <f>G30</f>
        <v>0.15978994748687164</v>
      </c>
      <c r="M6" s="5">
        <f>H30</f>
        <v>0.83610261337825054</v>
      </c>
      <c r="N6" s="1">
        <f>F30</f>
        <v>0.40372040306407964</v>
      </c>
      <c r="U6" s="2" t="s">
        <v>11</v>
      </c>
      <c r="V6" s="2">
        <v>1.8091138997405964</v>
      </c>
      <c r="W6" s="4">
        <v>0.19204244031830223</v>
      </c>
      <c r="X6" s="2">
        <v>0.64551090245555143</v>
      </c>
      <c r="Y6" s="6">
        <f t="shared" si="1"/>
        <v>0.68051559881047952</v>
      </c>
    </row>
    <row r="7" spans="1:25" x14ac:dyDescent="0.2">
      <c r="A7" s="1" t="s">
        <v>2</v>
      </c>
      <c r="B7" s="1"/>
      <c r="C7" s="1"/>
      <c r="D7" s="1"/>
      <c r="E7" s="1"/>
      <c r="G7" s="1"/>
      <c r="J7" s="1" t="str">
        <f>A38</f>
        <v>L_M3_EST.mat</v>
      </c>
      <c r="K7" s="1">
        <f>E38</f>
        <v>1.8091138997405964</v>
      </c>
      <c r="L7" s="5">
        <f>G38</f>
        <v>0.19204244031830223</v>
      </c>
      <c r="M7" s="5">
        <f>H38</f>
        <v>0.68051559881047952</v>
      </c>
      <c r="N7" s="1">
        <f>F38</f>
        <v>0.64551090245555143</v>
      </c>
      <c r="U7" s="2" t="s">
        <v>13</v>
      </c>
      <c r="V7" s="2">
        <v>1.5266938543150759</v>
      </c>
      <c r="W7" s="4">
        <v>0.18811394891944982</v>
      </c>
      <c r="X7" s="2">
        <v>0.34485304246545828</v>
      </c>
      <c r="Y7" s="6">
        <f t="shared" si="1"/>
        <v>0.90551362714545369</v>
      </c>
    </row>
    <row r="8" spans="1:25" x14ac:dyDescent="0.2">
      <c r="A8" s="1" t="s">
        <v>3</v>
      </c>
      <c r="B8" s="1">
        <v>5.5178277229999996E-3</v>
      </c>
      <c r="C8" s="1">
        <v>3.3476969350000004E-3</v>
      </c>
      <c r="D8" s="1">
        <f t="shared" ref="D8:D43" si="2">B8/C8</f>
        <v>1.648245892664713</v>
      </c>
      <c r="E8" s="1">
        <f>AVERAGE(D8:D12)</f>
        <v>2.0936645541815362</v>
      </c>
      <c r="F8" s="2">
        <f>_xlfn.STDEV.S(D8:D12)</f>
        <v>0.4048649473292591</v>
      </c>
      <c r="G8" s="3">
        <v>0.11302982731554165</v>
      </c>
      <c r="H8" s="4">
        <v>0.3212494015831851</v>
      </c>
      <c r="J8" s="1" t="str">
        <f>A46</f>
        <v>L_M3_MOD_56.mat</v>
      </c>
      <c r="K8" s="1">
        <f>E46</f>
        <v>1.5266938543150759</v>
      </c>
      <c r="L8" s="5">
        <f>G46</f>
        <v>0.18811394891944982</v>
      </c>
      <c r="M8" s="5">
        <f>H46</f>
        <v>0.90551362714545369</v>
      </c>
      <c r="N8" s="1">
        <f>F46</f>
        <v>0.34485304246545828</v>
      </c>
      <c r="U8" s="2" t="s">
        <v>15</v>
      </c>
      <c r="V8" s="2">
        <v>1.2784116668775904</v>
      </c>
      <c r="W8" s="4">
        <v>0.24606215410813118</v>
      </c>
      <c r="X8" s="2">
        <v>0.29995705654286631</v>
      </c>
      <c r="Y8" s="6">
        <f t="shared" si="1"/>
        <v>0.88588990763905762</v>
      </c>
    </row>
    <row r="9" spans="1:25" x14ac:dyDescent="0.2">
      <c r="A9" s="1" t="s">
        <v>3</v>
      </c>
      <c r="B9" s="1">
        <v>8.1358988929999994E-3</v>
      </c>
      <c r="C9" s="1">
        <v>4.0525622499999999E-3</v>
      </c>
      <c r="D9" s="1">
        <f t="shared" si="2"/>
        <v>2.0075938112980252</v>
      </c>
      <c r="E9" s="1"/>
      <c r="G9" s="3"/>
      <c r="J9" s="1" t="str">
        <f>A56</f>
        <v>L_M4_EST.mat</v>
      </c>
      <c r="K9" s="1">
        <f>E56</f>
        <v>1.2784116668775904</v>
      </c>
      <c r="L9" s="5">
        <f>G56</f>
        <v>0.24606215410813118</v>
      </c>
      <c r="M9" s="5">
        <f>H56</f>
        <v>0.88588990763905762</v>
      </c>
      <c r="N9" s="1">
        <f>F56</f>
        <v>0.29995705654286631</v>
      </c>
      <c r="U9" s="2" t="s">
        <v>17</v>
      </c>
      <c r="V9" s="2">
        <v>1.4833755321512192</v>
      </c>
      <c r="W9" s="4">
        <v>0.22389937106918242</v>
      </c>
      <c r="X9" s="2">
        <v>0.17320195405477049</v>
      </c>
      <c r="Y9" s="6">
        <f t="shared" si="1"/>
        <v>0.84367532187400063</v>
      </c>
    </row>
    <row r="10" spans="1:25" x14ac:dyDescent="0.2">
      <c r="A10" s="1" t="s">
        <v>3</v>
      </c>
      <c r="B10" s="1">
        <v>8.9567160780000005E-3</v>
      </c>
      <c r="C10" s="1">
        <v>4.2527317940000003E-3</v>
      </c>
      <c r="D10" s="1">
        <f t="shared" si="2"/>
        <v>2.1061088523467792</v>
      </c>
      <c r="E10" s="1"/>
      <c r="G10" s="3"/>
      <c r="J10" s="1" t="str">
        <f>A63</f>
        <v>L_M4_MOD_56.mat</v>
      </c>
      <c r="K10" s="1">
        <f>E63</f>
        <v>1.4833755321512192</v>
      </c>
      <c r="L10" s="5">
        <f>G63</f>
        <v>0.22389937106918242</v>
      </c>
      <c r="M10" s="5">
        <f>H63</f>
        <v>0.84367532187400063</v>
      </c>
      <c r="N10" s="1">
        <f>F63</f>
        <v>0.17320195405477049</v>
      </c>
      <c r="U10" s="2" t="s">
        <v>19</v>
      </c>
      <c r="V10" s="2">
        <v>1.6793019475901829</v>
      </c>
      <c r="W10" s="4">
        <v>0.29512735326688799</v>
      </c>
      <c r="X10" s="2">
        <v>0.3621326165831209</v>
      </c>
      <c r="Y10" s="6">
        <f t="shared" si="1"/>
        <v>0.84000708917054345</v>
      </c>
    </row>
    <row r="11" spans="1:25" x14ac:dyDescent="0.2">
      <c r="A11" s="1" t="s">
        <v>3</v>
      </c>
      <c r="B11" s="1">
        <v>8.588721459E-3</v>
      </c>
      <c r="C11" s="1">
        <v>3.1231164710000003E-3</v>
      </c>
      <c r="D11" s="1">
        <f t="shared" si="2"/>
        <v>2.7500484015730451</v>
      </c>
      <c r="E11" s="1"/>
      <c r="G11" s="3"/>
      <c r="J11" s="1" t="str">
        <f>A72</f>
        <v>L_M5_2_EST.mat</v>
      </c>
      <c r="K11" s="1">
        <f>E72</f>
        <v>1.6793019475901829</v>
      </c>
      <c r="L11" s="5">
        <f>G72</f>
        <v>0.29512735326688799</v>
      </c>
      <c r="M11" s="5">
        <f>H72</f>
        <v>0.84000708917054345</v>
      </c>
      <c r="N11" s="1">
        <f>F72</f>
        <v>0.3621326165831209</v>
      </c>
      <c r="U11" s="2" t="s">
        <v>25</v>
      </c>
      <c r="V11" s="2">
        <v>1.8284322149027488</v>
      </c>
      <c r="W11" s="4">
        <v>0.11079723791588189</v>
      </c>
      <c r="X11" s="2">
        <v>0.2438216365922552</v>
      </c>
      <c r="Y11" s="6">
        <f t="shared" si="1"/>
        <v>0.42159234574390719</v>
      </c>
    </row>
    <row r="12" spans="1:25" x14ac:dyDescent="0.2">
      <c r="A12" s="1" t="s">
        <v>3</v>
      </c>
      <c r="B12" s="1">
        <v>8.107216062000001E-3</v>
      </c>
      <c r="C12" s="1">
        <v>4.1441032000000006E-3</v>
      </c>
      <c r="D12" s="1">
        <f t="shared" si="2"/>
        <v>1.9563258130251195</v>
      </c>
      <c r="E12" s="1"/>
      <c r="G12" s="3"/>
      <c r="J12" s="1" t="str">
        <f>A79</f>
        <v>L_M5_MOD#2.mat</v>
      </c>
      <c r="K12" s="1">
        <f>E79</f>
        <v>1.7188947936892134</v>
      </c>
      <c r="L12" s="5">
        <f>G79</f>
        <v>0.11079723791588189</v>
      </c>
      <c r="M12" s="5">
        <f>H79</f>
        <v>0.42159234574390719</v>
      </c>
      <c r="N12" s="1">
        <f>F79</f>
        <v>0.63672225376598446</v>
      </c>
      <c r="U12" s="2" t="s">
        <v>29</v>
      </c>
      <c r="V12" s="2">
        <v>2.1602537812226381</v>
      </c>
      <c r="W12" s="4">
        <v>0.16014588859416429</v>
      </c>
      <c r="X12" s="2">
        <v>0.27485995097142246</v>
      </c>
      <c r="Y12" s="6">
        <f t="shared" si="1"/>
        <v>0.70349181350424639</v>
      </c>
    </row>
    <row r="13" spans="1:25" x14ac:dyDescent="0.2">
      <c r="A13" s="1" t="s">
        <v>2</v>
      </c>
      <c r="B13" s="1"/>
      <c r="C13" s="1"/>
      <c r="D13" s="1"/>
      <c r="E13" s="1"/>
      <c r="G13" s="1"/>
      <c r="J13" s="1" t="str">
        <f>A83</f>
        <v>L_M5_MOD#3.mat</v>
      </c>
      <c r="K13" s="1">
        <f>E83</f>
        <v>2.3269680041351388</v>
      </c>
      <c r="L13" s="5">
        <f>G83</f>
        <v>0.11079723791588189</v>
      </c>
      <c r="M13" s="5">
        <f>H83</f>
        <v>0.42159234574390719</v>
      </c>
      <c r="N13" s="1">
        <f>F83</f>
        <v>0.40822547091319894</v>
      </c>
      <c r="U13" s="2" t="s">
        <v>31</v>
      </c>
      <c r="V13" s="2">
        <v>1.9433348426031221</v>
      </c>
      <c r="W13" s="4">
        <v>0.18882395909422914</v>
      </c>
      <c r="X13" s="2">
        <v>0.29766694639925895</v>
      </c>
      <c r="Y13" s="6">
        <f t="shared" si="1"/>
        <v>0.84475946587239459</v>
      </c>
    </row>
    <row r="14" spans="1:25" x14ac:dyDescent="0.2">
      <c r="A14" s="1" t="s">
        <v>5</v>
      </c>
      <c r="B14" s="1">
        <v>5.8144204010000004E-3</v>
      </c>
      <c r="C14" s="1">
        <v>2.3456286690000001E-3</v>
      </c>
      <c r="D14" s="1">
        <f t="shared" si="2"/>
        <v>2.4788324246901503</v>
      </c>
      <c r="E14" s="1">
        <f>AVERAGE(D14:D20)</f>
        <v>2.5972638009032534</v>
      </c>
      <c r="F14" s="1">
        <f>_xlfn.STDEV.S(D14:D20)</f>
        <v>0.58568073865452686</v>
      </c>
      <c r="G14" s="3">
        <v>0.13227722772277212</v>
      </c>
      <c r="H14" s="4">
        <v>0.65447439315144107</v>
      </c>
      <c r="J14" s="1" t="str">
        <f>A88</f>
        <v>L_M5_MOD.mat</v>
      </c>
      <c r="K14" s="1">
        <f>E88</f>
        <v>1.8284322149027488</v>
      </c>
      <c r="L14" s="5">
        <f>G88</f>
        <v>0.11079723791588189</v>
      </c>
      <c r="M14" s="5">
        <f>H88</f>
        <v>0.42159234574390719</v>
      </c>
      <c r="N14" s="1">
        <f>F88</f>
        <v>0.2438216365922552</v>
      </c>
      <c r="U14" s="2" t="s">
        <v>33</v>
      </c>
      <c r="V14" s="2">
        <v>1.2852617466684764</v>
      </c>
      <c r="W14" s="4">
        <v>0.24161849710982658</v>
      </c>
      <c r="X14" s="2">
        <v>0.24718237521179826</v>
      </c>
      <c r="Y14" s="6">
        <f>_xlfn.XLOOKUP(U14,$J$2:$J$19,$M$2:$M$19)</f>
        <v>0.85638781398421826</v>
      </c>
    </row>
    <row r="15" spans="1:25" x14ac:dyDescent="0.2">
      <c r="A15" s="1" t="s">
        <v>5</v>
      </c>
      <c r="B15" s="1">
        <v>5.5233201800000001E-3</v>
      </c>
      <c r="C15" s="1">
        <v>2.4542572630000003E-3</v>
      </c>
      <c r="D15" s="1">
        <f t="shared" si="2"/>
        <v>2.2505057897836194</v>
      </c>
      <c r="E15" s="1"/>
      <c r="G15" s="3"/>
      <c r="J15" s="1" t="str">
        <f>A94</f>
        <v>L_M6_MOD#2.mat</v>
      </c>
      <c r="K15" s="1">
        <f>E94</f>
        <v>1.635025264613297</v>
      </c>
      <c r="L15" s="5">
        <f>G94</f>
        <v>0.16014588859416429</v>
      </c>
      <c r="M15" s="5">
        <f>H94</f>
        <v>0.70349181350424639</v>
      </c>
      <c r="N15" s="1">
        <f>F94</f>
        <v>0.26096432424004867</v>
      </c>
    </row>
    <row r="16" spans="1:25" x14ac:dyDescent="0.2">
      <c r="A16" s="1" t="s">
        <v>5</v>
      </c>
      <c r="B16" s="1">
        <v>5.4763291590000001E-3</v>
      </c>
      <c r="C16" s="1">
        <v>2.4457134410000004E-3</v>
      </c>
      <c r="D16" s="1">
        <f t="shared" si="2"/>
        <v>2.2391540509998773</v>
      </c>
      <c r="E16" s="1"/>
      <c r="G16" s="3"/>
      <c r="J16" s="1" t="str">
        <f>A99</f>
        <v>L_M6_MOD.mat</v>
      </c>
      <c r="K16" s="1">
        <f>E99</f>
        <v>2.1602537812226381</v>
      </c>
      <c r="L16" s="5">
        <f>G99</f>
        <v>0.16014588859416429</v>
      </c>
      <c r="M16" s="5">
        <f>H99</f>
        <v>0.70349181350424639</v>
      </c>
      <c r="N16" s="1">
        <f>F99</f>
        <v>0.27485995097142246</v>
      </c>
      <c r="W16" s="4"/>
    </row>
    <row r="17" spans="1:23" x14ac:dyDescent="0.2">
      <c r="A17" s="1" t="s">
        <v>5</v>
      </c>
      <c r="B17" s="1">
        <v>5.4763291590000001E-3</v>
      </c>
      <c r="C17" s="1">
        <v>2.4457134410000004E-3</v>
      </c>
      <c r="D17" s="1">
        <f t="shared" si="2"/>
        <v>2.2391540509998773</v>
      </c>
      <c r="E17" s="1"/>
      <c r="G17" s="3"/>
      <c r="J17" s="1" t="str">
        <f>A106</f>
        <v>L_M7_MOD.mat</v>
      </c>
      <c r="K17" s="1">
        <f>E106</f>
        <v>1.9433348426031221</v>
      </c>
      <c r="L17" s="5">
        <f>G106</f>
        <v>0.18882395909422914</v>
      </c>
      <c r="M17" s="5">
        <f>H106</f>
        <v>0.84475946587239459</v>
      </c>
      <c r="N17" s="1">
        <f>F106</f>
        <v>0.29766694639925895</v>
      </c>
      <c r="W17" s="4"/>
    </row>
    <row r="18" spans="1:23" x14ac:dyDescent="0.2">
      <c r="A18" s="1" t="s">
        <v>5</v>
      </c>
      <c r="B18" s="1">
        <v>6.4637508730000003E-3</v>
      </c>
      <c r="C18" s="1">
        <v>2.5384749370000004E-3</v>
      </c>
      <c r="D18" s="1">
        <f t="shared" si="2"/>
        <v>2.5463126615064939</v>
      </c>
      <c r="E18" s="1"/>
      <c r="G18" s="3"/>
      <c r="J18" s="1" t="str">
        <f>A115</f>
        <v>L_M8_MOD#2.mat</v>
      </c>
      <c r="K18" s="1">
        <f>E115</f>
        <v>1.2852617466684764</v>
      </c>
      <c r="L18" s="5">
        <f>G115</f>
        <v>0.24161849710982658</v>
      </c>
      <c r="M18" s="5">
        <f>H115</f>
        <v>0.85638781398421826</v>
      </c>
      <c r="N18" s="1">
        <f>F115</f>
        <v>0.24718237521179826</v>
      </c>
      <c r="W18" s="4"/>
    </row>
    <row r="19" spans="1:23" x14ac:dyDescent="0.2">
      <c r="A19" s="1" t="s">
        <v>5</v>
      </c>
      <c r="B19" s="1">
        <v>5.5422386430000001E-3</v>
      </c>
      <c r="C19" s="1">
        <v>2.1814652320000004E-3</v>
      </c>
      <c r="D19" s="1">
        <f t="shared" si="2"/>
        <v>2.5406037014483114</v>
      </c>
      <c r="E19" s="1"/>
      <c r="G19" s="3"/>
      <c r="J19" s="1" t="str">
        <f>A127</f>
        <v>L_M8_MOD.mat</v>
      </c>
      <c r="K19" s="1">
        <f>E127</f>
        <v>1.1280161055289839</v>
      </c>
      <c r="L19" s="5">
        <f>G127</f>
        <v>0.24161849710982658</v>
      </c>
      <c r="M19" s="5">
        <f>H127</f>
        <v>0.85638781398421826</v>
      </c>
      <c r="N19" s="1">
        <f>F127</f>
        <v>0.22119681266060812</v>
      </c>
      <c r="W19" s="4"/>
    </row>
    <row r="20" spans="1:23" x14ac:dyDescent="0.2">
      <c r="A20" s="1" t="s">
        <v>5</v>
      </c>
      <c r="B20" s="1">
        <v>1.1319082861E-2</v>
      </c>
      <c r="C20" s="1">
        <v>2.9125722860000001E-3</v>
      </c>
      <c r="D20" s="1">
        <f t="shared" si="2"/>
        <v>3.8862839268944414</v>
      </c>
      <c r="E20" s="1"/>
      <c r="G20" s="1"/>
      <c r="J20" s="1"/>
      <c r="K20" s="1"/>
      <c r="L20" s="1"/>
      <c r="M20" s="1"/>
      <c r="N20" s="1"/>
    </row>
    <row r="21" spans="1:23" x14ac:dyDescent="0.2">
      <c r="A21" s="1" t="s">
        <v>2</v>
      </c>
      <c r="B21" s="1"/>
      <c r="C21" s="1"/>
      <c r="D21" s="1"/>
      <c r="E21" s="1"/>
      <c r="G21" s="3"/>
      <c r="J21" s="1"/>
      <c r="K21" s="1"/>
      <c r="L21" s="3"/>
      <c r="M21" s="3"/>
      <c r="N21" s="1"/>
    </row>
    <row r="22" spans="1:23" x14ac:dyDescent="0.2">
      <c r="A22" s="1" t="s">
        <v>7</v>
      </c>
      <c r="B22" s="1">
        <v>7.7355598050000002E-3</v>
      </c>
      <c r="C22" s="1">
        <v>4.3827199430000003E-3</v>
      </c>
      <c r="D22" s="1">
        <f>B22/C22</f>
        <v>1.7650134860556386</v>
      </c>
      <c r="E22" s="1">
        <f>AVERAGE(D22:D28)</f>
        <v>1.4548798348461354</v>
      </c>
      <c r="F22" s="2">
        <f>_xlfn.STDEV.S(D22:D28)</f>
        <v>0.37583594406689835</v>
      </c>
      <c r="G22" s="3">
        <v>0.14261363636363625</v>
      </c>
      <c r="H22" s="4">
        <v>0.45929290078498514</v>
      </c>
      <c r="J22" s="1"/>
      <c r="K22" s="1"/>
      <c r="L22" s="3"/>
      <c r="M22" s="3"/>
      <c r="N22" s="1"/>
    </row>
    <row r="23" spans="1:23" x14ac:dyDescent="0.2">
      <c r="A23" s="1" t="s">
        <v>7</v>
      </c>
      <c r="B23" s="1">
        <v>6.7908572010000005E-3</v>
      </c>
      <c r="C23" s="1">
        <v>4.3033844530000007E-3</v>
      </c>
      <c r="D23" s="1">
        <f t="shared" si="2"/>
        <v>1.5780270796549256</v>
      </c>
      <c r="E23" s="1"/>
      <c r="G23" s="3"/>
      <c r="J23" s="1"/>
      <c r="K23" s="1"/>
      <c r="L23" s="3"/>
      <c r="M23" s="3"/>
      <c r="N23" s="1"/>
    </row>
    <row r="24" spans="1:23" x14ac:dyDescent="0.2">
      <c r="A24" s="1" t="s">
        <v>7</v>
      </c>
      <c r="B24" s="1">
        <v>3.7797702190000004E-3</v>
      </c>
      <c r="C24" s="1">
        <v>3.8255406940000004E-3</v>
      </c>
      <c r="D24" s="1">
        <f t="shared" si="2"/>
        <v>0.98803555401415899</v>
      </c>
      <c r="E24" s="1"/>
      <c r="G24" s="3"/>
      <c r="J24" s="1"/>
      <c r="K24" s="1"/>
      <c r="L24" s="3"/>
      <c r="M24" s="3"/>
      <c r="N24" s="1"/>
    </row>
    <row r="25" spans="1:23" x14ac:dyDescent="0.2">
      <c r="A25" s="1" t="s">
        <v>7</v>
      </c>
      <c r="B25" s="1">
        <v>8.3574279920000001E-3</v>
      </c>
      <c r="C25" s="1">
        <v>5.122370819E-3</v>
      </c>
      <c r="D25" s="1">
        <f t="shared" si="2"/>
        <v>1.631554662345112</v>
      </c>
      <c r="E25" s="1"/>
      <c r="G25" s="3"/>
    </row>
    <row r="26" spans="1:23" x14ac:dyDescent="0.2">
      <c r="A26" s="1" t="s">
        <v>7</v>
      </c>
      <c r="B26" s="1">
        <v>4.60180795E-3</v>
      </c>
      <c r="C26" s="1">
        <v>4.2661577999999999E-3</v>
      </c>
      <c r="D26" s="1">
        <f t="shared" si="2"/>
        <v>1.0786773874140334</v>
      </c>
      <c r="E26" s="1"/>
      <c r="G26" s="1"/>
    </row>
    <row r="27" spans="1:23" x14ac:dyDescent="0.2">
      <c r="A27" s="1" t="s">
        <v>7</v>
      </c>
      <c r="B27" s="1">
        <v>5.3432896450000007E-3</v>
      </c>
      <c r="C27" s="1">
        <v>4.5572580210000001E-3</v>
      </c>
      <c r="D27" s="1">
        <f t="shared" si="2"/>
        <v>1.1724790697340244</v>
      </c>
      <c r="E27" s="1"/>
      <c r="G27" s="3"/>
    </row>
    <row r="28" spans="1:23" x14ac:dyDescent="0.2">
      <c r="A28" s="1" t="s">
        <v>7</v>
      </c>
      <c r="B28" s="1">
        <v>7.0038424780000004E-3</v>
      </c>
      <c r="C28" s="1">
        <v>3.5545794820000002E-3</v>
      </c>
      <c r="D28" s="1">
        <f t="shared" si="2"/>
        <v>1.9703716047050541</v>
      </c>
      <c r="E28" s="1"/>
      <c r="G28" s="3"/>
    </row>
    <row r="29" spans="1:23" x14ac:dyDescent="0.2">
      <c r="A29" s="1" t="s">
        <v>2</v>
      </c>
      <c r="B29" s="1"/>
      <c r="C29" s="1"/>
      <c r="D29" s="1"/>
      <c r="E29" s="1"/>
      <c r="G29" s="3"/>
    </row>
    <row r="30" spans="1:23" x14ac:dyDescent="0.2">
      <c r="A30" s="1" t="s">
        <v>9</v>
      </c>
      <c r="B30" s="1">
        <v>4.7726843900000003E-3</v>
      </c>
      <c r="C30" s="1">
        <v>3.914030279E-3</v>
      </c>
      <c r="D30" s="1">
        <f t="shared" si="2"/>
        <v>1.2193785049663384</v>
      </c>
      <c r="E30" s="1">
        <f>AVERAGE(D30:D36)</f>
        <v>1.9052694329566999</v>
      </c>
      <c r="F30" s="2">
        <f>_xlfn.STDEV.S(D30:D36)</f>
        <v>0.40372040306407964</v>
      </c>
      <c r="G30" s="3">
        <v>0.15978994748687164</v>
      </c>
      <c r="H30" s="4">
        <v>0.83610261337825054</v>
      </c>
    </row>
    <row r="31" spans="1:23" x14ac:dyDescent="0.2">
      <c r="A31" s="1" t="s">
        <v>9</v>
      </c>
      <c r="B31" s="1">
        <v>5.7893992079999998E-3</v>
      </c>
      <c r="C31" s="1">
        <v>2.241882259E-3</v>
      </c>
      <c r="D31" s="1">
        <f t="shared" si="2"/>
        <v>2.5823832561940088</v>
      </c>
      <c r="E31" s="1"/>
      <c r="G31" s="3"/>
    </row>
    <row r="32" spans="1:23" x14ac:dyDescent="0.2">
      <c r="A32" s="1" t="s">
        <v>9</v>
      </c>
      <c r="B32" s="1">
        <v>5.5977734860000001E-3</v>
      </c>
      <c r="C32" s="1">
        <v>3.078566542E-3</v>
      </c>
      <c r="D32" s="1">
        <f t="shared" si="2"/>
        <v>1.8183051786054265</v>
      </c>
      <c r="E32" s="1"/>
      <c r="G32" s="3"/>
    </row>
    <row r="33" spans="1:8" x14ac:dyDescent="0.2">
      <c r="A33" s="1" t="s">
        <v>9</v>
      </c>
      <c r="B33" s="1">
        <v>5.5581057409999999E-3</v>
      </c>
      <c r="C33" s="1">
        <v>2.8362881610000004E-3</v>
      </c>
      <c r="D33" s="1">
        <f t="shared" si="2"/>
        <v>1.959640708382874</v>
      </c>
      <c r="E33" s="1"/>
      <c r="G33" s="1"/>
    </row>
    <row r="34" spans="1:8" x14ac:dyDescent="0.2">
      <c r="A34" s="1" t="s">
        <v>9</v>
      </c>
      <c r="B34" s="1">
        <v>6.1293212690000003E-3</v>
      </c>
      <c r="C34" s="1">
        <v>3.4581563480000003E-3</v>
      </c>
      <c r="D34" s="1">
        <f t="shared" si="2"/>
        <v>1.7724245673695027</v>
      </c>
      <c r="E34" s="1"/>
      <c r="G34" s="3"/>
    </row>
    <row r="35" spans="1:8" x14ac:dyDescent="0.2">
      <c r="A35" s="1" t="s">
        <v>9</v>
      </c>
      <c r="B35" s="1">
        <v>5.484872981E-3</v>
      </c>
      <c r="C35" s="1">
        <v>2.6812788190000002E-3</v>
      </c>
      <c r="D35" s="1">
        <f t="shared" si="2"/>
        <v>2.0456182856229841</v>
      </c>
      <c r="E35" s="1"/>
      <c r="G35" s="3"/>
    </row>
    <row r="36" spans="1:8" x14ac:dyDescent="0.2">
      <c r="A36" s="1" t="s">
        <v>9</v>
      </c>
      <c r="B36" s="1">
        <v>6.349629822E-3</v>
      </c>
      <c r="C36" s="1">
        <v>3.2744641750000001E-3</v>
      </c>
      <c r="D36" s="1">
        <f t="shared" si="2"/>
        <v>1.9391355295557631</v>
      </c>
      <c r="E36" s="1"/>
      <c r="G36" s="3"/>
    </row>
    <row r="37" spans="1:8" x14ac:dyDescent="0.2">
      <c r="A37" s="1" t="s">
        <v>2</v>
      </c>
      <c r="B37" s="1"/>
      <c r="C37" s="1"/>
      <c r="D37" s="1"/>
      <c r="E37" s="1"/>
      <c r="G37" s="3"/>
    </row>
    <row r="38" spans="1:8" x14ac:dyDescent="0.2">
      <c r="A38" s="1" t="s">
        <v>11</v>
      </c>
      <c r="B38" s="1">
        <v>5.1882803030000001E-3</v>
      </c>
      <c r="C38" s="1">
        <v>4.6640557960000006E-3</v>
      </c>
      <c r="D38" s="1">
        <f t="shared" si="2"/>
        <v>1.1123967057704554</v>
      </c>
      <c r="E38" s="1">
        <f>AVERAGE(D38:D44)</f>
        <v>1.8091138997405964</v>
      </c>
      <c r="F38" s="2">
        <f>_xlfn.STDEV.S(D38:D44)</f>
        <v>0.64551090245555143</v>
      </c>
      <c r="G38" s="3">
        <v>0.19204244031830223</v>
      </c>
      <c r="H38" s="4">
        <v>0.68051559881047952</v>
      </c>
    </row>
    <row r="39" spans="1:8" x14ac:dyDescent="0.2">
      <c r="A39" s="1" t="s">
        <v>11</v>
      </c>
      <c r="B39" s="1">
        <v>8.4099114699999998E-3</v>
      </c>
      <c r="C39" s="1">
        <v>4.8776513459999997E-3</v>
      </c>
      <c r="D39" s="1">
        <f t="shared" si="2"/>
        <v>1.7241723266868365</v>
      </c>
      <c r="E39" s="1"/>
      <c r="G39" s="3"/>
    </row>
    <row r="40" spans="1:8" x14ac:dyDescent="0.2">
      <c r="A40" s="1" t="s">
        <v>11</v>
      </c>
      <c r="B40" s="1">
        <v>9.9801438989999998E-3</v>
      </c>
      <c r="C40" s="1">
        <v>3.7700058510000004E-3</v>
      </c>
      <c r="D40" s="1">
        <f t="shared" si="2"/>
        <v>2.6472489151051981</v>
      </c>
      <c r="E40" s="1"/>
      <c r="G40" s="1"/>
    </row>
    <row r="41" spans="1:8" x14ac:dyDescent="0.2">
      <c r="A41" s="1" t="s">
        <v>11</v>
      </c>
      <c r="B41" s="1">
        <v>1.0176746210000002E-3</v>
      </c>
      <c r="C41" s="1">
        <v>1.0182848940000003E-3</v>
      </c>
      <c r="D41" s="1">
        <f t="shared" si="2"/>
        <v>0.99940068540386295</v>
      </c>
      <c r="E41" s="1"/>
      <c r="G41" s="3"/>
    </row>
    <row r="42" spans="1:8" x14ac:dyDescent="0.2">
      <c r="A42" s="1" t="s">
        <v>11</v>
      </c>
      <c r="B42" s="1">
        <v>9.7665483490000007E-3</v>
      </c>
      <c r="C42" s="1">
        <v>3.7425435660000004E-3</v>
      </c>
      <c r="D42" s="1">
        <f t="shared" si="2"/>
        <v>2.6096017793156667</v>
      </c>
      <c r="E42" s="1"/>
      <c r="G42" s="3"/>
    </row>
    <row r="43" spans="1:8" x14ac:dyDescent="0.2">
      <c r="A43" s="1" t="s">
        <v>11</v>
      </c>
      <c r="B43" s="1">
        <v>9.7451887939999995E-3</v>
      </c>
      <c r="C43" s="1">
        <v>5.6514775100000008E-3</v>
      </c>
      <c r="D43" s="1">
        <f t="shared" si="2"/>
        <v>1.7243612447818089</v>
      </c>
      <c r="E43" s="1"/>
      <c r="G43" s="3"/>
    </row>
    <row r="44" spans="1:8" x14ac:dyDescent="0.2">
      <c r="A44" s="1" t="s">
        <v>11</v>
      </c>
      <c r="B44" s="1">
        <v>1.0268192755000001E-2</v>
      </c>
      <c r="C44" s="1">
        <v>5.5605468330000001E-3</v>
      </c>
      <c r="D44" s="1">
        <f>B44/C44</f>
        <v>1.8466156411203454</v>
      </c>
      <c r="E44" s="1"/>
      <c r="G44" s="3"/>
    </row>
    <row r="45" spans="1:8" x14ac:dyDescent="0.2">
      <c r="A45" s="1" t="s">
        <v>2</v>
      </c>
      <c r="B45" s="1"/>
      <c r="C45" s="1"/>
      <c r="D45" s="1"/>
      <c r="E45" s="1"/>
      <c r="G45" s="3"/>
    </row>
    <row r="46" spans="1:8" x14ac:dyDescent="0.2">
      <c r="A46" s="1" t="s">
        <v>13</v>
      </c>
      <c r="B46" s="1">
        <v>3.0212008800000003E-3</v>
      </c>
      <c r="C46" s="1">
        <v>2.6532062610000002E-3</v>
      </c>
      <c r="D46" s="1">
        <f>B46/C46</f>
        <v>1.1386980817922923</v>
      </c>
      <c r="E46" s="1">
        <f>AVERAGE(D46:D54)</f>
        <v>1.5266938543150759</v>
      </c>
      <c r="F46" s="2">
        <f>_xlfn.STDEV.S(D46:D54)</f>
        <v>0.34485304246545828</v>
      </c>
      <c r="G46" s="3">
        <v>0.18811394891944982</v>
      </c>
      <c r="H46" s="4">
        <v>0.90551362714545369</v>
      </c>
    </row>
    <row r="47" spans="1:8" x14ac:dyDescent="0.2">
      <c r="A47" s="1" t="s">
        <v>13</v>
      </c>
      <c r="B47" s="1">
        <v>3.9268460120000003E-3</v>
      </c>
      <c r="C47" s="1">
        <v>2.9613941260000004E-3</v>
      </c>
      <c r="D47" s="1">
        <f t="shared" ref="D47:D54" si="3">B47/C47</f>
        <v>1.3260126294989483</v>
      </c>
      <c r="E47" s="1"/>
      <c r="G47" s="1"/>
    </row>
    <row r="48" spans="1:8" x14ac:dyDescent="0.2">
      <c r="A48" s="1" t="s">
        <v>13</v>
      </c>
      <c r="B48" s="1">
        <v>5.2786007069999998E-3</v>
      </c>
      <c r="C48" s="1">
        <v>3.3794311310000004E-3</v>
      </c>
      <c r="D48" s="1">
        <f t="shared" si="3"/>
        <v>1.5619790735128904</v>
      </c>
      <c r="E48" s="1"/>
      <c r="G48" s="3"/>
    </row>
    <row r="49" spans="1:8" x14ac:dyDescent="0.2">
      <c r="A49" s="1" t="s">
        <v>13</v>
      </c>
      <c r="B49" s="1">
        <v>5.9267106329999996E-3</v>
      </c>
      <c r="C49" s="1">
        <v>2.9839742270000003E-3</v>
      </c>
      <c r="D49" s="1">
        <f t="shared" si="3"/>
        <v>1.9861802355305662</v>
      </c>
      <c r="E49" s="1"/>
      <c r="G49" s="3"/>
    </row>
    <row r="50" spans="1:8" x14ac:dyDescent="0.2">
      <c r="A50" s="1" t="s">
        <v>13</v>
      </c>
      <c r="B50" s="1">
        <v>5.6258460440000001E-3</v>
      </c>
      <c r="C50" s="1">
        <v>3.254935439E-3</v>
      </c>
      <c r="D50" s="1">
        <f t="shared" si="3"/>
        <v>1.7284048023171867</v>
      </c>
      <c r="E50" s="1"/>
      <c r="G50" s="3"/>
    </row>
    <row r="51" spans="1:8" x14ac:dyDescent="0.2">
      <c r="A51" s="1" t="s">
        <v>13</v>
      </c>
      <c r="B51" s="1">
        <v>4.5456628339999999E-3</v>
      </c>
      <c r="C51" s="1">
        <v>2.4963661000000003E-3</v>
      </c>
      <c r="D51" s="1">
        <f t="shared" si="3"/>
        <v>1.8209119383571182</v>
      </c>
      <c r="E51" s="1"/>
      <c r="G51" s="3"/>
    </row>
    <row r="52" spans="1:8" x14ac:dyDescent="0.2">
      <c r="A52" s="1" t="s">
        <v>13</v>
      </c>
      <c r="B52" s="1">
        <v>4.844086331E-3</v>
      </c>
      <c r="C52" s="1">
        <v>2.5982816910000003E-3</v>
      </c>
      <c r="D52" s="1">
        <f t="shared" si="3"/>
        <v>1.8643422488712751</v>
      </c>
      <c r="E52" s="1"/>
      <c r="G52" s="3"/>
    </row>
    <row r="53" spans="1:8" x14ac:dyDescent="0.2">
      <c r="A53" s="1" t="s">
        <v>13</v>
      </c>
      <c r="B53" s="1">
        <v>3.6285169200000024E-4</v>
      </c>
      <c r="C53" s="1">
        <v>3.530873240000002E-4</v>
      </c>
      <c r="D53" s="1">
        <f t="shared" si="3"/>
        <v>1.0276542581290742</v>
      </c>
      <c r="E53" s="1"/>
      <c r="G53" s="3"/>
    </row>
    <row r="54" spans="1:8" x14ac:dyDescent="0.2">
      <c r="A54" s="1" t="s">
        <v>13</v>
      </c>
      <c r="B54" s="1">
        <v>4.4748711660000003E-3</v>
      </c>
      <c r="C54" s="1">
        <v>3.4795159030000002E-3</v>
      </c>
      <c r="D54" s="1">
        <f t="shared" si="3"/>
        <v>1.2860614208263328</v>
      </c>
      <c r="E54" s="1"/>
      <c r="G54" s="1"/>
    </row>
    <row r="55" spans="1:8" x14ac:dyDescent="0.2">
      <c r="A55" s="1" t="s">
        <v>2</v>
      </c>
      <c r="B55" s="1"/>
      <c r="C55" s="1"/>
      <c r="D55" s="1"/>
      <c r="E55" s="1"/>
      <c r="G55" s="3"/>
    </row>
    <row r="56" spans="1:8" x14ac:dyDescent="0.2">
      <c r="A56" s="1" t="s">
        <v>15</v>
      </c>
      <c r="B56" s="1">
        <v>6.1274904500000001E-3</v>
      </c>
      <c r="C56" s="1">
        <v>5.0753797979999999E-3</v>
      </c>
      <c r="D56" s="1">
        <f>B56/C56</f>
        <v>1.2072969302542824</v>
      </c>
      <c r="E56" s="1">
        <f>AVERAGE(D56:D61)</f>
        <v>1.2784116668775904</v>
      </c>
      <c r="F56" s="2">
        <f>_xlfn.STDEV.S(D56:D61)</f>
        <v>0.29995705654286631</v>
      </c>
      <c r="G56" s="3">
        <v>0.24606215410813118</v>
      </c>
      <c r="H56" s="4">
        <v>0.88588990763905762</v>
      </c>
    </row>
    <row r="57" spans="1:8" x14ac:dyDescent="0.2">
      <c r="A57" s="1" t="s">
        <v>15</v>
      </c>
      <c r="B57" s="1">
        <v>6.5058597100000008E-3</v>
      </c>
      <c r="C57" s="1">
        <v>5.3524437400000006E-3</v>
      </c>
      <c r="D57" s="1">
        <f t="shared" ref="D57:D61" si="4">B57/C57</f>
        <v>1.2154933383755659</v>
      </c>
      <c r="E57" s="1"/>
      <c r="G57" s="3"/>
    </row>
    <row r="58" spans="1:8" x14ac:dyDescent="0.2">
      <c r="A58" s="1" t="s">
        <v>15</v>
      </c>
      <c r="B58" s="1">
        <v>5.7900094810000007E-3</v>
      </c>
      <c r="C58" s="1">
        <v>4.9472224680000001E-3</v>
      </c>
      <c r="D58" s="1">
        <f t="shared" si="4"/>
        <v>1.1703555921431428</v>
      </c>
      <c r="E58" s="1"/>
      <c r="G58" s="3"/>
    </row>
    <row r="59" spans="1:8" x14ac:dyDescent="0.2">
      <c r="A59" s="1" t="s">
        <v>15</v>
      </c>
      <c r="B59" s="1">
        <v>6.4735152410000003E-3</v>
      </c>
      <c r="C59" s="1">
        <v>3.6027910490000004E-3</v>
      </c>
      <c r="D59" s="1">
        <f t="shared" si="4"/>
        <v>1.796805630123014</v>
      </c>
      <c r="E59" s="1"/>
      <c r="G59" s="3"/>
    </row>
    <row r="60" spans="1:8" x14ac:dyDescent="0.2">
      <c r="A60" s="1" t="s">
        <v>15</v>
      </c>
      <c r="B60" s="1">
        <v>5.7686499259999996E-3</v>
      </c>
      <c r="C60" s="1">
        <v>4.1575292060000001E-3</v>
      </c>
      <c r="D60" s="1">
        <f t="shared" si="4"/>
        <v>1.3875187978655414</v>
      </c>
      <c r="E60" s="1"/>
      <c r="G60" s="3"/>
    </row>
    <row r="61" spans="1:8" x14ac:dyDescent="0.2">
      <c r="A61" s="1" t="s">
        <v>15</v>
      </c>
      <c r="B61" s="1">
        <v>5.1492228309999999E-3</v>
      </c>
      <c r="C61" s="1">
        <v>5.7662088340000002E-3</v>
      </c>
      <c r="D61" s="1">
        <f t="shared" si="4"/>
        <v>0.89299971250399557</v>
      </c>
      <c r="E61" s="1"/>
      <c r="G61" s="1"/>
    </row>
    <row r="62" spans="1:8" x14ac:dyDescent="0.2">
      <c r="A62" s="1" t="s">
        <v>2</v>
      </c>
      <c r="B62" s="1"/>
      <c r="C62" s="1"/>
      <c r="D62" s="1"/>
      <c r="E62" s="1"/>
      <c r="G62" s="3"/>
    </row>
    <row r="63" spans="1:8" x14ac:dyDescent="0.2">
      <c r="A63" s="1" t="s">
        <v>17</v>
      </c>
      <c r="B63" s="1">
        <v>4.5755662110000001E-3</v>
      </c>
      <c r="C63" s="1">
        <v>3.4184886030000001E-3</v>
      </c>
      <c r="D63" s="1">
        <f>B63/C63</f>
        <v>1.3384763684701393</v>
      </c>
      <c r="E63" s="1">
        <f>AVERAGE(D63:D70)</f>
        <v>1.4833755321512192</v>
      </c>
      <c r="F63" s="2">
        <f>_xlfn.STDEV.S(D63:D70)</f>
        <v>0.17320195405477049</v>
      </c>
      <c r="G63" s="3">
        <v>0.22389937106918242</v>
      </c>
      <c r="H63" s="4">
        <v>0.84367532187400063</v>
      </c>
    </row>
    <row r="64" spans="1:8" x14ac:dyDescent="0.2">
      <c r="A64" s="1" t="s">
        <v>17</v>
      </c>
      <c r="B64" s="1">
        <v>6.2532066879999997E-3</v>
      </c>
      <c r="C64" s="1">
        <v>3.9616315730000001E-3</v>
      </c>
      <c r="D64" s="1">
        <f t="shared" ref="D64:D70" si="5">B64/C64</f>
        <v>1.5784422586436206</v>
      </c>
      <c r="E64" s="1"/>
      <c r="G64" s="3"/>
    </row>
    <row r="65" spans="1:8" x14ac:dyDescent="0.2">
      <c r="A65" s="1" t="s">
        <v>17</v>
      </c>
      <c r="B65" s="1">
        <v>4.8605637019999998E-3</v>
      </c>
      <c r="C65" s="1">
        <v>3.812114688E-3</v>
      </c>
      <c r="D65" s="1">
        <f t="shared" si="5"/>
        <v>1.2750308161767456</v>
      </c>
      <c r="E65" s="1"/>
      <c r="G65" s="3"/>
    </row>
    <row r="66" spans="1:8" x14ac:dyDescent="0.2">
      <c r="A66" s="1" t="s">
        <v>17</v>
      </c>
      <c r="B66" s="1">
        <v>5.3719724760000007E-3</v>
      </c>
      <c r="C66" s="1">
        <v>4.1642422089999999E-3</v>
      </c>
      <c r="D66" s="1">
        <f t="shared" si="5"/>
        <v>1.2900240203102944</v>
      </c>
      <c r="E66" s="1"/>
      <c r="G66" s="3"/>
    </row>
    <row r="67" spans="1:8" x14ac:dyDescent="0.2">
      <c r="A67" s="1" t="s">
        <v>17</v>
      </c>
      <c r="B67" s="1">
        <v>6.1195569010000003E-3</v>
      </c>
      <c r="C67" s="1">
        <v>4.0879580840000006E-3</v>
      </c>
      <c r="D67" s="1">
        <f t="shared" si="5"/>
        <v>1.4969715381749005</v>
      </c>
      <c r="E67" s="1"/>
      <c r="G67" s="3"/>
    </row>
    <row r="68" spans="1:8" x14ac:dyDescent="0.2">
      <c r="A68" s="1" t="s">
        <v>17</v>
      </c>
      <c r="B68" s="1">
        <v>5.5532235570000003E-3</v>
      </c>
      <c r="C68" s="1">
        <v>3.7608517560000004E-3</v>
      </c>
      <c r="D68" s="1">
        <f t="shared" si="5"/>
        <v>1.4765866663423997</v>
      </c>
      <c r="E68" s="1"/>
      <c r="G68" s="1"/>
    </row>
    <row r="69" spans="1:8" x14ac:dyDescent="0.2">
      <c r="A69" s="1" t="s">
        <v>17</v>
      </c>
      <c r="B69" s="1">
        <v>5.3982142150000006E-3</v>
      </c>
      <c r="C69" s="1">
        <v>3.1737691300000002E-3</v>
      </c>
      <c r="D69" s="1">
        <f t="shared" si="5"/>
        <v>1.7008843409476353</v>
      </c>
      <c r="E69" s="1"/>
      <c r="G69" s="3"/>
    </row>
    <row r="70" spans="1:8" x14ac:dyDescent="0.2">
      <c r="A70" s="1" t="s">
        <v>17</v>
      </c>
      <c r="B70" s="1">
        <v>6.0042153040000008E-3</v>
      </c>
      <c r="C70" s="1">
        <v>3.5100295530000004E-3</v>
      </c>
      <c r="D70" s="1">
        <f t="shared" si="5"/>
        <v>1.7105882481440178</v>
      </c>
      <c r="E70" s="1"/>
      <c r="G70" s="3"/>
    </row>
    <row r="71" spans="1:8" x14ac:dyDescent="0.2">
      <c r="A71" s="1" t="s">
        <v>2</v>
      </c>
      <c r="B71" s="1"/>
      <c r="C71" s="1"/>
      <c r="D71" s="1"/>
      <c r="E71" s="1"/>
      <c r="G71" s="3"/>
    </row>
    <row r="72" spans="1:8" x14ac:dyDescent="0.2">
      <c r="A72" s="1" t="s">
        <v>19</v>
      </c>
      <c r="B72" s="1">
        <v>5.457410696E-3</v>
      </c>
      <c r="C72" s="1">
        <v>3.1884156820000003E-3</v>
      </c>
      <c r="D72" s="1">
        <f t="shared" ref="D72:D125" si="6">B72/C72</f>
        <v>1.7116371390372553</v>
      </c>
      <c r="E72" s="1">
        <f>AVERAGE(D72:D77)</f>
        <v>1.6793019475901829</v>
      </c>
      <c r="F72" s="2">
        <f>_xlfn.STDEV.S(D72:D77)</f>
        <v>0.3621326165831209</v>
      </c>
      <c r="G72" s="3">
        <v>0.29512735326688799</v>
      </c>
      <c r="H72" s="4">
        <v>0.84000708917054345</v>
      </c>
    </row>
    <row r="73" spans="1:8" x14ac:dyDescent="0.2">
      <c r="A73" s="1" t="s">
        <v>19</v>
      </c>
      <c r="B73" s="1">
        <v>4.0177766890000001E-3</v>
      </c>
      <c r="C73" s="1">
        <v>2.8210313360000003E-3</v>
      </c>
      <c r="D73" s="1">
        <f t="shared" si="6"/>
        <v>1.4242226372064659</v>
      </c>
      <c r="E73" s="1"/>
      <c r="G73" s="3"/>
    </row>
    <row r="74" spans="1:8" x14ac:dyDescent="0.2">
      <c r="A74" s="1" t="s">
        <v>19</v>
      </c>
      <c r="B74" s="1">
        <v>6.2355087710000007E-3</v>
      </c>
      <c r="C74" s="1">
        <v>2.8167594250000003E-3</v>
      </c>
      <c r="D74" s="1">
        <f t="shared" si="6"/>
        <v>2.2137171941831704</v>
      </c>
      <c r="E74" s="1"/>
      <c r="G74" s="3"/>
    </row>
    <row r="75" spans="1:8" x14ac:dyDescent="0.2">
      <c r="A75" s="1" t="s">
        <v>19</v>
      </c>
      <c r="B75" s="1">
        <v>6.1323726340000006E-3</v>
      </c>
      <c r="C75" s="1">
        <v>3.6772443550000004E-3</v>
      </c>
      <c r="D75" s="1">
        <f t="shared" si="6"/>
        <v>1.6676543743038801</v>
      </c>
      <c r="E75" s="1"/>
      <c r="G75" s="1"/>
    </row>
    <row r="76" spans="1:8" x14ac:dyDescent="0.2">
      <c r="A76" s="1" t="s">
        <v>19</v>
      </c>
      <c r="B76" s="1">
        <v>4.7446118320000003E-3</v>
      </c>
      <c r="C76" s="1">
        <v>4.0568341610000003E-3</v>
      </c>
      <c r="D76" s="1">
        <f t="shared" si="6"/>
        <v>1.1695355648529799</v>
      </c>
      <c r="E76" s="1"/>
      <c r="G76" s="3"/>
    </row>
    <row r="77" spans="1:8" x14ac:dyDescent="0.2">
      <c r="A77" s="1" t="s">
        <v>19</v>
      </c>
      <c r="B77" s="1">
        <v>5.2737185230000002E-3</v>
      </c>
      <c r="C77" s="1">
        <v>2.7917382320000001E-3</v>
      </c>
      <c r="D77" s="1">
        <f t="shared" si="6"/>
        <v>1.889044775957347</v>
      </c>
      <c r="E77" s="1"/>
      <c r="G77" s="3"/>
    </row>
    <row r="78" spans="1:8" x14ac:dyDescent="0.2">
      <c r="A78" s="1" t="s">
        <v>2</v>
      </c>
      <c r="B78" s="1"/>
      <c r="C78" s="1"/>
      <c r="D78" s="1"/>
      <c r="E78" s="1"/>
      <c r="G78" s="3"/>
    </row>
    <row r="79" spans="1:8" x14ac:dyDescent="0.2">
      <c r="A79" s="1" t="s">
        <v>21</v>
      </c>
      <c r="B79" s="1">
        <v>3.273853902E-3</v>
      </c>
      <c r="C79" s="1">
        <v>3.0340166130000002E-3</v>
      </c>
      <c r="D79" s="1">
        <f t="shared" si="6"/>
        <v>1.0790494316914276</v>
      </c>
      <c r="E79" s="1">
        <f>AVERAGE(D79:D81)</f>
        <v>1.7188947936892134</v>
      </c>
      <c r="F79" s="2">
        <f>_xlfn.STDEV.S(D79:D81)</f>
        <v>0.63672225376598446</v>
      </c>
      <c r="G79" s="3">
        <v>0.11079723791588189</v>
      </c>
      <c r="H79" s="4">
        <v>0.42159234574390719</v>
      </c>
    </row>
    <row r="80" spans="1:8" x14ac:dyDescent="0.2">
      <c r="A80" s="1" t="s">
        <v>21</v>
      </c>
      <c r="B80" s="1">
        <v>6.0859918859999997E-3</v>
      </c>
      <c r="C80" s="1">
        <v>3.5277274700000003E-3</v>
      </c>
      <c r="D80" s="1">
        <f t="shared" si="6"/>
        <v>1.7251876562902404</v>
      </c>
      <c r="E80" s="1"/>
      <c r="G80" s="3"/>
    </row>
    <row r="81" spans="1:8" x14ac:dyDescent="0.2">
      <c r="A81" s="1" t="s">
        <v>21</v>
      </c>
      <c r="B81" s="1">
        <v>6.5272192650000001E-3</v>
      </c>
      <c r="C81" s="1">
        <v>2.7746505880000003E-3</v>
      </c>
      <c r="D81" s="1">
        <f t="shared" si="6"/>
        <v>2.3524472930859717</v>
      </c>
      <c r="E81" s="1"/>
      <c r="G81" s="3"/>
    </row>
    <row r="82" spans="1:8" x14ac:dyDescent="0.2">
      <c r="A82" s="1" t="s">
        <v>2</v>
      </c>
      <c r="B82" s="1"/>
      <c r="C82" s="1"/>
      <c r="D82" s="1"/>
      <c r="E82" s="1"/>
      <c r="G82" s="1"/>
    </row>
    <row r="83" spans="1:8" x14ac:dyDescent="0.2">
      <c r="A83" s="1" t="s">
        <v>23</v>
      </c>
      <c r="B83" s="1">
        <v>5.8778887930000003E-3</v>
      </c>
      <c r="C83" s="1">
        <v>3.2476121630000002E-3</v>
      </c>
      <c r="D83" s="1">
        <f t="shared" si="6"/>
        <v>1.8099109431744052</v>
      </c>
      <c r="E83" s="1">
        <f>AVERAGE(D83:D86)</f>
        <v>2.3269680041351388</v>
      </c>
      <c r="F83" s="2">
        <f>_xlfn.STDEV.S(D83:D86)</f>
        <v>0.40822547091319894</v>
      </c>
      <c r="G83" s="3">
        <v>0.11079723791588189</v>
      </c>
      <c r="H83" s="4">
        <v>0.42159234574390719</v>
      </c>
    </row>
    <row r="84" spans="1:8" x14ac:dyDescent="0.2">
      <c r="A84" s="1" t="s">
        <v>23</v>
      </c>
      <c r="B84" s="1">
        <v>6.7017573430000008E-3</v>
      </c>
      <c r="C84" s="1">
        <v>2.4505956250000004E-3</v>
      </c>
      <c r="D84" s="1">
        <f t="shared" si="6"/>
        <v>2.7347463100934899</v>
      </c>
      <c r="E84" s="1"/>
      <c r="G84" s="3"/>
    </row>
    <row r="85" spans="1:8" x14ac:dyDescent="0.2">
      <c r="A85" s="1" t="s">
        <v>23</v>
      </c>
      <c r="B85" s="1">
        <v>6.8335763110000001E-3</v>
      </c>
      <c r="C85" s="1">
        <v>3.0950439130000003E-3</v>
      </c>
      <c r="D85" s="1">
        <f t="shared" si="6"/>
        <v>2.2079093231269447</v>
      </c>
      <c r="E85" s="1"/>
      <c r="G85" s="3"/>
    </row>
    <row r="86" spans="1:8" x14ac:dyDescent="0.2">
      <c r="A86" s="1" t="s">
        <v>23</v>
      </c>
      <c r="B86" s="1">
        <v>6.9403740859999997E-3</v>
      </c>
      <c r="C86" s="1">
        <v>2.71606438E-3</v>
      </c>
      <c r="D86" s="1">
        <f t="shared" si="6"/>
        <v>2.5553054401457156</v>
      </c>
      <c r="E86" s="1"/>
      <c r="G86" s="3"/>
    </row>
    <row r="87" spans="1:8" x14ac:dyDescent="0.2">
      <c r="A87" s="1" t="s">
        <v>2</v>
      </c>
      <c r="B87" s="1"/>
      <c r="C87" s="1"/>
      <c r="D87" s="1"/>
      <c r="E87" s="1"/>
      <c r="G87" s="3"/>
    </row>
    <row r="88" spans="1:8" x14ac:dyDescent="0.2">
      <c r="A88" s="1" t="s">
        <v>25</v>
      </c>
      <c r="B88" s="1">
        <v>5.1260324570000003E-3</v>
      </c>
      <c r="C88" s="1">
        <v>2.9845845000000004E-3</v>
      </c>
      <c r="D88" s="1">
        <f>B88/C88</f>
        <v>1.7175028741856697</v>
      </c>
      <c r="E88" s="1">
        <f>AVERAGE(D88:D92)</f>
        <v>1.8284322149027488</v>
      </c>
      <c r="F88" s="2">
        <f>_xlfn.STDEV.S(D88:D92)</f>
        <v>0.2438216365922552</v>
      </c>
      <c r="G88" s="3">
        <v>0.11079723791588189</v>
      </c>
      <c r="H88" s="4">
        <v>0.42159234574390719</v>
      </c>
    </row>
    <row r="89" spans="1:8" x14ac:dyDescent="0.2">
      <c r="A89" s="1" t="s">
        <v>25</v>
      </c>
      <c r="B89" s="1">
        <v>4.6475784249999999E-3</v>
      </c>
      <c r="C89" s="1">
        <v>2.9937385950000004E-3</v>
      </c>
      <c r="D89" s="1">
        <f t="shared" si="6"/>
        <v>1.5524329454689745</v>
      </c>
      <c r="E89" s="1"/>
      <c r="G89" s="3"/>
    </row>
    <row r="90" spans="1:8" x14ac:dyDescent="0.2">
      <c r="A90" s="1" t="s">
        <v>25</v>
      </c>
      <c r="B90" s="1">
        <v>6.145188367E-3</v>
      </c>
      <c r="C90" s="1">
        <v>2.846052529E-3</v>
      </c>
      <c r="D90" s="1">
        <f t="shared" si="6"/>
        <v>2.1591970999773489</v>
      </c>
      <c r="E90" s="1"/>
      <c r="G90" s="3"/>
    </row>
    <row r="91" spans="1:8" x14ac:dyDescent="0.2">
      <c r="A91" s="1" t="s">
        <v>25</v>
      </c>
      <c r="B91" s="1">
        <v>4.7922131260000004E-3</v>
      </c>
      <c r="C91" s="1">
        <v>2.7892971400000004E-3</v>
      </c>
      <c r="D91" s="1">
        <f t="shared" si="6"/>
        <v>1.7180719319132847</v>
      </c>
      <c r="E91" s="1"/>
      <c r="G91" s="3"/>
    </row>
    <row r="92" spans="1:8" x14ac:dyDescent="0.2">
      <c r="A92" s="1" t="s">
        <v>25</v>
      </c>
      <c r="B92" s="1">
        <v>4.7244728230000001E-3</v>
      </c>
      <c r="C92" s="1">
        <v>2.3682087700000001E-3</v>
      </c>
      <c r="D92" s="1">
        <f t="shared" si="6"/>
        <v>1.9949562229684674</v>
      </c>
      <c r="E92" s="1"/>
      <c r="G92" s="3"/>
    </row>
    <row r="93" spans="1:8" x14ac:dyDescent="0.2">
      <c r="A93" s="1" t="s">
        <v>2</v>
      </c>
      <c r="B93" s="1"/>
      <c r="C93" s="1"/>
      <c r="D93" s="1"/>
      <c r="E93" s="1"/>
      <c r="G93" s="3"/>
    </row>
    <row r="94" spans="1:8" x14ac:dyDescent="0.2">
      <c r="A94" s="1" t="s">
        <v>27</v>
      </c>
      <c r="B94" s="1">
        <v>4.3125385480000007E-3</v>
      </c>
      <c r="C94" s="1">
        <v>3.2116060560000003E-3</v>
      </c>
      <c r="D94" s="1">
        <f>B94/C94</f>
        <v>1.3427981118491203</v>
      </c>
      <c r="E94" s="1">
        <f>AVERAGE(D94:D97)</f>
        <v>1.635025264613297</v>
      </c>
      <c r="F94" s="2">
        <f>_xlfn.STDEV.S(D94:D97)</f>
        <v>0.26096432424004867</v>
      </c>
      <c r="G94" s="3">
        <v>0.16014588859416429</v>
      </c>
      <c r="H94" s="4">
        <v>0.70349181350424639</v>
      </c>
    </row>
    <row r="95" spans="1:8" x14ac:dyDescent="0.2">
      <c r="A95" s="1" t="s">
        <v>27</v>
      </c>
      <c r="B95" s="1">
        <v>4.5908230360000007E-3</v>
      </c>
      <c r="C95" s="1">
        <v>2.9491886660000001E-3</v>
      </c>
      <c r="D95" s="1">
        <f t="shared" si="6"/>
        <v>1.5566393187813778</v>
      </c>
      <c r="E95" s="1"/>
      <c r="G95" s="3"/>
    </row>
    <row r="96" spans="1:8" x14ac:dyDescent="0.2">
      <c r="A96" s="1" t="s">
        <v>27</v>
      </c>
      <c r="B96" s="1">
        <v>6.2233033110000004E-3</v>
      </c>
      <c r="C96" s="1">
        <v>3.1609533970000003E-3</v>
      </c>
      <c r="D96" s="1">
        <f t="shared" si="6"/>
        <v>1.9688057776829033</v>
      </c>
      <c r="E96" s="1"/>
      <c r="G96" s="3"/>
    </row>
    <row r="97" spans="1:8" x14ac:dyDescent="0.2">
      <c r="A97" s="1" t="s">
        <v>27</v>
      </c>
      <c r="B97" s="1">
        <v>5.2316096859999998E-3</v>
      </c>
      <c r="C97" s="1">
        <v>3.1292192010000004E-3</v>
      </c>
      <c r="D97" s="1">
        <f t="shared" si="6"/>
        <v>1.6718578501397861</v>
      </c>
      <c r="E97" s="1"/>
      <c r="G97" s="3"/>
    </row>
    <row r="98" spans="1:8" x14ac:dyDescent="0.2">
      <c r="A98" s="1" t="s">
        <v>2</v>
      </c>
      <c r="B98" s="1"/>
      <c r="C98" s="1"/>
      <c r="D98" s="1"/>
      <c r="E98" s="1"/>
      <c r="G98" s="3"/>
    </row>
    <row r="99" spans="1:8" x14ac:dyDescent="0.2">
      <c r="A99" s="1" t="s">
        <v>29</v>
      </c>
      <c r="B99" s="1">
        <v>5.8656833330000008E-3</v>
      </c>
      <c r="C99" s="1">
        <v>2.614148789E-3</v>
      </c>
      <c r="D99" s="1">
        <f t="shared" si="6"/>
        <v>2.2438215290889478</v>
      </c>
      <c r="E99" s="1">
        <f>AVERAGE(D99:D104)</f>
        <v>2.1602537812226381</v>
      </c>
      <c r="F99" s="2">
        <f>_xlfn.STDEV.S(D99:D104)</f>
        <v>0.27485995097142246</v>
      </c>
      <c r="G99" s="3">
        <v>0.16014588859416429</v>
      </c>
      <c r="H99" s="4">
        <v>0.70349181350424639</v>
      </c>
    </row>
    <row r="100" spans="1:8" x14ac:dyDescent="0.2">
      <c r="A100" s="1" t="s">
        <v>29</v>
      </c>
      <c r="B100" s="1">
        <v>6.451545413E-3</v>
      </c>
      <c r="C100" s="1">
        <v>3.3916365910000002E-3</v>
      </c>
      <c r="D100" s="1">
        <f t="shared" si="6"/>
        <v>1.902192419470804</v>
      </c>
      <c r="E100" s="1"/>
      <c r="G100" s="3"/>
    </row>
    <row r="101" spans="1:8" x14ac:dyDescent="0.2">
      <c r="A101" s="1" t="s">
        <v>29</v>
      </c>
      <c r="B101" s="1">
        <v>6.5162343510000009E-3</v>
      </c>
      <c r="C101" s="1">
        <v>3.7419332930000004E-3</v>
      </c>
      <c r="D101" s="1">
        <f t="shared" si="6"/>
        <v>1.7414084754503401</v>
      </c>
      <c r="E101" s="1"/>
      <c r="G101" s="1"/>
    </row>
    <row r="102" spans="1:8" x14ac:dyDescent="0.2">
      <c r="A102" s="1" t="s">
        <v>29</v>
      </c>
      <c r="B102" s="1">
        <v>5.9639372860000005E-3</v>
      </c>
      <c r="C102" s="1">
        <v>2.6007227830000001E-3</v>
      </c>
      <c r="D102" s="1">
        <f t="shared" si="6"/>
        <v>2.2931845427679325</v>
      </c>
      <c r="E102" s="1"/>
      <c r="G102" s="3"/>
    </row>
    <row r="103" spans="1:8" x14ac:dyDescent="0.2">
      <c r="A103" s="1" t="s">
        <v>29</v>
      </c>
      <c r="B103" s="1">
        <v>6.1244390850000007E-3</v>
      </c>
      <c r="C103" s="1">
        <v>2.5091818330000002E-3</v>
      </c>
      <c r="D103" s="1">
        <f t="shared" si="6"/>
        <v>2.4408111857232631</v>
      </c>
      <c r="E103" s="1"/>
      <c r="G103" s="3"/>
    </row>
    <row r="104" spans="1:8" x14ac:dyDescent="0.2">
      <c r="A104" s="1" t="s">
        <v>29</v>
      </c>
      <c r="B104" s="1">
        <v>6.7286093549999999E-3</v>
      </c>
      <c r="C104" s="1">
        <v>2.8753456330000001E-3</v>
      </c>
      <c r="D104" s="1">
        <f t="shared" si="6"/>
        <v>2.3401045348345431</v>
      </c>
      <c r="E104" s="1"/>
      <c r="G104" s="3"/>
    </row>
    <row r="105" spans="1:8" x14ac:dyDescent="0.2">
      <c r="A105" s="1" t="s">
        <v>2</v>
      </c>
      <c r="B105" s="1"/>
      <c r="C105" s="1"/>
      <c r="D105" s="1"/>
      <c r="E105" s="1"/>
      <c r="G105" s="3"/>
    </row>
    <row r="106" spans="1:8" x14ac:dyDescent="0.2">
      <c r="A106" s="1" t="s">
        <v>31</v>
      </c>
      <c r="B106" s="1">
        <v>4.4394753320000004E-3</v>
      </c>
      <c r="C106" s="1">
        <v>2.4640216310000003E-3</v>
      </c>
      <c r="D106" s="1">
        <f t="shared" si="6"/>
        <v>1.8017193015461803</v>
      </c>
      <c r="E106" s="1">
        <f>AVERAGE(D106:D113)</f>
        <v>1.9433348426031221</v>
      </c>
      <c r="F106" s="2">
        <f>_xlfn.STDEV.S(D106:D113)</f>
        <v>0.29766694639925895</v>
      </c>
      <c r="G106" s="3">
        <v>0.18882395909422914</v>
      </c>
      <c r="H106" s="4">
        <v>0.84475946587239459</v>
      </c>
    </row>
    <row r="107" spans="1:8" x14ac:dyDescent="0.2">
      <c r="A107" s="1" t="s">
        <v>31</v>
      </c>
      <c r="B107" s="1">
        <v>5.0997907180000005E-3</v>
      </c>
      <c r="C107" s="1">
        <v>2.7746505880000003E-3</v>
      </c>
      <c r="D107" s="1">
        <f t="shared" si="6"/>
        <v>1.8379938504891125</v>
      </c>
      <c r="E107" s="1"/>
      <c r="G107" s="3"/>
    </row>
    <row r="108" spans="1:8" x14ac:dyDescent="0.2">
      <c r="A108" s="1" t="s">
        <v>31</v>
      </c>
      <c r="B108" s="1">
        <v>5.6545288750000002E-3</v>
      </c>
      <c r="C108" s="1">
        <v>2.7270492940000002E-3</v>
      </c>
      <c r="D108" s="1">
        <f t="shared" si="6"/>
        <v>2.0734971265246225</v>
      </c>
      <c r="E108" s="1"/>
      <c r="G108" s="1"/>
    </row>
    <row r="109" spans="1:8" x14ac:dyDescent="0.2">
      <c r="A109" s="1" t="s">
        <v>31</v>
      </c>
      <c r="B109" s="1">
        <v>6.4198112170000005E-3</v>
      </c>
      <c r="C109" s="1">
        <v>3.5081987340000002E-3</v>
      </c>
      <c r="D109" s="1">
        <f t="shared" si="6"/>
        <v>1.8299451381650262</v>
      </c>
      <c r="E109" s="1"/>
      <c r="G109" s="3"/>
    </row>
    <row r="110" spans="1:8" x14ac:dyDescent="0.2">
      <c r="A110" s="1" t="s">
        <v>31</v>
      </c>
      <c r="B110" s="1">
        <v>6.8396790409999998E-3</v>
      </c>
      <c r="C110" s="1">
        <v>3.8945015430000003E-3</v>
      </c>
      <c r="D110" s="1">
        <f t="shared" si="6"/>
        <v>1.7562399104177218</v>
      </c>
      <c r="E110" s="1"/>
      <c r="G110" s="3"/>
    </row>
    <row r="111" spans="1:8" x14ac:dyDescent="0.2">
      <c r="A111" s="1" t="s">
        <v>31</v>
      </c>
      <c r="B111" s="1">
        <v>7.5097587949999999E-3</v>
      </c>
      <c r="C111" s="1">
        <v>2.9827536810000002E-3</v>
      </c>
      <c r="D111" s="1">
        <f t="shared" si="6"/>
        <v>2.5177267713511875</v>
      </c>
      <c r="E111" s="1"/>
      <c r="G111" s="3"/>
    </row>
    <row r="112" spans="1:8" x14ac:dyDescent="0.2">
      <c r="A112" s="1" t="s">
        <v>31</v>
      </c>
      <c r="B112" s="1">
        <v>6.405164665E-3</v>
      </c>
      <c r="C112" s="1">
        <v>4.0977224519999998E-3</v>
      </c>
      <c r="D112" s="1">
        <f t="shared" si="6"/>
        <v>1.5631035874266674</v>
      </c>
      <c r="E112" s="1"/>
      <c r="G112" s="3"/>
    </row>
    <row r="113" spans="1:8" x14ac:dyDescent="0.2">
      <c r="A113" s="1" t="s">
        <v>31</v>
      </c>
      <c r="B113" s="1">
        <v>6.1988923910000007E-3</v>
      </c>
      <c r="C113" s="1">
        <v>2.8613093540000001E-3</v>
      </c>
      <c r="D113" s="1">
        <f t="shared" si="6"/>
        <v>2.1664530549044576</v>
      </c>
      <c r="E113" s="1"/>
      <c r="G113" s="3"/>
    </row>
    <row r="114" spans="1:8" x14ac:dyDescent="0.2">
      <c r="A114" s="1" t="s">
        <v>2</v>
      </c>
      <c r="B114" s="1"/>
      <c r="C114" s="1"/>
      <c r="D114" s="1"/>
      <c r="E114" s="1"/>
      <c r="G114" s="3"/>
    </row>
    <row r="115" spans="1:8" x14ac:dyDescent="0.2">
      <c r="A115" s="1" t="s">
        <v>33</v>
      </c>
      <c r="B115" s="1">
        <v>3.6668697140000003E-3</v>
      </c>
      <c r="C115" s="1">
        <v>3.5588513930000002E-3</v>
      </c>
      <c r="D115" s="1">
        <f t="shared" si="6"/>
        <v>1.0303520178483609</v>
      </c>
      <c r="E115" s="1">
        <f>AVERAGE(D115:D125)</f>
        <v>1.2852617466684764</v>
      </c>
      <c r="F115" s="2">
        <f>_xlfn.STDEV.S(D115:D125)</f>
        <v>0.24718237521179826</v>
      </c>
      <c r="G115" s="3">
        <v>0.24161849710982658</v>
      </c>
      <c r="H115" s="4">
        <v>0.85638781398421826</v>
      </c>
    </row>
    <row r="116" spans="1:8" x14ac:dyDescent="0.2">
      <c r="A116" s="1" t="s">
        <v>33</v>
      </c>
      <c r="B116" s="1">
        <v>3.7736674890000003E-3</v>
      </c>
      <c r="C116" s="1">
        <v>3.8554440710000001E-3</v>
      </c>
      <c r="D116" s="1">
        <f t="shared" si="6"/>
        <v>0.97878932219115578</v>
      </c>
      <c r="E116" s="1"/>
      <c r="G116" s="3"/>
    </row>
    <row r="117" spans="1:8" x14ac:dyDescent="0.2">
      <c r="A117" s="1" t="s">
        <v>33</v>
      </c>
      <c r="B117" s="1">
        <v>4.1776682150000003E-3</v>
      </c>
      <c r="C117" s="1">
        <v>4.1404415620000003E-3</v>
      </c>
      <c r="D117" s="1">
        <f t="shared" si="6"/>
        <v>1.0089909862130786</v>
      </c>
      <c r="E117" s="1"/>
      <c r="G117" s="3"/>
    </row>
    <row r="118" spans="1:8" x14ac:dyDescent="0.2">
      <c r="A118" s="1" t="s">
        <v>33</v>
      </c>
      <c r="B118" s="1">
        <v>4.5249135519999997E-3</v>
      </c>
      <c r="C118" s="1">
        <v>3.8713111690000003E-3</v>
      </c>
      <c r="D118" s="1">
        <f t="shared" si="6"/>
        <v>1.1688323036995323</v>
      </c>
      <c r="E118" s="1"/>
      <c r="G118" s="3"/>
    </row>
    <row r="119" spans="1:8" x14ac:dyDescent="0.2">
      <c r="A119" s="1" t="s">
        <v>33</v>
      </c>
      <c r="B119" s="1">
        <v>4.462665706E-3</v>
      </c>
      <c r="C119" s="1">
        <v>3.1371527500000003E-3</v>
      </c>
      <c r="D119" s="1">
        <f t="shared" si="6"/>
        <v>1.4225210124052772</v>
      </c>
      <c r="E119" s="1"/>
      <c r="G119" s="3"/>
    </row>
    <row r="120" spans="1:8" x14ac:dyDescent="0.2">
      <c r="A120" s="1" t="s">
        <v>33</v>
      </c>
      <c r="B120" s="1">
        <v>4.7250830960000002E-3</v>
      </c>
      <c r="C120" s="1">
        <v>3.0590378060000004E-3</v>
      </c>
      <c r="D120" s="1">
        <f t="shared" si="6"/>
        <v>1.5446305000651566</v>
      </c>
      <c r="E120" s="1"/>
      <c r="G120" s="1"/>
    </row>
    <row r="121" spans="1:8" x14ac:dyDescent="0.2">
      <c r="A121" s="1" t="s">
        <v>33</v>
      </c>
      <c r="B121" s="1">
        <v>4.9722436610000007E-3</v>
      </c>
      <c r="C121" s="1">
        <v>2.9247777460000004E-3</v>
      </c>
      <c r="D121" s="1">
        <f t="shared" si="6"/>
        <v>1.7000415391563226</v>
      </c>
      <c r="E121" s="1"/>
      <c r="G121" s="3"/>
    </row>
    <row r="122" spans="1:8" x14ac:dyDescent="0.2">
      <c r="A122" s="1" t="s">
        <v>33</v>
      </c>
      <c r="B122" s="1">
        <v>4.5432217419999997E-3</v>
      </c>
      <c r="C122" s="1">
        <v>2.9443064820000001E-3</v>
      </c>
      <c r="D122" s="1">
        <f t="shared" si="6"/>
        <v>1.543053269004079</v>
      </c>
      <c r="E122" s="1"/>
      <c r="G122" s="3"/>
    </row>
    <row r="123" spans="1:8" x14ac:dyDescent="0.2">
      <c r="A123" s="1" t="s">
        <v>33</v>
      </c>
      <c r="B123" s="1">
        <v>4.4577835220000004E-3</v>
      </c>
      <c r="C123" s="1">
        <v>3.8926707240000001E-3</v>
      </c>
      <c r="D123" s="1">
        <f t="shared" si="6"/>
        <v>1.1451735422972806</v>
      </c>
      <c r="E123" s="1"/>
      <c r="G123" s="3"/>
    </row>
    <row r="124" spans="1:8" x14ac:dyDescent="0.2">
      <c r="A124" s="1" t="s">
        <v>33</v>
      </c>
      <c r="B124" s="1">
        <v>4.6756509829999999E-3</v>
      </c>
      <c r="C124" s="1">
        <v>3.8841269020000002E-3</v>
      </c>
      <c r="D124" s="1">
        <f t="shared" si="6"/>
        <v>1.203784299784961</v>
      </c>
      <c r="E124" s="1"/>
      <c r="G124" s="3"/>
    </row>
    <row r="125" spans="1:8" x14ac:dyDescent="0.2">
      <c r="A125" s="1" t="s">
        <v>33</v>
      </c>
      <c r="B125" s="1">
        <v>5.3512231940000005E-3</v>
      </c>
      <c r="C125" s="1">
        <v>3.8450694300000005E-3</v>
      </c>
      <c r="D125" s="1">
        <f t="shared" si="6"/>
        <v>1.3917104206880342</v>
      </c>
      <c r="E125" s="1"/>
      <c r="G125" s="3"/>
    </row>
    <row r="126" spans="1:8" x14ac:dyDescent="0.2">
      <c r="A126" s="1" t="s">
        <v>2</v>
      </c>
      <c r="B126" s="1"/>
      <c r="C126" s="1"/>
      <c r="D126" s="1"/>
      <c r="E126" s="1"/>
      <c r="G126" s="3"/>
    </row>
    <row r="127" spans="1:8" x14ac:dyDescent="0.2">
      <c r="A127" s="1" t="s">
        <v>35</v>
      </c>
      <c r="B127" s="1">
        <v>4.4760917120000004E-3</v>
      </c>
      <c r="C127" s="1">
        <v>4.2899584470000003E-3</v>
      </c>
      <c r="D127" s="1">
        <f>B127/C127</f>
        <v>1.0433881277172194</v>
      </c>
      <c r="E127" s="1">
        <f>AVERAGE(D127:D136)</f>
        <v>1.1280161055289839</v>
      </c>
      <c r="F127" s="2">
        <f>_xlfn.STDEV.S(D127:D136)</f>
        <v>0.22119681266060812</v>
      </c>
      <c r="G127" s="3">
        <v>0.24161849710982658</v>
      </c>
      <c r="H127" s="4">
        <v>0.85638781398421826</v>
      </c>
    </row>
    <row r="128" spans="1:8" x14ac:dyDescent="0.2">
      <c r="A128" s="1" t="s">
        <v>35</v>
      </c>
      <c r="B128" s="1">
        <v>3.1334911120000004E-3</v>
      </c>
      <c r="C128" s="1">
        <v>3.3794311310000004E-3</v>
      </c>
      <c r="D128" s="1">
        <f t="shared" ref="D128:D136" si="7">B128/C128</f>
        <v>0.92722443231822149</v>
      </c>
      <c r="E128" s="1"/>
      <c r="G128" s="3"/>
    </row>
    <row r="129" spans="1:7" x14ac:dyDescent="0.2">
      <c r="A129" s="1" t="s">
        <v>35</v>
      </c>
      <c r="B129" s="1">
        <v>3.9006042730000004E-3</v>
      </c>
      <c r="C129" s="1">
        <v>5.1437303740000002E-3</v>
      </c>
      <c r="D129" s="1">
        <f t="shared" si="7"/>
        <v>0.75832207160709164</v>
      </c>
      <c r="E129" s="1"/>
      <c r="G129" s="3"/>
    </row>
    <row r="130" spans="1:7" x14ac:dyDescent="0.2">
      <c r="A130" s="1" t="s">
        <v>35</v>
      </c>
      <c r="B130" s="1">
        <v>4.0415773360000006E-3</v>
      </c>
      <c r="C130" s="1">
        <v>3.3043675520000003E-3</v>
      </c>
      <c r="D130" s="1">
        <f t="shared" si="7"/>
        <v>1.2231016291010959</v>
      </c>
      <c r="E130" s="1"/>
      <c r="G130" s="3"/>
    </row>
    <row r="131" spans="1:7" x14ac:dyDescent="0.2">
      <c r="A131" s="1" t="s">
        <v>35</v>
      </c>
      <c r="B131" s="1">
        <v>4.0415773360000006E-3</v>
      </c>
      <c r="C131" s="1">
        <v>3.3043675520000003E-3</v>
      </c>
      <c r="D131" s="1">
        <f t="shared" si="7"/>
        <v>1.2231016291010959</v>
      </c>
      <c r="E131" s="1"/>
      <c r="G131" s="3"/>
    </row>
    <row r="132" spans="1:7" x14ac:dyDescent="0.2">
      <c r="A132" s="1" t="s">
        <v>35</v>
      </c>
      <c r="B132" s="1">
        <v>4.035474606E-3</v>
      </c>
      <c r="C132" s="1">
        <v>3.8737522610000001E-3</v>
      </c>
      <c r="D132" s="1">
        <f t="shared" si="7"/>
        <v>1.0417482415249373</v>
      </c>
      <c r="E132" s="1"/>
      <c r="G132" s="3"/>
    </row>
    <row r="133" spans="1:7" x14ac:dyDescent="0.2">
      <c r="A133" s="1" t="s">
        <v>35</v>
      </c>
      <c r="B133" s="1">
        <v>4.6848050779999999E-3</v>
      </c>
      <c r="C133" s="1">
        <v>3.1505787560000002E-3</v>
      </c>
      <c r="D133" s="1">
        <f t="shared" si="7"/>
        <v>1.4869665038774862</v>
      </c>
      <c r="E133" s="1"/>
      <c r="G133" s="1"/>
    </row>
    <row r="134" spans="1:7" x14ac:dyDescent="0.2">
      <c r="A134" s="1" t="s">
        <v>35</v>
      </c>
      <c r="B134" s="1">
        <v>3.9829911280000003E-3</v>
      </c>
      <c r="C134" s="1">
        <v>4.0409670630000005E-3</v>
      </c>
      <c r="D134" s="1">
        <f t="shared" si="7"/>
        <v>0.98565295532080899</v>
      </c>
      <c r="E134" s="1"/>
      <c r="G134" s="3"/>
    </row>
    <row r="135" spans="1:7" x14ac:dyDescent="0.2">
      <c r="A135" s="1" t="s">
        <v>35</v>
      </c>
      <c r="B135" s="1">
        <v>4.7793973930000001E-3</v>
      </c>
      <c r="C135" s="1">
        <v>3.3934674100000004E-3</v>
      </c>
      <c r="D135" s="1">
        <f t="shared" si="7"/>
        <v>1.4084111663827648</v>
      </c>
      <c r="E135" s="1"/>
      <c r="G135" s="3"/>
    </row>
    <row r="136" spans="1:7" x14ac:dyDescent="0.2">
      <c r="A136" s="1" t="s">
        <v>35</v>
      </c>
      <c r="B136" s="1">
        <v>4.2875173550000001E-3</v>
      </c>
      <c r="C136" s="1">
        <v>3.626591696E-3</v>
      </c>
      <c r="D136" s="1">
        <f t="shared" si="7"/>
        <v>1.1822442983391201</v>
      </c>
      <c r="E136" s="1"/>
      <c r="G136" s="3"/>
    </row>
    <row r="137" spans="1:7" x14ac:dyDescent="0.2">
      <c r="A137" s="1" t="s">
        <v>2</v>
      </c>
      <c r="B137" s="1"/>
      <c r="C137" s="1"/>
      <c r="D137" s="1"/>
      <c r="E137" s="1"/>
      <c r="G137" s="3"/>
    </row>
    <row r="138" spans="1:7" x14ac:dyDescent="0.2">
      <c r="A138" s="1" t="s">
        <v>37</v>
      </c>
      <c r="B138" s="1">
        <v>5.8656833330000008E-3</v>
      </c>
      <c r="C138" s="1">
        <v>2.614148789E-3</v>
      </c>
      <c r="D138" s="1">
        <f t="shared" ref="D138:D143" si="8">B138/C138</f>
        <v>2.2438215290889478</v>
      </c>
      <c r="E138" s="1">
        <f>AVERAGE(D138:D143)</f>
        <v>2.1602537812226381</v>
      </c>
      <c r="F138" s="2">
        <f>_xlfn.STDEV.S(D138:D143)</f>
        <v>0.27485995097142246</v>
      </c>
      <c r="G138" s="3"/>
    </row>
    <row r="139" spans="1:7" x14ac:dyDescent="0.2">
      <c r="A139" s="1" t="s">
        <v>37</v>
      </c>
      <c r="B139" s="1">
        <v>6.451545413E-3</v>
      </c>
      <c r="C139" s="1">
        <v>3.3916365910000002E-3</v>
      </c>
      <c r="D139" s="1">
        <f t="shared" si="8"/>
        <v>1.902192419470804</v>
      </c>
      <c r="E139" s="1"/>
      <c r="G139" s="1"/>
    </row>
    <row r="140" spans="1:7" x14ac:dyDescent="0.2">
      <c r="A140" s="1" t="s">
        <v>37</v>
      </c>
      <c r="B140" s="1">
        <v>6.5162343510000009E-3</v>
      </c>
      <c r="C140" s="1">
        <v>3.7419332930000004E-3</v>
      </c>
      <c r="D140" s="1">
        <f t="shared" si="8"/>
        <v>1.7414084754503401</v>
      </c>
      <c r="E140" s="1"/>
      <c r="G140" s="3"/>
    </row>
    <row r="141" spans="1:7" x14ac:dyDescent="0.2">
      <c r="A141" s="1" t="s">
        <v>37</v>
      </c>
      <c r="B141" s="1">
        <v>5.9639372860000005E-3</v>
      </c>
      <c r="C141" s="1">
        <v>2.6007227830000001E-3</v>
      </c>
      <c r="D141" s="1">
        <f t="shared" si="8"/>
        <v>2.2931845427679325</v>
      </c>
      <c r="E141" s="1"/>
      <c r="G141" s="3"/>
    </row>
    <row r="142" spans="1:7" x14ac:dyDescent="0.2">
      <c r="A142" s="1" t="s">
        <v>37</v>
      </c>
      <c r="B142" s="1">
        <v>6.1244390850000007E-3</v>
      </c>
      <c r="C142" s="1">
        <v>2.5091818330000002E-3</v>
      </c>
      <c r="D142" s="1">
        <f t="shared" si="8"/>
        <v>2.4408111857232631</v>
      </c>
      <c r="E142" s="1"/>
      <c r="G142" s="3"/>
    </row>
    <row r="143" spans="1:7" x14ac:dyDescent="0.2">
      <c r="A143" s="1" t="s">
        <v>37</v>
      </c>
      <c r="B143" s="1">
        <v>6.7286093549999999E-3</v>
      </c>
      <c r="C143" s="1">
        <v>2.8753456330000001E-3</v>
      </c>
      <c r="D143" s="1">
        <f t="shared" si="8"/>
        <v>2.3401045348345431</v>
      </c>
      <c r="E143" s="1"/>
      <c r="G143" s="3"/>
    </row>
    <row r="144" spans="1:7" x14ac:dyDescent="0.2">
      <c r="A144" s="1" t="s">
        <v>2</v>
      </c>
      <c r="B144" s="1"/>
      <c r="C144" s="1"/>
      <c r="D144" s="1"/>
      <c r="E144" s="1"/>
      <c r="G144" s="3"/>
    </row>
    <row r="145" spans="1:7" x14ac:dyDescent="0.2">
      <c r="A145" s="1"/>
      <c r="B145" s="1"/>
      <c r="C145" s="1"/>
      <c r="D145" s="1"/>
      <c r="E145" s="1"/>
      <c r="G145" s="3"/>
    </row>
    <row r="146" spans="1:7" x14ac:dyDescent="0.2">
      <c r="A146" s="1"/>
      <c r="B146" s="1"/>
      <c r="C146" s="1"/>
      <c r="D146" s="1"/>
      <c r="E146" s="1"/>
      <c r="G146" s="3"/>
    </row>
    <row r="147" spans="1:7" x14ac:dyDescent="0.2">
      <c r="A147" s="1"/>
      <c r="B147" s="1"/>
      <c r="C147" s="1"/>
      <c r="D147" s="1"/>
      <c r="E147" s="1"/>
      <c r="G147" s="3"/>
    </row>
    <row r="148" spans="1:7" x14ac:dyDescent="0.2">
      <c r="A148" s="1"/>
      <c r="B148" s="1"/>
      <c r="C148" s="1"/>
      <c r="D148" s="1"/>
      <c r="E148" s="1"/>
      <c r="G148" s="3"/>
    </row>
    <row r="149" spans="1:7" x14ac:dyDescent="0.2">
      <c r="A149" s="1"/>
      <c r="B149" s="1"/>
      <c r="C149" s="1"/>
      <c r="D149" s="1"/>
      <c r="E149" s="1"/>
      <c r="G149" s="3"/>
    </row>
    <row r="150" spans="1:7" x14ac:dyDescent="0.2">
      <c r="A150" s="1"/>
      <c r="B150" s="1"/>
      <c r="C150" s="1"/>
      <c r="D150" s="1"/>
      <c r="E150" s="1"/>
      <c r="G150" s="3"/>
    </row>
    <row r="151" spans="1:7" x14ac:dyDescent="0.2">
      <c r="A151" s="1"/>
      <c r="B151" s="1"/>
      <c r="C151" s="1"/>
      <c r="D151" s="1"/>
      <c r="E151" s="1"/>
      <c r="G151" s="3"/>
    </row>
    <row r="152" spans="1:7" x14ac:dyDescent="0.2">
      <c r="A152" s="1"/>
      <c r="B152" s="1"/>
      <c r="C152" s="1"/>
      <c r="D152" s="1"/>
      <c r="E152" s="1"/>
      <c r="G15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F1</vt:lpstr>
      <vt:lpstr>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José Torres Constante</cp:lastModifiedBy>
  <dcterms:modified xsi:type="dcterms:W3CDTF">2025-09-04T23:37:30Z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2025-09-04T17:39:51Z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03420c4a-17cd-4d08-957e-8a4206afd0c6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