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3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"/>
    </mc:Choice>
  </mc:AlternateContent>
  <xr:revisionPtr revIDLastSave="0" documentId="13_ncr:1_{29BFE722-BD91-41A7-BBBB-C20A291FB6D4}" xr6:coauthVersionLast="47" xr6:coauthVersionMax="47" xr10:uidLastSave="{00000000-0000-0000-0000-000000000000}"/>
  <bookViews>
    <workbookView xWindow="43080" yWindow="-120" windowWidth="24240" windowHeight="13020" xr2:uid="{4959F82E-6D8C-417F-AFCD-C39AFDB3CEB5}"/>
  </bookViews>
  <sheets>
    <sheet name="Limo-Arenoso" sheetId="1" r:id="rId1"/>
    <sheet name="Caolin" sheetId="3" r:id="rId2"/>
    <sheet name="Base" sheetId="4" r:id="rId3"/>
    <sheet name="Arena" sheetId="5" r:id="rId4"/>
    <sheet name="EjemploTOF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4" l="1"/>
  <c r="AL9" i="5" l="1"/>
  <c r="AM9" i="5"/>
  <c r="AN20" i="5" l="1"/>
  <c r="AN19" i="5"/>
  <c r="AN18" i="5"/>
  <c r="AN9" i="5"/>
  <c r="AN7" i="5"/>
  <c r="AN6" i="5"/>
  <c r="AN5" i="5"/>
  <c r="AJ20" i="5"/>
  <c r="AJ19" i="5"/>
  <c r="AJ18" i="5"/>
  <c r="AJ17" i="5"/>
  <c r="AN17" i="5" s="1"/>
  <c r="AJ15" i="5"/>
  <c r="AN15" i="5" s="1"/>
  <c r="AJ14" i="5"/>
  <c r="AN14" i="5" s="1"/>
  <c r="AJ13" i="5"/>
  <c r="AN13" i="5" s="1"/>
  <c r="AJ12" i="5"/>
  <c r="AN12" i="5" s="1"/>
  <c r="AJ11" i="5"/>
  <c r="AN11" i="5" s="1"/>
  <c r="AJ9" i="5"/>
  <c r="AJ8" i="5"/>
  <c r="AN8" i="5" s="1"/>
  <c r="AJ7" i="5"/>
  <c r="AJ6" i="5"/>
  <c r="AJ5" i="5"/>
  <c r="AJ20" i="4"/>
  <c r="AN20" i="4" s="1"/>
  <c r="AJ19" i="4"/>
  <c r="AN19" i="4" s="1"/>
  <c r="AJ18" i="4"/>
  <c r="AN18" i="4" s="1"/>
  <c r="AJ17" i="4"/>
  <c r="AN17" i="4" s="1"/>
  <c r="AJ16" i="4"/>
  <c r="AN16" i="4" s="1"/>
  <c r="AJ14" i="4"/>
  <c r="AN14" i="4" s="1"/>
  <c r="AJ13" i="4"/>
  <c r="AN13" i="4" s="1"/>
  <c r="AJ12" i="4"/>
  <c r="AN12" i="4" s="1"/>
  <c r="AJ11" i="4"/>
  <c r="AN11" i="4" s="1"/>
  <c r="AJ9" i="4"/>
  <c r="AN9" i="4" s="1"/>
  <c r="AJ8" i="4"/>
  <c r="AN8" i="4" s="1"/>
  <c r="AJ7" i="4"/>
  <c r="AN7" i="4" s="1"/>
  <c r="AJ6" i="4"/>
  <c r="AN6" i="4" s="1"/>
  <c r="AJ5" i="4"/>
  <c r="AN5" i="4" s="1"/>
  <c r="I27" i="6" l="1"/>
  <c r="AJ19" i="1" l="1"/>
  <c r="AN19" i="1" s="1"/>
  <c r="S19" i="1"/>
  <c r="AM19" i="1" s="1"/>
  <c r="H19" i="1"/>
  <c r="J19" i="1" s="1"/>
  <c r="AJ18" i="1"/>
  <c r="AN18" i="1" s="1"/>
  <c r="S18" i="1"/>
  <c r="AM18" i="1" s="1"/>
  <c r="I18" i="1"/>
  <c r="H18" i="1"/>
  <c r="J18" i="1" s="1"/>
  <c r="K18" i="1" s="1"/>
  <c r="AJ17" i="1"/>
  <c r="AN17" i="1" s="1"/>
  <c r="S17" i="1"/>
  <c r="AM17" i="1" s="1"/>
  <c r="I17" i="1"/>
  <c r="H17" i="1"/>
  <c r="J17" i="1" s="1"/>
  <c r="K17" i="1" s="1"/>
  <c r="AJ16" i="1"/>
  <c r="AN16" i="1" s="1"/>
  <c r="S16" i="1"/>
  <c r="AM16" i="1" s="1"/>
  <c r="I16" i="1"/>
  <c r="H16" i="1"/>
  <c r="J16" i="1" s="1"/>
  <c r="K16" i="1" s="1"/>
  <c r="AJ14" i="1"/>
  <c r="AN14" i="1" s="1"/>
  <c r="S14" i="1"/>
  <c r="AM14" i="1" s="1"/>
  <c r="I14" i="1"/>
  <c r="H14" i="1"/>
  <c r="J14" i="1" s="1"/>
  <c r="AJ13" i="1"/>
  <c r="AN13" i="1" s="1"/>
  <c r="S13" i="1"/>
  <c r="AM13" i="1" s="1"/>
  <c r="H13" i="1"/>
  <c r="J13" i="1" s="1"/>
  <c r="AJ12" i="1"/>
  <c r="AN12" i="1" s="1"/>
  <c r="S12" i="1"/>
  <c r="I12" i="1" s="1"/>
  <c r="H12" i="1"/>
  <c r="J12" i="1" s="1"/>
  <c r="AJ11" i="1"/>
  <c r="AN11" i="1" s="1"/>
  <c r="S11" i="1"/>
  <c r="AM11" i="1" s="1"/>
  <c r="I11" i="1"/>
  <c r="H11" i="1"/>
  <c r="J11" i="1" s="1"/>
  <c r="K11" i="1" s="1"/>
  <c r="AJ9" i="1"/>
  <c r="AN9" i="1" s="1"/>
  <c r="S9" i="1"/>
  <c r="AM9" i="1" s="1"/>
  <c r="I9" i="1"/>
  <c r="H9" i="1"/>
  <c r="J9" i="1" s="1"/>
  <c r="K9" i="1" s="1"/>
  <c r="AJ8" i="1"/>
  <c r="AN8" i="1" s="1"/>
  <c r="S8" i="1"/>
  <c r="AM8" i="1" s="1"/>
  <c r="I8" i="1"/>
  <c r="H8" i="1"/>
  <c r="J8" i="1" s="1"/>
  <c r="K8" i="1" s="1"/>
  <c r="AJ7" i="1"/>
  <c r="AN7" i="1" s="1"/>
  <c r="S7" i="1"/>
  <c r="AM7" i="1" s="1"/>
  <c r="H7" i="1"/>
  <c r="J7" i="1" s="1"/>
  <c r="AJ6" i="1"/>
  <c r="AN6" i="1" s="1"/>
  <c r="S6" i="1"/>
  <c r="AM6" i="1" s="1"/>
  <c r="I6" i="1"/>
  <c r="H6" i="1"/>
  <c r="J6" i="1" s="1"/>
  <c r="K6" i="1" s="1"/>
  <c r="AJ5" i="1"/>
  <c r="AN5" i="1" s="1"/>
  <c r="S5" i="1"/>
  <c r="AM5" i="1" s="1"/>
  <c r="I5" i="1"/>
  <c r="H5" i="1"/>
  <c r="J5" i="1" s="1"/>
  <c r="K5" i="1" s="1"/>
  <c r="AJ19" i="3"/>
  <c r="AN19" i="3" s="1"/>
  <c r="S19" i="3"/>
  <c r="I19" i="3" s="1"/>
  <c r="H19" i="3"/>
  <c r="J19" i="3" s="1"/>
  <c r="AJ18" i="3"/>
  <c r="AN18" i="3" s="1"/>
  <c r="S18" i="3"/>
  <c r="AM18" i="3" s="1"/>
  <c r="I18" i="3"/>
  <c r="H18" i="3"/>
  <c r="J18" i="3" s="1"/>
  <c r="K18" i="3" s="1"/>
  <c r="AJ17" i="3"/>
  <c r="AN17" i="3" s="1"/>
  <c r="S17" i="3"/>
  <c r="AM17" i="3" s="1"/>
  <c r="H17" i="3"/>
  <c r="J17" i="3" s="1"/>
  <c r="AJ16" i="3"/>
  <c r="AN16" i="3" s="1"/>
  <c r="S16" i="3"/>
  <c r="AM16" i="3" s="1"/>
  <c r="H16" i="3"/>
  <c r="J16" i="3" s="1"/>
  <c r="AJ14" i="3"/>
  <c r="AN14" i="3" s="1"/>
  <c r="S14" i="3"/>
  <c r="AM14" i="3" s="1"/>
  <c r="I14" i="3"/>
  <c r="H14" i="3"/>
  <c r="J14" i="3" s="1"/>
  <c r="K14" i="3" s="1"/>
  <c r="AJ13" i="3"/>
  <c r="AN13" i="3" s="1"/>
  <c r="S13" i="3"/>
  <c r="I13" i="3" s="1"/>
  <c r="H13" i="3"/>
  <c r="J13" i="3" s="1"/>
  <c r="K13" i="3" s="1"/>
  <c r="AJ12" i="3"/>
  <c r="AN12" i="3" s="1"/>
  <c r="S12" i="3"/>
  <c r="AM12" i="3" s="1"/>
  <c r="H12" i="3"/>
  <c r="J12" i="3" s="1"/>
  <c r="AJ11" i="3"/>
  <c r="AN11" i="3" s="1"/>
  <c r="S11" i="3"/>
  <c r="AM11" i="3" s="1"/>
  <c r="I11" i="3"/>
  <c r="H11" i="3"/>
  <c r="J11" i="3" s="1"/>
  <c r="AJ10" i="3"/>
  <c r="AN10" i="3" s="1"/>
  <c r="S10" i="3"/>
  <c r="AM10" i="3" s="1"/>
  <c r="H10" i="3"/>
  <c r="J10" i="3" s="1"/>
  <c r="AJ8" i="3"/>
  <c r="AN8" i="3" s="1"/>
  <c r="S8" i="3"/>
  <c r="AM8" i="3" s="1"/>
  <c r="H8" i="3"/>
  <c r="J8" i="3" s="1"/>
  <c r="AJ7" i="3"/>
  <c r="AN7" i="3" s="1"/>
  <c r="S7" i="3"/>
  <c r="AM7" i="3" s="1"/>
  <c r="I7" i="3"/>
  <c r="H7" i="3"/>
  <c r="J7" i="3" s="1"/>
  <c r="K7" i="3" s="1"/>
  <c r="AJ6" i="3"/>
  <c r="AN6" i="3" s="1"/>
  <c r="S6" i="3"/>
  <c r="I6" i="3" s="1"/>
  <c r="H6" i="3"/>
  <c r="J6" i="3" s="1"/>
  <c r="AJ5" i="3"/>
  <c r="AN5" i="3" s="1"/>
  <c r="S5" i="3"/>
  <c r="AM5" i="3" s="1"/>
  <c r="I5" i="3"/>
  <c r="H5" i="3"/>
  <c r="J5" i="3" s="1"/>
  <c r="K5" i="3" s="1"/>
  <c r="S20" i="4"/>
  <c r="H20" i="4"/>
  <c r="J20" i="4" s="1"/>
  <c r="S19" i="4"/>
  <c r="H19" i="4"/>
  <c r="J19" i="4" s="1"/>
  <c r="S18" i="4"/>
  <c r="H18" i="4"/>
  <c r="J18" i="4" s="1"/>
  <c r="S17" i="4"/>
  <c r="H17" i="4"/>
  <c r="J17" i="4" s="1"/>
  <c r="S16" i="4"/>
  <c r="H16" i="4"/>
  <c r="J16" i="4" s="1"/>
  <c r="S14" i="4"/>
  <c r="H14" i="4"/>
  <c r="J14" i="4" s="1"/>
  <c r="S13" i="4"/>
  <c r="H13" i="4"/>
  <c r="J13" i="4" s="1"/>
  <c r="S12" i="4"/>
  <c r="H12" i="4"/>
  <c r="J12" i="4" s="1"/>
  <c r="H11" i="4"/>
  <c r="J11" i="4" s="1"/>
  <c r="S9" i="4"/>
  <c r="H9" i="4"/>
  <c r="J9" i="4" s="1"/>
  <c r="S8" i="4"/>
  <c r="H8" i="4"/>
  <c r="J8" i="4" s="1"/>
  <c r="S7" i="4"/>
  <c r="H7" i="4"/>
  <c r="J7" i="4" s="1"/>
  <c r="S6" i="4"/>
  <c r="H6" i="4"/>
  <c r="J6" i="4" s="1"/>
  <c r="S5" i="4"/>
  <c r="H5" i="4"/>
  <c r="J5" i="4" s="1"/>
  <c r="S20" i="5"/>
  <c r="AM20" i="5" s="1"/>
  <c r="H20" i="5"/>
  <c r="J20" i="5" s="1"/>
  <c r="S19" i="5"/>
  <c r="H19" i="5"/>
  <c r="J19" i="5" s="1"/>
  <c r="S18" i="5"/>
  <c r="H18" i="5"/>
  <c r="J18" i="5" s="1"/>
  <c r="S17" i="5"/>
  <c r="H17" i="5"/>
  <c r="J17" i="5" s="1"/>
  <c r="S15" i="5"/>
  <c r="AM15" i="5" s="1"/>
  <c r="H15" i="5"/>
  <c r="J15" i="5" s="1"/>
  <c r="S14" i="5"/>
  <c r="H14" i="5"/>
  <c r="J14" i="5" s="1"/>
  <c r="S13" i="5"/>
  <c r="H13" i="5"/>
  <c r="J13" i="5" s="1"/>
  <c r="S12" i="5"/>
  <c r="H12" i="5"/>
  <c r="J12" i="5" s="1"/>
  <c r="S11" i="5"/>
  <c r="H11" i="5"/>
  <c r="J11" i="5" s="1"/>
  <c r="S9" i="5"/>
  <c r="H9" i="5"/>
  <c r="J9" i="5" s="1"/>
  <c r="S8" i="5"/>
  <c r="H8" i="5"/>
  <c r="J8" i="5" s="1"/>
  <c r="S7" i="5"/>
  <c r="H7" i="5"/>
  <c r="J7" i="5" s="1"/>
  <c r="S6" i="5"/>
  <c r="H6" i="5"/>
  <c r="J6" i="5" s="1"/>
  <c r="S5" i="5"/>
  <c r="H5" i="5"/>
  <c r="J5" i="5" s="1"/>
  <c r="I12" i="5" l="1"/>
  <c r="AM12" i="5"/>
  <c r="I11" i="5"/>
  <c r="AM11" i="5"/>
  <c r="I14" i="5"/>
  <c r="AM14" i="5"/>
  <c r="I17" i="5"/>
  <c r="AM17" i="5"/>
  <c r="I18" i="5"/>
  <c r="AM18" i="5"/>
  <c r="I7" i="5"/>
  <c r="K7" i="5" s="1"/>
  <c r="AM7" i="5"/>
  <c r="I9" i="5"/>
  <c r="I13" i="5"/>
  <c r="K13" i="5" s="1"/>
  <c r="AM13" i="5"/>
  <c r="K17" i="5"/>
  <c r="I5" i="5"/>
  <c r="AM5" i="5"/>
  <c r="I6" i="5"/>
  <c r="AM6" i="5"/>
  <c r="I19" i="5"/>
  <c r="AM19" i="5"/>
  <c r="I8" i="5"/>
  <c r="AM8" i="5"/>
  <c r="I13" i="1"/>
  <c r="I20" i="5"/>
  <c r="I15" i="5"/>
  <c r="K15" i="5" s="1"/>
  <c r="I5" i="4"/>
  <c r="K5" i="4" s="1"/>
  <c r="AM5" i="4"/>
  <c r="I17" i="4"/>
  <c r="K17" i="4" s="1"/>
  <c r="AM17" i="4"/>
  <c r="I6" i="4"/>
  <c r="K6" i="4" s="1"/>
  <c r="AM6" i="4"/>
  <c r="I18" i="4"/>
  <c r="AM18" i="4"/>
  <c r="I7" i="4"/>
  <c r="K7" i="4" s="1"/>
  <c r="AM7" i="4"/>
  <c r="I19" i="4"/>
  <c r="AM19" i="4"/>
  <c r="I8" i="4"/>
  <c r="AM8" i="4"/>
  <c r="I20" i="4"/>
  <c r="AM20" i="4"/>
  <c r="I9" i="4"/>
  <c r="AM9" i="4"/>
  <c r="I11" i="4"/>
  <c r="AM11" i="4"/>
  <c r="I12" i="4"/>
  <c r="AM12" i="4"/>
  <c r="I13" i="4"/>
  <c r="AM13" i="4"/>
  <c r="I14" i="4"/>
  <c r="AM14" i="4"/>
  <c r="I16" i="4"/>
  <c r="K16" i="4" s="1"/>
  <c r="AM16" i="4"/>
  <c r="K9" i="5"/>
  <c r="K18" i="5"/>
  <c r="K19" i="5"/>
  <c r="K12" i="5"/>
  <c r="K14" i="5"/>
  <c r="AL5" i="3"/>
  <c r="M5" i="3"/>
  <c r="N5" i="3" s="1"/>
  <c r="AO5" i="3" s="1"/>
  <c r="AL13" i="3"/>
  <c r="M13" i="3"/>
  <c r="N13" i="3"/>
  <c r="AO13" i="3" s="1"/>
  <c r="AL18" i="3"/>
  <c r="M18" i="3"/>
  <c r="N18" i="3" s="1"/>
  <c r="AO18" i="3" s="1"/>
  <c r="AL7" i="3"/>
  <c r="M7" i="3"/>
  <c r="AL14" i="3"/>
  <c r="M14" i="3"/>
  <c r="N14" i="3" s="1"/>
  <c r="AO14" i="3" s="1"/>
  <c r="N7" i="3"/>
  <c r="AO7" i="3" s="1"/>
  <c r="K19" i="3"/>
  <c r="K6" i="3"/>
  <c r="I10" i="3"/>
  <c r="K10" i="3" s="1"/>
  <c r="I12" i="3"/>
  <c r="I16" i="3"/>
  <c r="K11" i="3"/>
  <c r="I17" i="3"/>
  <c r="K17" i="3" s="1"/>
  <c r="AM19" i="3"/>
  <c r="AM6" i="3"/>
  <c r="I8" i="3"/>
  <c r="AM13" i="3"/>
  <c r="I7" i="1"/>
  <c r="K7" i="1" s="1"/>
  <c r="I19" i="1"/>
  <c r="K19" i="1" s="1"/>
  <c r="AL8" i="1"/>
  <c r="M8" i="1"/>
  <c r="N8" i="1"/>
  <c r="AO8" i="1" s="1"/>
  <c r="AL16" i="1"/>
  <c r="M16" i="1"/>
  <c r="N16" i="1" s="1"/>
  <c r="AO16" i="1" s="1"/>
  <c r="AL9" i="1"/>
  <c r="M9" i="1"/>
  <c r="N9" i="1" s="1"/>
  <c r="AO9" i="1" s="1"/>
  <c r="AL17" i="1"/>
  <c r="M17" i="1"/>
  <c r="N17" i="1" s="1"/>
  <c r="AO17" i="1" s="1"/>
  <c r="AL5" i="1"/>
  <c r="M5" i="1"/>
  <c r="N5" i="1" s="1"/>
  <c r="AO5" i="1" s="1"/>
  <c r="AL11" i="1"/>
  <c r="M11" i="1"/>
  <c r="N11" i="1" s="1"/>
  <c r="AO11" i="1" s="1"/>
  <c r="AL18" i="1"/>
  <c r="M18" i="1"/>
  <c r="N18" i="1" s="1"/>
  <c r="AO18" i="1" s="1"/>
  <c r="AL6" i="1"/>
  <c r="M6" i="1"/>
  <c r="N6" i="1"/>
  <c r="AO6" i="1" s="1"/>
  <c r="K14" i="1"/>
  <c r="K13" i="1"/>
  <c r="K12" i="1"/>
  <c r="AM12" i="1"/>
  <c r="K14" i="4" l="1"/>
  <c r="AL14" i="4" s="1"/>
  <c r="K12" i="4"/>
  <c r="M12" i="4" s="1"/>
  <c r="K11" i="4"/>
  <c r="M11" i="4" s="1"/>
  <c r="N11" i="4" s="1"/>
  <c r="AO11" i="4" s="1"/>
  <c r="K13" i="4"/>
  <c r="AL7" i="5"/>
  <c r="M7" i="5"/>
  <c r="AL18" i="5"/>
  <c r="M18" i="5"/>
  <c r="N18" i="5" s="1"/>
  <c r="AO18" i="5" s="1"/>
  <c r="K6" i="5"/>
  <c r="M9" i="5"/>
  <c r="N9" i="5" s="1"/>
  <c r="AO9" i="5" s="1"/>
  <c r="M13" i="5"/>
  <c r="N13" i="5" s="1"/>
  <c r="AO13" i="5" s="1"/>
  <c r="AL13" i="5"/>
  <c r="AL17" i="5"/>
  <c r="M17" i="5"/>
  <c r="N17" i="5" s="1"/>
  <c r="N7" i="5"/>
  <c r="M14" i="5"/>
  <c r="N14" i="5" s="1"/>
  <c r="AO14" i="5" s="1"/>
  <c r="AL14" i="5"/>
  <c r="M12" i="5"/>
  <c r="N12" i="5" s="1"/>
  <c r="AO12" i="5" s="1"/>
  <c r="AL12" i="5"/>
  <c r="K5" i="5"/>
  <c r="M19" i="5"/>
  <c r="AL19" i="5"/>
  <c r="K8" i="5"/>
  <c r="N19" i="5"/>
  <c r="K11" i="5"/>
  <c r="K20" i="5"/>
  <c r="AL15" i="5"/>
  <c r="M15" i="5"/>
  <c r="N15" i="5" s="1"/>
  <c r="K9" i="4"/>
  <c r="M5" i="4"/>
  <c r="AL5" i="4"/>
  <c r="AL12" i="4"/>
  <c r="M7" i="4"/>
  <c r="N7" i="4" s="1"/>
  <c r="AO7" i="4" s="1"/>
  <c r="AL7" i="4"/>
  <c r="M6" i="4"/>
  <c r="N6" i="4" s="1"/>
  <c r="AO6" i="4" s="1"/>
  <c r="AL6" i="4"/>
  <c r="K8" i="4"/>
  <c r="AL16" i="4"/>
  <c r="M16" i="4"/>
  <c r="N16" i="4" s="1"/>
  <c r="AO16" i="4" s="1"/>
  <c r="AL17" i="4"/>
  <c r="M17" i="4"/>
  <c r="N17" i="4" s="1"/>
  <c r="AO17" i="4" s="1"/>
  <c r="K20" i="4"/>
  <c r="K19" i="4"/>
  <c r="AL13" i="4"/>
  <c r="M13" i="4"/>
  <c r="AL11" i="4"/>
  <c r="K18" i="4"/>
  <c r="AL10" i="3"/>
  <c r="M10" i="3"/>
  <c r="N10" i="3" s="1"/>
  <c r="AO10" i="3" s="1"/>
  <c r="AL6" i="3"/>
  <c r="M6" i="3"/>
  <c r="N6" i="3" s="1"/>
  <c r="AO6" i="3" s="1"/>
  <c r="AL19" i="3"/>
  <c r="M19" i="3"/>
  <c r="N19" i="3" s="1"/>
  <c r="AO19" i="3" s="1"/>
  <c r="K8" i="3"/>
  <c r="AL17" i="3"/>
  <c r="M17" i="3"/>
  <c r="N17" i="3" s="1"/>
  <c r="AO17" i="3" s="1"/>
  <c r="AL11" i="3"/>
  <c r="M11" i="3"/>
  <c r="N11" i="3" s="1"/>
  <c r="AO11" i="3" s="1"/>
  <c r="K12" i="3"/>
  <c r="K16" i="3"/>
  <c r="AL7" i="1"/>
  <c r="M7" i="1"/>
  <c r="N7" i="1" s="1"/>
  <c r="AO7" i="1" s="1"/>
  <c r="AL19" i="1"/>
  <c r="M19" i="1"/>
  <c r="N19" i="1" s="1"/>
  <c r="AO19" i="1" s="1"/>
  <c r="AL12" i="1"/>
  <c r="M12" i="1"/>
  <c r="N12" i="1" s="1"/>
  <c r="AO12" i="1" s="1"/>
  <c r="AL13" i="1"/>
  <c r="M13" i="1"/>
  <c r="N13" i="1" s="1"/>
  <c r="AO13" i="1" s="1"/>
  <c r="AL14" i="1"/>
  <c r="M14" i="1"/>
  <c r="N14" i="1" s="1"/>
  <c r="AO14" i="1" s="1"/>
  <c r="M14" i="4" l="1"/>
  <c r="N14" i="4" s="1"/>
  <c r="AO14" i="4" s="1"/>
  <c r="N12" i="4"/>
  <c r="AO12" i="4" s="1"/>
  <c r="N13" i="4"/>
  <c r="AO13" i="4" s="1"/>
  <c r="AO17" i="5"/>
  <c r="AL8" i="5"/>
  <c r="M8" i="5"/>
  <c r="AL6" i="5"/>
  <c r="M6" i="5"/>
  <c r="N6" i="5" s="1"/>
  <c r="AO6" i="5" s="1"/>
  <c r="AL5" i="5"/>
  <c r="M5" i="5"/>
  <c r="N5" i="5" s="1"/>
  <c r="AO5" i="5" s="1"/>
  <c r="AO7" i="5"/>
  <c r="AL11" i="5"/>
  <c r="M11" i="5"/>
  <c r="AO19" i="5"/>
  <c r="N5" i="4"/>
  <c r="AO5" i="4" s="1"/>
  <c r="AL20" i="5"/>
  <c r="M20" i="5"/>
  <c r="N20" i="5" s="1"/>
  <c r="AO20" i="5" s="1"/>
  <c r="AO15" i="5"/>
  <c r="AL20" i="4"/>
  <c r="M20" i="4"/>
  <c r="N20" i="4" s="1"/>
  <c r="AO20" i="4" s="1"/>
  <c r="AL18" i="4"/>
  <c r="M18" i="4"/>
  <c r="N18" i="4" s="1"/>
  <c r="AO18" i="4" s="1"/>
  <c r="M8" i="4"/>
  <c r="N8" i="4" s="1"/>
  <c r="AO8" i="4" s="1"/>
  <c r="AL8" i="4"/>
  <c r="M19" i="4"/>
  <c r="N19" i="4" s="1"/>
  <c r="AO19" i="4" s="1"/>
  <c r="AL19" i="4"/>
  <c r="M9" i="4"/>
  <c r="N9" i="4" s="1"/>
  <c r="AO9" i="4" s="1"/>
  <c r="AL9" i="4"/>
  <c r="AL8" i="3"/>
  <c r="M8" i="3"/>
  <c r="N8" i="3" s="1"/>
  <c r="AO8" i="3" s="1"/>
  <c r="AL12" i="3"/>
  <c r="M12" i="3"/>
  <c r="N12" i="3" s="1"/>
  <c r="AO12" i="3" s="1"/>
  <c r="AL16" i="3"/>
  <c r="M16" i="3"/>
  <c r="N16" i="3" s="1"/>
  <c r="AO16" i="3" s="1"/>
  <c r="N11" i="5" l="1"/>
  <c r="AO11" i="5" s="1"/>
  <c r="N8" i="5"/>
  <c r="AO8" i="5" s="1"/>
</calcChain>
</file>

<file path=xl/sharedStrings.xml><?xml version="1.0" encoding="utf-8"?>
<sst xmlns="http://schemas.openxmlformats.org/spreadsheetml/2006/main" count="401" uniqueCount="62">
  <si>
    <t>Molde</t>
  </si>
  <si>
    <t>M1</t>
  </si>
  <si>
    <t>M2</t>
  </si>
  <si>
    <t>M3</t>
  </si>
  <si>
    <t>M4</t>
  </si>
  <si>
    <t>M5</t>
  </si>
  <si>
    <t>M6</t>
  </si>
  <si>
    <t>M7</t>
  </si>
  <si>
    <t>[g]</t>
  </si>
  <si>
    <t>Proctor</t>
  </si>
  <si>
    <t>Estandar</t>
  </si>
  <si>
    <t>Humedad</t>
  </si>
  <si>
    <t>ρ_hum</t>
  </si>
  <si>
    <t>ρ_dry</t>
  </si>
  <si>
    <t>[-]</t>
  </si>
  <si>
    <t>[g/cm3]</t>
  </si>
  <si>
    <t>Resultados Proctor</t>
  </si>
  <si>
    <t>[%]</t>
  </si>
  <si>
    <t>M_t</t>
  </si>
  <si>
    <t>M_m</t>
  </si>
  <si>
    <t>V_m</t>
  </si>
  <si>
    <t>[cm3]</t>
  </si>
  <si>
    <t>M_m+M_s_h</t>
  </si>
  <si>
    <t>M_s_h</t>
  </si>
  <si>
    <t>M__t+M_s_h</t>
  </si>
  <si>
    <t>M__t+M_s_d</t>
  </si>
  <si>
    <t>Modificado</t>
  </si>
  <si>
    <t>M8</t>
  </si>
  <si>
    <t>MOD 56</t>
  </si>
  <si>
    <t>Estándar</t>
  </si>
  <si>
    <t>56/Modificado</t>
  </si>
  <si>
    <t>% Humedad</t>
  </si>
  <si>
    <t>Densidad Seca</t>
  </si>
  <si>
    <t>Óptimo</t>
  </si>
  <si>
    <t>Mediciones TOF</t>
  </si>
  <si>
    <t>TOF1</t>
  </si>
  <si>
    <t>TOF2</t>
  </si>
  <si>
    <t>TOF3</t>
  </si>
  <si>
    <t>TOF4</t>
  </si>
  <si>
    <t>TOF5</t>
  </si>
  <si>
    <t>TOF_Prom</t>
  </si>
  <si>
    <t>[s]</t>
  </si>
  <si>
    <t>T</t>
  </si>
  <si>
    <t>mV</t>
  </si>
  <si>
    <t>TOF=</t>
  </si>
  <si>
    <t>T1</t>
  </si>
  <si>
    <t>T2</t>
  </si>
  <si>
    <t>GS</t>
  </si>
  <si>
    <t>e</t>
  </si>
  <si>
    <t>Saturación</t>
  </si>
  <si>
    <t>-</t>
  </si>
  <si>
    <t>%</t>
  </si>
  <si>
    <t>Mod E</t>
  </si>
  <si>
    <t>[Mpa]</t>
  </si>
  <si>
    <t>Poisson</t>
  </si>
  <si>
    <t>RESUMEN RESULTADOS LIMO</t>
  </si>
  <si>
    <t>RESUMEN RESULTADOS CAOLIN</t>
  </si>
  <si>
    <t>Resultados Proctor Limo Arenoso</t>
  </si>
  <si>
    <t>Resultados Proctor Caolin</t>
  </si>
  <si>
    <t>RESULTADOS BASE</t>
  </si>
  <si>
    <t>Analisis SSW</t>
  </si>
  <si>
    <t>RESULTADOS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</si>
</sst>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%"/>
    <numFmt numFmtId="165" formatCode="0.000"/>
    <numFmt numFmtId="166" formatCode="0.000000"/>
    <numFmt numFmtId="167" formatCode="0.00000"/>
    <numFmt numFmtId="168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4" fillId="0" borderId="0"/>
  </cellStyleXfs>
  <cellXfs count="6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9" fontId="0" fillId="2" borderId="0" xfId="0" applyNumberFormat="1" applyFill="1"/>
    <xf numFmtId="10" fontId="0" fillId="2" borderId="0" xfId="1" applyNumberFormat="1" applyFont="1" applyFill="1"/>
    <xf numFmtId="10" fontId="0" fillId="2" borderId="0" xfId="0" applyNumberFormat="1" applyFill="1"/>
    <xf numFmtId="0" fontId="0" fillId="2" borderId="0" xfId="0" applyFill="1" applyAlignment="1">
      <alignment vertical="center" textRotation="90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0" fontId="0" fillId="2" borderId="1" xfId="0" applyNumberFormat="1" applyFill="1" applyBorder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/>
    <xf numFmtId="166" fontId="5" fillId="2" borderId="1" xfId="0" applyNumberFormat="1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10" fontId="0" fillId="2" borderId="5" xfId="0" applyNumberFormat="1" applyFill="1" applyBorder="1"/>
    <xf numFmtId="167" fontId="0" fillId="2" borderId="1" xfId="0" applyNumberFormat="1" applyFill="1" applyBorder="1"/>
    <xf numFmtId="167" fontId="0" fillId="2" borderId="3" xfId="0" applyNumberFormat="1" applyFill="1" applyBorder="1"/>
    <xf numFmtId="167" fontId="0" fillId="2" borderId="4" xfId="0" applyNumberFormat="1" applyFill="1" applyBorder="1"/>
    <xf numFmtId="167" fontId="0" fillId="2" borderId="5" xfId="0" applyNumberFormat="1" applyFill="1" applyBorder="1"/>
    <xf numFmtId="167" fontId="5" fillId="2" borderId="1" xfId="0" applyNumberFormat="1" applyFont="1" applyFill="1" applyBorder="1" applyAlignment="1">
      <alignment horizontal="center"/>
    </xf>
    <xf numFmtId="167" fontId="0" fillId="2" borderId="0" xfId="0" applyNumberFormat="1" applyFill="1"/>
    <xf numFmtId="11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0" xfId="0" applyFill="1" applyAlignment="1">
      <alignment vertical="center"/>
    </xf>
    <xf numFmtId="10" fontId="0" fillId="2" borderId="1" xfId="1" applyNumberFormat="1" applyFont="1" applyFill="1" applyBorder="1"/>
    <xf numFmtId="165" fontId="0" fillId="2" borderId="1" xfId="0" applyNumberFormat="1" applyFill="1" applyBorder="1"/>
    <xf numFmtId="165" fontId="0" fillId="2" borderId="0" xfId="0" applyNumberFormat="1" applyFill="1"/>
    <xf numFmtId="10" fontId="0" fillId="2" borderId="3" xfId="0" applyNumberFormat="1" applyFill="1" applyBorder="1"/>
    <xf numFmtId="10" fontId="0" fillId="2" borderId="4" xfId="0" applyNumberFormat="1" applyFill="1" applyBorder="1"/>
    <xf numFmtId="10" fontId="0" fillId="2" borderId="3" xfId="1" applyNumberFormat="1" applyFont="1" applyFill="1" applyBorder="1"/>
    <xf numFmtId="10" fontId="0" fillId="2" borderId="4" xfId="1" applyNumberFormat="1" applyFont="1" applyFill="1" applyBorder="1"/>
    <xf numFmtId="10" fontId="0" fillId="2" borderId="5" xfId="1" applyNumberFormat="1" applyFont="1" applyFill="1" applyBorder="1"/>
    <xf numFmtId="165" fontId="0" fillId="2" borderId="5" xfId="0" applyNumberFormat="1" applyFill="1" applyBorder="1"/>
    <xf numFmtId="168" fontId="5" fillId="2" borderId="1" xfId="0" applyNumberFormat="1" applyFont="1" applyFill="1" applyBorder="1"/>
    <xf numFmtId="168" fontId="0" fillId="2" borderId="0" xfId="0" applyNumberFormat="1" applyFill="1"/>
    <xf numFmtId="165" fontId="0" fillId="2" borderId="3" xfId="0" applyNumberFormat="1" applyFill="1" applyBorder="1"/>
    <xf numFmtId="165" fontId="0" fillId="2" borderId="4" xfId="0" applyNumberFormat="1" applyFill="1" applyBorder="1"/>
    <xf numFmtId="2" fontId="0" fillId="2" borderId="1" xfId="0" applyNumberFormat="1" applyFill="1" applyBorder="1"/>
    <xf numFmtId="2" fontId="0" fillId="2" borderId="0" xfId="0" applyNumberFormat="1" applyFill="1"/>
    <xf numFmtId="0" fontId="1" fillId="3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</cellXfs>
  <cellStyles count="3">
    <cellStyle name="Normal" xfId="0" builtinId="0"/>
    <cellStyle name="Normal 2 2" xfId="2" xr:uid="{AE76F1AD-FA69-4313-9659-D35109A8AEE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 (TOF)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32E912F-5A54-4830-99C7-C8A629B813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7CD-47D7-8922-75A920B73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F765566-11FC-4DAA-A918-0950B62F51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096-4EED-AD64-F9A361FB2481}"/>
                </c:ext>
              </c:extLst>
            </c:dLbl>
            <c:dLbl>
              <c:idx val="2"/>
              <c:layout>
                <c:manualLayout>
                  <c:x val="0"/>
                  <c:y val="8.2829051073065152E-2"/>
                </c:manualLayout>
              </c:layout>
              <c:tx>
                <c:rich>
                  <a:bodyPr/>
                  <a:lstStyle/>
                  <a:p>
                    <a:fld id="{F18B92EA-4D08-4243-8001-94FAAD4095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096-4EED-AD64-F9A361FB24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BEB9A37-73ED-4E0E-A85E-55D5CBA23F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096-4EED-AD64-F9A361FB248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1DFD335-8738-485F-9A3E-A069440051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7CD-47D7-8922-75A920B73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'Limo-Arenoso'!$S$5:$S$9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'Limo-Arenoso'!$K$5:$K$9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'Limo-Arenoso'!$AJ$5:$AJ$9</c15:f>
                <c15:dlblRangeCache>
                  <c:ptCount val="5"/>
                  <c:pt idx="0">
                    <c:v>0.00185</c:v>
                  </c:pt>
                  <c:pt idx="1">
                    <c:v>0.00173</c:v>
                  </c:pt>
                  <c:pt idx="2">
                    <c:v>0.00166</c:v>
                  </c:pt>
                  <c:pt idx="3">
                    <c:v>0.00266</c:v>
                  </c:pt>
                  <c:pt idx="4">
                    <c:v>0.00309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919-4505-849A-ED2C2FCDBB6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'Limo-Arenoso'!$AB$7</c:f>
              <c:numCache>
                <c:formatCode>0.00%</c:formatCode>
                <c:ptCount val="1"/>
                <c:pt idx="0">
                  <c:v>0.21</c:v>
                </c:pt>
              </c:numCache>
            </c:numRef>
          </c:xVal>
          <c:yVal>
            <c:numRef>
              <c:f>'Limo-Arenoso'!$AC$7</c:f>
              <c:numCache>
                <c:formatCode>0.000</c:formatCode>
                <c:ptCount val="1"/>
                <c:pt idx="0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E-40FD-9C6B-D2D9D77E93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A8C6DD5-8A1F-4159-9B97-EDF7C21440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0E7-4E64-921F-EF90B4EDA2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6A5E790-BE80-41A5-8291-4BE731EF7D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0E7-4E64-921F-EF90B4EDA2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EE10BD4-B4DC-4C03-A697-78138C78E1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0E7-4E64-921F-EF90B4EDA2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868CA1F-9A0B-4508-B70A-163F2D2931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0E7-4E64-921F-EF90B4EDA2C2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'Limo-Arenoso'!$S$11:$S$14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'Limo-Arenoso'!$K$11:$K$14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'Limo-Arenoso'!$AN$11:$AN$14</c15:f>
                <c15:dlblRangeCache>
                  <c:ptCount val="4"/>
                  <c:pt idx="0">
                    <c:v>0.00162</c:v>
                  </c:pt>
                  <c:pt idx="1">
                    <c:v>0.00158</c:v>
                  </c:pt>
                  <c:pt idx="2">
                    <c:v>0.00174</c:v>
                  </c:pt>
                  <c:pt idx="3">
                    <c:v>0.00256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6B37-4252-9284-DE5C99E7B85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'Limo-Arenoso'!$AB$13</c:f>
              <c:numCache>
                <c:formatCode>0.00%</c:formatCode>
                <c:ptCount val="1"/>
                <c:pt idx="0">
                  <c:v>0.17199999999999999</c:v>
                </c:pt>
              </c:numCache>
            </c:numRef>
          </c:xVal>
          <c:yVal>
            <c:numRef>
              <c:f>'Limo-Arenoso'!$AC$13</c:f>
              <c:numCache>
                <c:formatCode>0.000</c:formatCode>
                <c:ptCount val="1"/>
                <c:pt idx="0">
                  <c:v>1.665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B37-4252-9284-DE5C99E7B8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56 Golpes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AC5D308-15BB-4397-9C94-F08ADFFAF1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9C0-4E3E-A346-F43BF6171A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61D130-5294-405E-93AC-DDCB63935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9C0-4E3E-A346-F43BF6171A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748FA88-D452-4E5F-A950-B5E4BC4132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9C0-4E3E-A346-F43BF6171AE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D685DB1-D138-4780-82EF-9A2246B6C0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9C0-4E3E-A346-F43BF6171AEE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'Limo-Arenoso'!$S$16:$S$19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'Limo-Arenoso'!$K$16:$K$19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'Limo-Arenoso'!$AN$16:$AN$19</c15:f>
                <c15:dlblRangeCache>
                  <c:ptCount val="4"/>
                  <c:pt idx="0">
                    <c:v>0.00121</c:v>
                  </c:pt>
                  <c:pt idx="1">
                    <c:v>0.00144</c:v>
                  </c:pt>
                  <c:pt idx="2">
                    <c:v>0.00203</c:v>
                  </c:pt>
                  <c:pt idx="3">
                    <c:v>0.00236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6866-4EBF-BF89-2A090E3AEEC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'Limo-Arenoso'!$AB$18</c:f>
              <c:numCache>
                <c:formatCode>0.00%</c:formatCode>
                <c:ptCount val="1"/>
                <c:pt idx="0">
                  <c:v>0.16</c:v>
                </c:pt>
              </c:numCache>
            </c:numRef>
          </c:xVal>
          <c:yVal>
            <c:numRef>
              <c:f>'Limo-Arenoso'!$AC$18</c:f>
              <c:numCache>
                <c:formatCode>0.000</c:formatCode>
                <c:ptCount val="1"/>
                <c:pt idx="0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866-4EBF-BF89-2A090E3AEE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1D1485B-2EC2-4047-86FA-E5A40BBA13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6F3-4332-8750-F136661EF22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756D199-7AB9-46A7-BCF5-AEED4996F2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6F3-4332-8750-F136661EF22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E36AA0D-4043-498C-9353-1B45DDC4DD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6F3-4332-8750-F136661EF22C}"/>
                </c:ext>
              </c:extLst>
            </c:dLbl>
            <c:dLbl>
              <c:idx val="3"/>
              <c:layout>
                <c:manualLayout>
                  <c:x val="-3.5852800262255739E-3"/>
                  <c:y val="-7.0445476015962252E-2"/>
                </c:manualLayout>
              </c:layout>
              <c:tx>
                <c:rich>
                  <a:bodyPr/>
                  <a:lstStyle/>
                  <a:p>
                    <a:fld id="{92BF9009-44AA-4E17-A691-47D58375AE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6F3-4332-8750-F136661EF22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62E004C-4B1D-42C3-854A-D09A4EDB94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6F3-4332-8750-F136661EF22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6F3-4332-8750-F136661EF22C}"/>
                </c:ext>
              </c:extLst>
            </c:dLbl>
            <c:dLbl>
              <c:idx val="6"/>
              <c:layout>
                <c:manualLayout>
                  <c:x val="-3.9067887727813944E-2"/>
                  <c:y val="0.11407506307765425"/>
                </c:manualLayout>
              </c:layout>
              <c:tx>
                <c:rich>
                  <a:bodyPr/>
                  <a:lstStyle/>
                  <a:p>
                    <a:fld id="{DE60AE7F-0059-41C7-B920-6F5AF35A69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6F3-4332-8750-F136661EF22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3B2B272-37CB-4BA2-9723-78A816A49E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6F3-4332-8750-F136661EF22C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AFA99180-9AB8-4B4E-87DE-9C0B8E7D97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6F3-4332-8750-F136661EF22C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30D19125-1471-4735-98BC-064E910E04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6F3-4332-8750-F136661EF22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6F3-4332-8750-F136661EF22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6E2770A-86E5-41CA-9509-6AEC2C1094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6F3-4332-8750-F136661EF22C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477BB659-14CE-4B01-9EAD-25ED050CAE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6F3-4332-8750-F136661EF22C}"/>
                </c:ext>
              </c:extLst>
            </c:dLbl>
            <c:dLbl>
              <c:idx val="13"/>
              <c:layout>
                <c:manualLayout>
                  <c:x val="1.1199139849436291E-2"/>
                  <c:y val="-2.1887439412378935E-2"/>
                </c:manualLayout>
              </c:layout>
              <c:tx>
                <c:rich>
                  <a:bodyPr/>
                  <a:lstStyle/>
                  <a:p>
                    <a:fld id="{50C56A4B-663F-4DC3-8797-C98E001C00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6F3-4332-8750-F136661EF22C}"/>
                </c:ext>
              </c:extLst>
            </c:dLbl>
            <c:dLbl>
              <c:idx val="14"/>
              <c:layout>
                <c:manualLayout>
                  <c:x val="2.0069791774833517E-2"/>
                  <c:y val="-2.4642247709456238E-3"/>
                </c:manualLayout>
              </c:layout>
              <c:tx>
                <c:rich>
                  <a:bodyPr/>
                  <a:lstStyle/>
                  <a:p>
                    <a:fld id="{BEBE1F1F-60B4-4D03-BECA-D039D48601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6F3-4332-8750-F136661EF2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'Limo-Arenoso'!$AL$5:$AL$19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xVal>
          <c:yVal>
            <c:numRef>
              <c:f>'Limo-Arenoso'!$AN$5:$AN$19</c:f>
              <c:numCache>
                <c:formatCode>0.00000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'Limo-Arenoso'!$AM$5:$AM$19</c15:f>
                <c15:dlblRangeCache>
                  <c:ptCount val="15"/>
                  <c:pt idx="0">
                    <c:v>11.30%</c:v>
                  </c:pt>
                  <c:pt idx="1">
                    <c:v>14.26%</c:v>
                  </c:pt>
                  <c:pt idx="2">
                    <c:v>19.20%</c:v>
                  </c:pt>
                  <c:pt idx="3">
                    <c:v>24.61%</c:v>
                  </c:pt>
                  <c:pt idx="4">
                    <c:v>29.51%</c:v>
                  </c:pt>
                  <c:pt idx="6">
                    <c:v>11.08%</c:v>
                  </c:pt>
                  <c:pt idx="7">
                    <c:v>16.01%</c:v>
                  </c:pt>
                  <c:pt idx="8">
                    <c:v>18.88%</c:v>
                  </c:pt>
                  <c:pt idx="9">
                    <c:v>24.16%</c:v>
                  </c:pt>
                  <c:pt idx="11">
                    <c:v>13.23%</c:v>
                  </c:pt>
                  <c:pt idx="12">
                    <c:v>15.98%</c:v>
                  </c:pt>
                  <c:pt idx="13">
                    <c:v>18.81%</c:v>
                  </c:pt>
                  <c:pt idx="14">
                    <c:v>22.39%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6F3-4332-8750-F136661EF2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971BC37-E4AB-4960-BDB0-58A828A153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8B9-4E5C-92C5-04C3750FC9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F21A7E4-0CAE-482B-8B70-37A8328969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8B9-4E5C-92C5-04C3750FC9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DF09D98-1E3F-4DE5-A22F-5056AA5F9C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8B9-4E5C-92C5-04C3750FC9C7}"/>
                </c:ext>
              </c:extLst>
            </c:dLbl>
            <c:dLbl>
              <c:idx val="3"/>
              <c:layout>
                <c:manualLayout>
                  <c:x val="-3.5852800262255739E-3"/>
                  <c:y val="-7.0445476015962252E-2"/>
                </c:manualLayout>
              </c:layout>
              <c:tx>
                <c:rich>
                  <a:bodyPr/>
                  <a:lstStyle/>
                  <a:p>
                    <a:fld id="{2A993188-1331-46A9-B660-FF71B21675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8B9-4E5C-92C5-04C3750FC9C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74E910A-9ECF-41B7-94F7-9A1B197BD1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8B9-4E5C-92C5-04C3750FC9C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8B9-4E5C-92C5-04C3750FC9C7}"/>
                </c:ext>
              </c:extLst>
            </c:dLbl>
            <c:dLbl>
              <c:idx val="6"/>
              <c:layout>
                <c:manualLayout>
                  <c:x val="-3.9067887727813944E-2"/>
                  <c:y val="0.11407506307765425"/>
                </c:manualLayout>
              </c:layout>
              <c:tx>
                <c:rich>
                  <a:bodyPr/>
                  <a:lstStyle/>
                  <a:p>
                    <a:fld id="{BB0BB39B-3FF6-470B-ABE2-0C29CBE538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8B9-4E5C-92C5-04C3750FC9C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2167CEE-BE55-47E1-A99B-53A07548B2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8B9-4E5C-92C5-04C3750FC9C7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0A91285F-F6AB-4D6E-88B6-E6BAB8D0F7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8B9-4E5C-92C5-04C3750FC9C7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5AAF5B09-B56F-46AB-AAA3-FFCD7F9072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8B9-4E5C-92C5-04C3750FC9C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8B9-4E5C-92C5-04C3750FC9C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2F58A44-6370-4549-8177-B7E0E41F2C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8B9-4E5C-92C5-04C3750FC9C7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3E8ACA74-F7D9-4FA6-B338-E3E437713C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8B9-4E5C-92C5-04C3750FC9C7}"/>
                </c:ext>
              </c:extLst>
            </c:dLbl>
            <c:dLbl>
              <c:idx val="13"/>
              <c:layout>
                <c:manualLayout>
                  <c:x val="1.1199139849436291E-2"/>
                  <c:y val="-2.1887439412378935E-2"/>
                </c:manualLayout>
              </c:layout>
              <c:tx>
                <c:rich>
                  <a:bodyPr/>
                  <a:lstStyle/>
                  <a:p>
                    <a:fld id="{C557E02A-720D-449E-B01B-4B8FD52913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8B9-4E5C-92C5-04C3750FC9C7}"/>
                </c:ext>
              </c:extLst>
            </c:dLbl>
            <c:dLbl>
              <c:idx val="14"/>
              <c:layout>
                <c:manualLayout>
                  <c:x val="2.0069791774833517E-2"/>
                  <c:y val="-2.4642247709456238E-3"/>
                </c:manualLayout>
              </c:layout>
              <c:tx>
                <c:rich>
                  <a:bodyPr/>
                  <a:lstStyle/>
                  <a:p>
                    <a:fld id="{329E26F6-6E6D-43D0-9DAF-DC8C673F08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8B9-4E5C-92C5-04C3750FC9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'Limo-Arenoso'!$AL$5:$AL$19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xVal>
          <c:yVal>
            <c:numRef>
              <c:f>'Limo-Arenoso'!$AN$5:$AN$19</c:f>
              <c:numCache>
                <c:formatCode>0.00000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'Limo-Arenoso'!$N$5:$N$19</c15:f>
                <c15:dlblRangeCache>
                  <c:ptCount val="15"/>
                  <c:pt idx="0">
                    <c:v>32.12%</c:v>
                  </c:pt>
                  <c:pt idx="1">
                    <c:v>45.93%</c:v>
                  </c:pt>
                  <c:pt idx="2">
                    <c:v>68.05%</c:v>
                  </c:pt>
                  <c:pt idx="3">
                    <c:v>88.59%</c:v>
                  </c:pt>
                  <c:pt idx="4">
                    <c:v>84.00%</c:v>
                  </c:pt>
                  <c:pt idx="6">
                    <c:v>42.16%</c:v>
                  </c:pt>
                  <c:pt idx="7">
                    <c:v>70.35%</c:v>
                  </c:pt>
                  <c:pt idx="8">
                    <c:v>84.48%</c:v>
                  </c:pt>
                  <c:pt idx="9">
                    <c:v>85.64%</c:v>
                  </c:pt>
                  <c:pt idx="11">
                    <c:v>65.45%</c:v>
                  </c:pt>
                  <c:pt idx="12">
                    <c:v>83.61%</c:v>
                  </c:pt>
                  <c:pt idx="13">
                    <c:v>90.55%</c:v>
                  </c:pt>
                  <c:pt idx="14">
                    <c:v>84.37%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E8B9-4E5C-92C5-04C3750FC9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67F9670-4C54-4789-8CD3-9EDA5E54D3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D4F-41E8-873F-D9B93D02A5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100796B-660A-431E-B8A9-8AC1A498CC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4F-41E8-873F-D9B93D02A5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D9D329C-278B-43BF-AAD4-F5674B693D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D4F-41E8-873F-D9B93D02A5F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E21B8D8-22DF-48E9-8DEB-A2CA5D4D61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4F-41E8-873F-D9B93D02A5F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76C5BF8-1778-40F4-A033-A35B0CE047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D4F-41E8-873F-D9B93D02A5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'Limo-Arenoso'!$S$5:$S$9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'Limo-Arenoso'!$K$5:$K$9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'Limo-Arenoso'!$AQ$5:$AQ$9</c15:f>
                <c15:dlblRangeCache>
                  <c:ptCount val="5"/>
                  <c:pt idx="0">
                    <c:v>32.626</c:v>
                  </c:pt>
                  <c:pt idx="1">
                    <c:v>50.233</c:v>
                  </c:pt>
                  <c:pt idx="2">
                    <c:v>65.587</c:v>
                  </c:pt>
                  <c:pt idx="3">
                    <c:v>1.606</c:v>
                  </c:pt>
                  <c:pt idx="4">
                    <c:v>0.315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D4F-41E8-873F-D9B93D02A5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'Limo-Arenoso'!$AB$7</c:f>
              <c:numCache>
                <c:formatCode>0.00%</c:formatCode>
                <c:ptCount val="1"/>
                <c:pt idx="0">
                  <c:v>0.21</c:v>
                </c:pt>
              </c:numCache>
            </c:numRef>
          </c:xVal>
          <c:yVal>
            <c:numRef>
              <c:f>'Limo-Arenoso'!$AC$7</c:f>
              <c:numCache>
                <c:formatCode>0.000</c:formatCode>
                <c:ptCount val="1"/>
                <c:pt idx="0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4F-41E8-873F-D9B93D02A5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615CB9D-ACED-475B-9E42-49986D21C0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F30-424E-8261-569287EB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C8BE4E9-3320-4D0B-9ABF-F681AF2B4E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F30-424E-8261-569287EB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FED60B7-333A-45BE-8F3F-52A747D442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F30-424E-8261-569287EB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B93DBD5-8B7C-40A7-9CD4-114043AA57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F30-424E-8261-569287EB869D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'Limo-Arenoso'!$S$11:$S$14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'Limo-Arenoso'!$K$11:$K$14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'Limo-Arenoso'!$AQ$11:$AQ$14</c15:f>
                <c15:dlblRangeCache>
                  <c:ptCount val="4"/>
                  <c:pt idx="0">
                    <c:v>75.858</c:v>
                  </c:pt>
                  <c:pt idx="1">
                    <c:v>87.736</c:v>
                  </c:pt>
                  <c:pt idx="2">
                    <c:v>48.322</c:v>
                  </c:pt>
                  <c:pt idx="3">
                    <c:v>2.277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F30-424E-8261-569287EB869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'Limo-Arenoso'!$AB$13</c:f>
              <c:numCache>
                <c:formatCode>0.00%</c:formatCode>
                <c:ptCount val="1"/>
                <c:pt idx="0">
                  <c:v>0.17199999999999999</c:v>
                </c:pt>
              </c:numCache>
            </c:numRef>
          </c:xVal>
          <c:yVal>
            <c:numRef>
              <c:f>'Limo-Arenoso'!$AC$13</c:f>
              <c:numCache>
                <c:formatCode>0.000</c:formatCode>
                <c:ptCount val="1"/>
                <c:pt idx="0">
                  <c:v>1.665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30-424E-8261-569287EB86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56 Golpes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8AF34EB-E88E-41E0-B5B1-868C15C671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FA4-4DF9-93D9-D810B62159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06145D6-56C6-4BA2-BF96-06A213FB12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FA4-4DF9-93D9-D810B62159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6F54C15-0535-4EB6-9459-1ED62F1C77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FA4-4DF9-93D9-D810B62159F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14FB9BF-22CF-48FE-9762-EA2C64F89D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FA4-4DF9-93D9-D810B62159FF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'Limo-Arenoso'!$S$16:$S$19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'Limo-Arenoso'!$K$16:$K$19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'Limo-Arenoso'!$AQ$16:$AQ$19</c15:f>
                <c15:dlblRangeCache>
                  <c:ptCount val="4"/>
                  <c:pt idx="0">
                    <c:v>370.782</c:v>
                  </c:pt>
                  <c:pt idx="1">
                    <c:v>148.842</c:v>
                  </c:pt>
                  <c:pt idx="2">
                    <c:v>16.709</c:v>
                  </c:pt>
                  <c:pt idx="3">
                    <c:v>4.923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FA4-4DF9-93D9-D810B62159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'Limo-Arenoso'!$AB$18</c:f>
              <c:numCache>
                <c:formatCode>0.00%</c:formatCode>
                <c:ptCount val="1"/>
                <c:pt idx="0">
                  <c:v>0.16</c:v>
                </c:pt>
              </c:numCache>
            </c:numRef>
          </c:xVal>
          <c:yVal>
            <c:numRef>
              <c:f>'Limo-Arenoso'!$AC$18</c:f>
              <c:numCache>
                <c:formatCode>0.000</c:formatCode>
                <c:ptCount val="1"/>
                <c:pt idx="0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A4-4DF9-93D9-D810B62159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'Limo-Arenoso'!$AM$5:$AM$9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'Limo-Arenoso'!$AL$5:$AL$9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F-46AC-89BE-6CAC30DB9FD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'Limo-Arenoso'!$AM$11:$AM$14</c:f>
              <c:numCache>
                <c:formatCode>0.00%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'Limo-Arenoso'!$AL$11:$AL$14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DF-46AC-89BE-6CAC30DB9FD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'Limo-Arenoso'!$AM$16:$AM$19</c:f>
              <c:numCache>
                <c:formatCode>0.00%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'Limo-Arenoso'!$AL$16:$AL$19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DF-46AC-89BE-6CAC30DB9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Estandar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2FC1E46-A80D-483E-BF84-DFCD400A42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2A3-4894-AEFE-7EDE819428B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8F94F9B-61F9-4456-9077-EAF0446AD0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2A3-4894-AEFE-7EDE819428B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56087D9-1FDC-49DA-90C8-1139868862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2A3-4894-AEFE-7EDE819428B1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fld id="{33022125-6000-4689-9AC9-9CDF0DB352C1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2A3-4894-AEFE-7EDE819428B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Caolin!$S$5:$S$8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Caolin!$K$5:$K$8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Caolin!$AN$5:$AN$8</c15:f>
                <c15:dlblRangeCache>
                  <c:ptCount val="4"/>
                  <c:pt idx="0">
                    <c:v>0.00153</c:v>
                  </c:pt>
                  <c:pt idx="1">
                    <c:v>0.00289</c:v>
                  </c:pt>
                  <c:pt idx="2">
                    <c:v>0.00313</c:v>
                  </c:pt>
                  <c:pt idx="3">
                    <c:v>0.00160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B774-4B6C-A96E-AA703CBEE9D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Caolin!$AB$7</c:f>
              <c:numCache>
                <c:formatCode>0.00%</c:formatCode>
                <c:ptCount val="1"/>
                <c:pt idx="0">
                  <c:v>0.18099999999999999</c:v>
                </c:pt>
              </c:numCache>
            </c:numRef>
          </c:xVal>
          <c:yVal>
            <c:numRef>
              <c:f>Caolin!$AC$7</c:f>
              <c:numCache>
                <c:formatCode>0.000</c:formatCode>
                <c:ptCount val="1"/>
                <c:pt idx="0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774-4B6C-A96E-AA703CBEE9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F15D920-8FEC-480F-9D88-AEAD514EFF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E5B-48F7-A9D5-875D034340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0DCAC8E-4298-4830-8B73-1DB3D2153D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E5B-48F7-A9D5-875D034340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B696227-EA02-4CD7-99A5-6627453557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E5B-48F7-A9D5-875D034340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11C9493-E570-4F8A-A20C-71A8822EAC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E5B-48F7-A9D5-875D0343408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79D7B6F-7419-41A6-9FDE-070A6F6082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E5B-48F7-A9D5-875D03434081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Caolin!$S$10:$S$14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Caolin!$K$10:$K$14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Caolin!$AN$10:$AN$14</c15:f>
                <c15:dlblRangeCache>
                  <c:ptCount val="5"/>
                  <c:pt idx="0">
                    <c:v>0.00127</c:v>
                  </c:pt>
                  <c:pt idx="1">
                    <c:v>0.00125</c:v>
                  </c:pt>
                  <c:pt idx="2">
                    <c:v>0.00146</c:v>
                  </c:pt>
                  <c:pt idx="3">
                    <c:v>0.00130</c:v>
                  </c:pt>
                  <c:pt idx="4">
                    <c:v>0.00178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FC8D-4112-B81F-6F3FE965BE0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Caolin!$AB$12</c:f>
              <c:numCache>
                <c:formatCode>0.00%</c:formatCode>
                <c:ptCount val="1"/>
                <c:pt idx="0">
                  <c:v>0.15</c:v>
                </c:pt>
              </c:numCache>
            </c:numRef>
          </c:xVal>
          <c:yVal>
            <c:numRef>
              <c:f>Caolin!$AC$12</c:f>
              <c:numCache>
                <c:formatCode>0.000</c:formatCode>
                <c:ptCount val="1"/>
                <c:pt idx="0">
                  <c:v>1.7949999999999999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8D-4112-B81F-6F3FE965BE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56 Golpes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E6D49D9-ABD9-4788-8FE1-48E3D60434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2AF-439A-8265-0675648C7F1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C123E27-9DEC-4897-8A67-F8EE217D9E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2AF-439A-8265-0675648C7F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3DAC24D-C5ED-4821-9679-3C5B6AC1FC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2AF-439A-8265-0675648C7F1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01EC386-32AC-47EA-AAC1-F49E987FEF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2AF-439A-8265-0675648C7F19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Caolin!$S$16:$S$19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Caolin!$K$16:$K$19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Caolin!$AN$16:$AN$19</c15:f>
                <c15:dlblRangeCache>
                  <c:ptCount val="4"/>
                  <c:pt idx="0">
                    <c:v>0.00121</c:v>
                  </c:pt>
                  <c:pt idx="1">
                    <c:v>0.00110</c:v>
                  </c:pt>
                  <c:pt idx="2">
                    <c:v>0.00140</c:v>
                  </c:pt>
                  <c:pt idx="3">
                    <c:v>0.00230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6B2-43E4-B0CD-EAC84C1739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Caolin!$AB$18</c:f>
              <c:numCache>
                <c:formatCode>0.00%</c:formatCode>
                <c:ptCount val="1"/>
                <c:pt idx="0">
                  <c:v>0.14499999999999999</c:v>
                </c:pt>
              </c:numCache>
            </c:numRef>
          </c:xVal>
          <c:yVal>
            <c:numRef>
              <c:f>Caolin!$AC$18</c:f>
              <c:numCache>
                <c:formatCode>0.000</c:formatCode>
                <c:ptCount val="1"/>
                <c:pt idx="0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B2-43E4-B0CD-EAC84C1739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E4F7E74A-A824-490F-9612-C350742977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71D-4CAE-B5BD-87E9D5C6FEC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B0A9274-F111-4BCC-9E09-B2AD9DCEC3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1D-4CAE-B5BD-87E9D5C6FEC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08CF3FE-62B5-472B-AFD6-8BA3D591BD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71D-4CAE-B5BD-87E9D5C6FEC6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BBDDD5FE-8A50-4F50-A335-1F0EB00B8E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71D-4CAE-B5BD-87E9D5C6FEC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71D-4CAE-B5BD-87E9D5C6FEC6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fld id="{6711BC1D-4D36-4099-94AD-D595955DF8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71D-4CAE-B5BD-87E9D5C6FEC6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0427A1EB-AB16-43B5-A605-D41AD5E523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71D-4CAE-B5BD-87E9D5C6FEC6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8F07332B-93EC-4A6E-961B-3F107E2150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71D-4CAE-B5BD-87E9D5C6FEC6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E1BC92C2-F232-46CD-9C97-B9994BF693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71D-4CAE-B5BD-87E9D5C6FEC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4A1FC4C-DBA8-4A00-96CF-C1360091FC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1D-4CAE-B5BD-87E9D5C6FEC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71D-4CAE-B5BD-87E9D5C6FEC6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54205E55-1FA0-43DE-8C41-DCEBD60718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71D-4CAE-B5BD-87E9D5C6FEC6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07AA96BE-348B-47C1-8755-640BD182DE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71D-4CAE-B5BD-87E9D5C6FEC6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980B40AD-FD93-4F58-B0ED-289B961B6B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71D-4CAE-B5BD-87E9D5C6FEC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8F4D8D7-C6F4-40D7-B221-628BBF90DC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71D-4CAE-B5BD-87E9D5C6F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Caolin!$AL$5:$AL$19</c:f>
              <c:numCache>
                <c:formatCode>General</c:formatCode>
                <c:ptCount val="15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  <c:pt idx="5">
                  <c:v>1.741579267448629</c:v>
                </c:pt>
                <c:pt idx="6">
                  <c:v>1.7894306168364227</c:v>
                </c:pt>
                <c:pt idx="7">
                  <c:v>1.8061947339895521</c:v>
                </c:pt>
                <c:pt idx="8">
                  <c:v>1.6673281341222654</c:v>
                </c:pt>
                <c:pt idx="9">
                  <c:v>1.5456713004509131</c:v>
                </c:pt>
                <c:pt idx="11">
                  <c:v>1.7743615616875121</c:v>
                </c:pt>
                <c:pt idx="12">
                  <c:v>1.8202988531912971</c:v>
                </c:pt>
                <c:pt idx="13">
                  <c:v>1.7636738086928547</c:v>
                </c:pt>
                <c:pt idx="14">
                  <c:v>1.642825029593429</c:v>
                </c:pt>
              </c:numCache>
            </c:numRef>
          </c:xVal>
          <c:yVal>
            <c:numRef>
              <c:f>Caolin!$AN$5:$AN$19</c:f>
              <c:numCache>
                <c:formatCode>0.00000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Caolin!$AM$5:$AM$19</c15:f>
                <c15:dlblRangeCache>
                  <c:ptCount val="15"/>
                  <c:pt idx="0">
                    <c:v>16.22%</c:v>
                  </c:pt>
                  <c:pt idx="1">
                    <c:v>19.98%</c:v>
                  </c:pt>
                  <c:pt idx="2">
                    <c:v>26.69%</c:v>
                  </c:pt>
                  <c:pt idx="3">
                    <c:v>11.70%</c:v>
                  </c:pt>
                  <c:pt idx="5">
                    <c:v>10.63%</c:v>
                  </c:pt>
                  <c:pt idx="6">
                    <c:v>14.52%</c:v>
                  </c:pt>
                  <c:pt idx="7">
                    <c:v>16.49%</c:v>
                  </c:pt>
                  <c:pt idx="8">
                    <c:v>7.99%</c:v>
                  </c:pt>
                  <c:pt idx="9">
                    <c:v>22.85%</c:v>
                  </c:pt>
                  <c:pt idx="11">
                    <c:v>9.04%</c:v>
                  </c:pt>
                  <c:pt idx="12">
                    <c:v>15.09%</c:v>
                  </c:pt>
                  <c:pt idx="13">
                    <c:v>18.55%</c:v>
                  </c:pt>
                  <c:pt idx="14">
                    <c:v>22.48%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471D-4CAE-B5BD-87E9D5C6FE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Estandar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AFD9A76-9000-4297-A8AA-268AFEF473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74F-44BC-B294-725DE318060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3EEAFB-2102-426E-98FB-47CB294E2E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74F-44BC-B294-725DE31806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93E27BB-DD75-4B60-8AF2-7CD847F7C1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74F-44BC-B294-725DE3180609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fld id="{55AB4672-02F5-4DB5-AA2B-DA48E7D044E6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74F-44BC-B294-725DE318060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Caolin!$S$5:$S$8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Caolin!$K$5:$K$8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Caolin!$AQ$5:$AQ$8</c15:f>
                <c15:dlblRangeCache>
                  <c:ptCount val="4"/>
                  <c:pt idx="0">
                    <c:v>100.715</c:v>
                  </c:pt>
                  <c:pt idx="1">
                    <c:v>0.758</c:v>
                  </c:pt>
                  <c:pt idx="2">
                    <c:v>0.327</c:v>
                  </c:pt>
                  <c:pt idx="3">
                    <c:v>77.674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774F-44BC-B294-725DE318060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Caolin!$AB$7</c:f>
              <c:numCache>
                <c:formatCode>0.00%</c:formatCode>
                <c:ptCount val="1"/>
                <c:pt idx="0">
                  <c:v>0.18099999999999999</c:v>
                </c:pt>
              </c:numCache>
            </c:numRef>
          </c:xVal>
          <c:yVal>
            <c:numRef>
              <c:f>Caolin!$AC$7</c:f>
              <c:numCache>
                <c:formatCode>0.000</c:formatCode>
                <c:ptCount val="1"/>
                <c:pt idx="0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4F-44BC-B294-725DE31806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E9EA407-875A-48B4-81AB-EDF595AC96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DDC-468D-A976-A63FF1A4CD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478EE84-B870-4989-9FBA-A794B69EB4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DDC-468D-A976-A63FF1A4CD1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08D7C0E-BCF5-4246-9789-7F8F4AAF8D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DDC-468D-A976-A63FF1A4CD1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48CDDBE-AACE-46D6-AF7A-46B94C628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DDC-468D-A976-A63FF1A4CD1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58864F1-036D-406B-B77D-EFDEE021CA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DDC-468D-A976-A63FF1A4CD13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Caolin!$S$10:$S$14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Caolin!$K$10:$K$14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Caolin!$AQ$10:$AQ$14</c15:f>
                <c15:dlblRangeCache>
                  <c:ptCount val="5"/>
                  <c:pt idx="0">
                    <c:v>269.206</c:v>
                  </c:pt>
                  <c:pt idx="1">
                    <c:v>283.131</c:v>
                  </c:pt>
                  <c:pt idx="2">
                    <c:v>127.566</c:v>
                  </c:pt>
                  <c:pt idx="3">
                    <c:v>241.603</c:v>
                  </c:pt>
                  <c:pt idx="4">
                    <c:v>41.043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9DDC-468D-A976-A63FF1A4CD1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Caolin!$AB$12</c:f>
              <c:numCache>
                <c:formatCode>0.00%</c:formatCode>
                <c:ptCount val="1"/>
                <c:pt idx="0">
                  <c:v>0.15</c:v>
                </c:pt>
              </c:numCache>
            </c:numRef>
          </c:xVal>
          <c:yVal>
            <c:numRef>
              <c:f>Caolin!$AC$12</c:f>
              <c:numCache>
                <c:formatCode>0.000</c:formatCode>
                <c:ptCount val="1"/>
                <c:pt idx="0">
                  <c:v>1.7949999999999999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DC-468D-A976-A63FF1A4CD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56 Golpes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50DF83D-5C3D-4A94-A771-72D6DBA263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9B0-4D2D-827B-934E53FF12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4510E38-FCED-4CAC-8913-EA0F3E929A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9B0-4D2D-827B-934E53FF123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3A7F5AA-6082-4872-8A6F-C89DF88B62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9B0-4D2D-827B-934E53FF12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333592F-0D1B-4DDF-9264-B7613D48DC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9B0-4D2D-827B-934E53FF1230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Caolin!$S$16:$S$19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Caolin!$K$16:$K$19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Caolin!$AQ$16:$AQ$19</c15:f>
                <c15:dlblRangeCache>
                  <c:ptCount val="4"/>
                  <c:pt idx="0">
                    <c:v>349.346</c:v>
                  </c:pt>
                  <c:pt idx="1">
                    <c:v>562.172</c:v>
                  </c:pt>
                  <c:pt idx="2">
                    <c:v>164.152</c:v>
                  </c:pt>
                  <c:pt idx="3">
                    <c:v>6.284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9B0-4D2D-827B-934E53FF12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Caolin!$AB$18</c:f>
              <c:numCache>
                <c:formatCode>0.00%</c:formatCode>
                <c:ptCount val="1"/>
                <c:pt idx="0">
                  <c:v>0.14499999999999999</c:v>
                </c:pt>
              </c:numCache>
            </c:numRef>
          </c:xVal>
          <c:yVal>
            <c:numRef>
              <c:f>Caolin!$AC$18</c:f>
              <c:numCache>
                <c:formatCode>0.000</c:formatCode>
                <c:ptCount val="1"/>
                <c:pt idx="0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B0-4D2D-827B-934E53FF12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2BC2F041-F0CA-464E-A44C-E7BEBA7049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D3E-4C41-B4BC-6966FB9BE9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D174F41-3A0E-4E8D-9AE2-9CD29D2D84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D3E-4C41-B4BC-6966FB9BE9F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6B85B87-163E-4DFB-9B23-8A227115F0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D3E-4C41-B4BC-6966FB9BE9FD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0A212A0C-81B2-4660-9CC4-FB16696E12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D3E-4C41-B4BC-6966FB9BE9F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D3E-4C41-B4BC-6966FB9BE9FD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fld id="{8B203B2B-650B-43C2-87B6-CFF30C785F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D3E-4C41-B4BC-6966FB9BE9FD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E4A0861D-17B0-4A99-891E-1864ABF984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D3E-4C41-B4BC-6966FB9BE9FD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6D8F0139-2E55-4C52-9588-3EC3873EF6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D3E-4C41-B4BC-6966FB9BE9FD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C88F6391-C648-4498-A50E-C782516A4A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D3E-4C41-B4BC-6966FB9BE9F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B4C5085-CBF6-47E6-96D2-F98CECA2A0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3E-4C41-B4BC-6966FB9BE9F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D3E-4C41-B4BC-6966FB9BE9FD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4D35E44D-7CD3-419D-860F-4150DB7B52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D3E-4C41-B4BC-6966FB9BE9FD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EF4512B8-B29D-4D73-8C51-A032E5D1B3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D3E-4C41-B4BC-6966FB9BE9FD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54F14974-6E98-4014-A7BD-0647C6AA60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D3E-4C41-B4BC-6966FB9BE9F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3D51188-C87E-4570-8F29-CC959E9E38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D3E-4C41-B4BC-6966FB9BE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Caolin!$AL$5:$AL$19</c:f>
              <c:numCache>
                <c:formatCode>General</c:formatCode>
                <c:ptCount val="15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  <c:pt idx="5">
                  <c:v>1.741579267448629</c:v>
                </c:pt>
                <c:pt idx="6">
                  <c:v>1.7894306168364227</c:v>
                </c:pt>
                <c:pt idx="7">
                  <c:v>1.8061947339895521</c:v>
                </c:pt>
                <c:pt idx="8">
                  <c:v>1.6673281341222654</c:v>
                </c:pt>
                <c:pt idx="9">
                  <c:v>1.5456713004509131</c:v>
                </c:pt>
                <c:pt idx="11">
                  <c:v>1.7743615616875121</c:v>
                </c:pt>
                <c:pt idx="12">
                  <c:v>1.8202988531912971</c:v>
                </c:pt>
                <c:pt idx="13">
                  <c:v>1.7636738086928547</c:v>
                </c:pt>
                <c:pt idx="14">
                  <c:v>1.642825029593429</c:v>
                </c:pt>
              </c:numCache>
            </c:numRef>
          </c:xVal>
          <c:yVal>
            <c:numRef>
              <c:f>Caolin!$AN$5:$AN$19</c:f>
              <c:numCache>
                <c:formatCode>0.00000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Caolin!$AO$5:$AO$19</c15:f>
                <c15:dlblRangeCache>
                  <c:ptCount val="15"/>
                  <c:pt idx="0">
                    <c:v>72.15%</c:v>
                  </c:pt>
                  <c:pt idx="1">
                    <c:v>89.01%</c:v>
                  </c:pt>
                  <c:pt idx="2">
                    <c:v>93.24%</c:v>
                  </c:pt>
                  <c:pt idx="3">
                    <c:v>45.41%</c:v>
                  </c:pt>
                  <c:pt idx="5">
                    <c:v>54.01%</c:v>
                  </c:pt>
                  <c:pt idx="6">
                    <c:v>80.04%</c:v>
                  </c:pt>
                  <c:pt idx="7">
                    <c:v>93.54%</c:v>
                  </c:pt>
                  <c:pt idx="8">
                    <c:v>35.92%</c:v>
                  </c:pt>
                  <c:pt idx="9">
                    <c:v>84.75%</c:v>
                  </c:pt>
                  <c:pt idx="11">
                    <c:v>48.56%</c:v>
                  </c:pt>
                  <c:pt idx="12">
                    <c:v>87.70%</c:v>
                  </c:pt>
                  <c:pt idx="13">
                    <c:v>97.82%</c:v>
                  </c:pt>
                  <c:pt idx="14">
                    <c:v>97.16%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BD3E-4C41-B4BC-6966FB9BE9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Caolin!$AM$5:$AM$8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Caolin!$AL$5:$AL$8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B3-4490-9FF7-874E799A756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Caolin!$AM$10:$AM$14</c:f>
              <c:numCache>
                <c:formatCode>0.00%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Caolin!$AL$10:$AL$14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B3-4490-9FF7-874E799A756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Caolin!$AM$16:$AM$19</c:f>
              <c:numCache>
                <c:formatCode>0.00%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Caolin!$AL$16:$AL$19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B3-4490-9FF7-874E799A7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Estandar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9340541772587624"/>
                  <c:y val="-2.6321665688272537E-2"/>
                </c:manualLayout>
              </c:layout>
              <c:tx>
                <c:rich>
                  <a:bodyPr/>
                  <a:lstStyle/>
                  <a:p>
                    <a:fld id="{BCB64AB3-AF2C-4006-99B1-B3E4E645D4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6B1-4B95-BCBB-D32DA57CD65F}"/>
                </c:ext>
              </c:extLst>
            </c:dLbl>
            <c:dLbl>
              <c:idx val="1"/>
              <c:layout>
                <c:manualLayout>
                  <c:x val="-2.2086757109398805E-2"/>
                  <c:y val="-0.12897727330135786"/>
                </c:manualLayout>
              </c:layout>
              <c:tx>
                <c:rich>
                  <a:bodyPr/>
                  <a:lstStyle/>
                  <a:p>
                    <a:fld id="{EF429EDB-CF0E-4016-A630-B7A665FEAC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6B1-4B95-BCBB-D32DA57CD65F}"/>
                </c:ext>
              </c:extLst>
            </c:dLbl>
            <c:dLbl>
              <c:idx val="2"/>
              <c:layout>
                <c:manualLayout>
                  <c:x val="-0.11365362743889533"/>
                  <c:y val="-0.11614532234972232"/>
                </c:manualLayout>
              </c:layout>
              <c:tx>
                <c:rich>
                  <a:bodyPr/>
                  <a:lstStyle/>
                  <a:p>
                    <a:fld id="{37B4B027-9001-48AC-B9B0-7A0BC54293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6B1-4B95-BCBB-D32DA57CD65F}"/>
                </c:ext>
              </c:extLst>
            </c:dLbl>
            <c:dLbl>
              <c:idx val="3"/>
              <c:layout>
                <c:manualLayout>
                  <c:x val="2.8127333071292844E-2"/>
                  <c:y val="-7.7649469494815188E-2"/>
                </c:manualLayout>
              </c:layout>
              <c:tx>
                <c:rich>
                  <a:bodyPr/>
                  <a:lstStyle/>
                  <a:p>
                    <a:fld id="{F2D2B392-BCE5-4DCB-818E-48BB3738D7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6B1-4B95-BCBB-D32DA57CD65F}"/>
                </c:ext>
              </c:extLst>
            </c:dLbl>
            <c:dLbl>
              <c:idx val="4"/>
              <c:layout>
                <c:manualLayout>
                  <c:x val="-8.1162157321977207E-2"/>
                  <c:y val="-0.17388910163208271"/>
                </c:manualLayout>
              </c:layout>
              <c:tx>
                <c:rich>
                  <a:bodyPr/>
                  <a:lstStyle/>
                  <a:p>
                    <a:fld id="{09DC9E16-DD44-4C3B-A5C1-6A804166A3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6B1-4B95-BCBB-D32DA57CD65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Base!$S$5:$S$9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Base!$K$5:$K$9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Base!$AJ$5:$AJ$9</c15:f>
                <c15:dlblRangeCache>
                  <c:ptCount val="5"/>
                  <c:pt idx="0">
                    <c:v>0.0021</c:v>
                  </c:pt>
                  <c:pt idx="1">
                    <c:v>0.0036</c:v>
                  </c:pt>
                  <c:pt idx="2">
                    <c:v>0.0019</c:v>
                  </c:pt>
                  <c:pt idx="3">
                    <c:v>0.0025</c:v>
                  </c:pt>
                  <c:pt idx="4">
                    <c:v>0.0018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8DC-4264-A27A-9440713335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Base!$AB$7</c:f>
              <c:numCache>
                <c:formatCode>0.00%</c:formatCode>
                <c:ptCount val="1"/>
                <c:pt idx="0">
                  <c:v>0.1</c:v>
                </c:pt>
              </c:numCache>
            </c:numRef>
          </c:xVal>
          <c:yVal>
            <c:numRef>
              <c:f>Base!$AC$7</c:f>
              <c:numCache>
                <c:formatCode>0.000</c:formatCode>
                <c:ptCount val="1"/>
                <c:pt idx="0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DC-4264-A27A-9440713335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5BF8B2D-C07C-465B-95C0-23E4FB3B8A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4BE-458E-82EE-31498E0442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AC393E4-D5CB-434C-8CD2-23C2679DE5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4BE-458E-82EE-31498E04421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BDA00A-830C-43E4-9AE6-CD3A49EE59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4BE-458E-82EE-31498E04421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77A6ED-8640-40C7-9058-30D185223B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4BE-458E-82EE-31498E0442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Base!$S$11:$S$14</c:f>
              <c:numCache>
                <c:formatCode>0.000%</c:formatCode>
                <c:ptCount val="4"/>
                <c:pt idx="0">
                  <c:v>3.3795493934141954E-2</c:v>
                </c:pt>
                <c:pt idx="1">
                  <c:v>5.5575604474919035E-2</c:v>
                </c:pt>
                <c:pt idx="2">
                  <c:v>8.8829787234042445E-2</c:v>
                </c:pt>
                <c:pt idx="3">
                  <c:v>0.11358267716535424</c:v>
                </c:pt>
              </c:numCache>
            </c:numRef>
          </c:xVal>
          <c:yVal>
            <c:numRef>
              <c:f>Base!$K$11:$K$14</c:f>
              <c:numCache>
                <c:formatCode>General</c:formatCode>
                <c:ptCount val="4"/>
                <c:pt idx="0">
                  <c:v>2.1293573554791845</c:v>
                </c:pt>
                <c:pt idx="1">
                  <c:v>2.1900756808685244</c:v>
                </c:pt>
                <c:pt idx="2">
                  <c:v>2.1781200578512712</c:v>
                </c:pt>
                <c:pt idx="3">
                  <c:v>2.1033268647883205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Base!$AJ$11:$AJ$14</c15:f>
                <c15:dlblRangeCache>
                  <c:ptCount val="4"/>
                  <c:pt idx="0">
                    <c:v>0.0009</c:v>
                  </c:pt>
                  <c:pt idx="1">
                    <c:v>0.0010</c:v>
                  </c:pt>
                  <c:pt idx="2">
                    <c:v>0.0019</c:v>
                  </c:pt>
                  <c:pt idx="3">
                    <c:v>0.0033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F1E-42EF-A369-719B250A57A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Base!$AB$13</c:f>
              <c:numCache>
                <c:formatCode>0.00%</c:formatCode>
                <c:ptCount val="1"/>
                <c:pt idx="0">
                  <c:v>7.2499999999999995E-2</c:v>
                </c:pt>
              </c:numCache>
            </c:numRef>
          </c:xVal>
          <c:yVal>
            <c:numRef>
              <c:f>Base!$AC$13</c:f>
              <c:numCache>
                <c:formatCode>0.000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1E-42EF-A369-719B250A57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E6B08A3-4ED8-4EB0-BEA6-7D02FC0495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291-440F-BE53-AAEABD6FF98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08C82EA-9086-47F9-BF14-6D9E2A9E96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291-440F-BE53-AAEABD6FF98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24B4121-6FBC-4E80-A07C-4DA753838E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291-440F-BE53-AAEABD6FF98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322A57D-1799-4F21-8986-63EE5D9433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291-440F-BE53-AAEABD6FF986}"/>
                </c:ext>
              </c:extLst>
            </c:dLbl>
            <c:dLbl>
              <c:idx val="4"/>
              <c:layout>
                <c:manualLayout>
                  <c:x val="-5.9281609584390322E-3"/>
                  <c:y val="0.11639700850523023"/>
                </c:manualLayout>
              </c:layout>
              <c:tx>
                <c:rich>
                  <a:bodyPr/>
                  <a:lstStyle/>
                  <a:p>
                    <a:fld id="{C5E8C1C2-006C-418B-B8E7-0F6B4BC3AD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291-440F-BE53-AAEABD6FF98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Base!$S$16:$S$20</c:f>
              <c:numCache>
                <c:formatCode>0.000%</c:formatCode>
                <c:ptCount val="5"/>
                <c:pt idx="0">
                  <c:v>4.0761532828899237E-2</c:v>
                </c:pt>
                <c:pt idx="1">
                  <c:v>3.784813139728644E-2</c:v>
                </c:pt>
                <c:pt idx="2">
                  <c:v>9.6097273975289388E-2</c:v>
                </c:pt>
                <c:pt idx="3">
                  <c:v>8.8534664874207802E-2</c:v>
                </c:pt>
                <c:pt idx="4">
                  <c:v>5.6084656084655952E-2</c:v>
                </c:pt>
              </c:numCache>
            </c:numRef>
          </c:xVal>
          <c:yVal>
            <c:numRef>
              <c:f>Base!$K$16:$K$20</c:f>
              <c:numCache>
                <c:formatCode>General</c:formatCode>
                <c:ptCount val="5"/>
                <c:pt idx="0">
                  <c:v>2.1408741363911084</c:v>
                </c:pt>
                <c:pt idx="1">
                  <c:v>2.0995080743407137</c:v>
                </c:pt>
                <c:pt idx="2">
                  <c:v>2.0225013970595254</c:v>
                </c:pt>
                <c:pt idx="3">
                  <c:v>2.1362783313424192</c:v>
                </c:pt>
                <c:pt idx="4">
                  <c:v>2.2428335183282382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Base!$AJ$16:$AJ$20</c15:f>
                <c15:dlblRangeCache>
                  <c:ptCount val="5"/>
                  <c:pt idx="0">
                    <c:v>0.0012</c:v>
                  </c:pt>
                  <c:pt idx="1">
                    <c:v>0.0023</c:v>
                  </c:pt>
                  <c:pt idx="2">
                    <c:v>0.0031</c:v>
                  </c:pt>
                  <c:pt idx="3">
                    <c:v>0.0034</c:v>
                  </c:pt>
                  <c:pt idx="4">
                    <c:v>0.0011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6AD5-4906-8CCE-7799993FDF2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Base!$AB$18</c:f>
              <c:numCache>
                <c:formatCode>0.00%</c:formatCode>
                <c:ptCount val="1"/>
                <c:pt idx="0">
                  <c:v>6.6000000000000003E-2</c:v>
                </c:pt>
              </c:numCache>
            </c:numRef>
          </c:xVal>
          <c:yVal>
            <c:numRef>
              <c:f>Base!$AC$18</c:f>
              <c:numCache>
                <c:formatCode>0.000</c:formatCode>
                <c:ptCount val="1"/>
                <c:pt idx="0">
                  <c:v>2.2599999999999998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D5-4906-8CCE-7799993FDF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Base!$AM$5:$AM$9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Base!$AL$5:$AL$9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04-4B48-9A30-B9E6651FAE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Base!$AM$11:$AM$14</c:f>
              <c:numCache>
                <c:formatCode>0.00%</c:formatCode>
                <c:ptCount val="4"/>
                <c:pt idx="0">
                  <c:v>3.3795493934141954E-2</c:v>
                </c:pt>
                <c:pt idx="1">
                  <c:v>5.5575604474919035E-2</c:v>
                </c:pt>
                <c:pt idx="2">
                  <c:v>8.8829787234042445E-2</c:v>
                </c:pt>
                <c:pt idx="3">
                  <c:v>0.11358267716535424</c:v>
                </c:pt>
              </c:numCache>
            </c:numRef>
          </c:xVal>
          <c:yVal>
            <c:numRef>
              <c:f>Base!$AL$11:$AL$14</c:f>
              <c:numCache>
                <c:formatCode>General</c:formatCode>
                <c:ptCount val="4"/>
                <c:pt idx="0">
                  <c:v>2.1293573554791845</c:v>
                </c:pt>
                <c:pt idx="1">
                  <c:v>2.1900756808685244</c:v>
                </c:pt>
                <c:pt idx="2">
                  <c:v>2.1781200578512712</c:v>
                </c:pt>
                <c:pt idx="3">
                  <c:v>2.1033268647883205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04-4B48-9A30-B9E6651FAE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Base!$AM$16:$AM$20</c:f>
              <c:numCache>
                <c:formatCode>0.00%</c:formatCode>
                <c:ptCount val="5"/>
                <c:pt idx="0">
                  <c:v>4.0761532828899237E-2</c:v>
                </c:pt>
                <c:pt idx="1">
                  <c:v>3.784813139728644E-2</c:v>
                </c:pt>
                <c:pt idx="2">
                  <c:v>9.6097273975289388E-2</c:v>
                </c:pt>
                <c:pt idx="3">
                  <c:v>8.8534664874207802E-2</c:v>
                </c:pt>
                <c:pt idx="4">
                  <c:v>5.6084656084655952E-2</c:v>
                </c:pt>
              </c:numCache>
            </c:numRef>
          </c:xVal>
          <c:yVal>
            <c:numRef>
              <c:f>Base!$AL$16:$AL$20</c:f>
              <c:numCache>
                <c:formatCode>General</c:formatCode>
                <c:ptCount val="5"/>
                <c:pt idx="0">
                  <c:v>2.1408741363911084</c:v>
                </c:pt>
                <c:pt idx="1">
                  <c:v>2.0995080743407137</c:v>
                </c:pt>
                <c:pt idx="2">
                  <c:v>2.0225013970595254</c:v>
                </c:pt>
                <c:pt idx="3">
                  <c:v>2.1362783313424192</c:v>
                </c:pt>
                <c:pt idx="4">
                  <c:v>2.2428335183282382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04-4B48-9A30-B9E6651FA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Estandar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9340541772587624"/>
                  <c:y val="-2.6321665688272537E-2"/>
                </c:manualLayout>
              </c:layout>
              <c:tx>
                <c:rich>
                  <a:bodyPr/>
                  <a:lstStyle/>
                  <a:p>
                    <a:fld id="{7B7AC907-609F-4A03-839F-AB2043AA03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4CE-4202-AC9A-4026343D423E}"/>
                </c:ext>
              </c:extLst>
            </c:dLbl>
            <c:dLbl>
              <c:idx val="1"/>
              <c:layout>
                <c:manualLayout>
                  <c:x val="-2.2086757109398805E-2"/>
                  <c:y val="-0.12897727330135786"/>
                </c:manualLayout>
              </c:layout>
              <c:tx>
                <c:rich>
                  <a:bodyPr/>
                  <a:lstStyle/>
                  <a:p>
                    <a:fld id="{D0EDD0A5-C2D6-4DC2-B3F7-E9D14C7D81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4CE-4202-AC9A-4026343D423E}"/>
                </c:ext>
              </c:extLst>
            </c:dLbl>
            <c:dLbl>
              <c:idx val="2"/>
              <c:layout>
                <c:manualLayout>
                  <c:x val="-0.11365362743889533"/>
                  <c:y val="-0.11614532234972232"/>
                </c:manualLayout>
              </c:layout>
              <c:tx>
                <c:rich>
                  <a:bodyPr/>
                  <a:lstStyle/>
                  <a:p>
                    <a:fld id="{1725966E-B28A-4051-9926-DEF21E7383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4CE-4202-AC9A-4026343D423E}"/>
                </c:ext>
              </c:extLst>
            </c:dLbl>
            <c:dLbl>
              <c:idx val="3"/>
              <c:layout>
                <c:manualLayout>
                  <c:x val="2.8127333071292844E-2"/>
                  <c:y val="-7.7649469494815188E-2"/>
                </c:manualLayout>
              </c:layout>
              <c:tx>
                <c:rich>
                  <a:bodyPr/>
                  <a:lstStyle/>
                  <a:p>
                    <a:fld id="{F0F2B612-1D2A-4FEB-BB26-5ADFCCC0F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4CE-4202-AC9A-4026343D423E}"/>
                </c:ext>
              </c:extLst>
            </c:dLbl>
            <c:dLbl>
              <c:idx val="4"/>
              <c:layout>
                <c:manualLayout>
                  <c:x val="-8.1162157321977207E-2"/>
                  <c:y val="-0.17388910163208271"/>
                </c:manualLayout>
              </c:layout>
              <c:tx>
                <c:rich>
                  <a:bodyPr/>
                  <a:lstStyle/>
                  <a:p>
                    <a:fld id="{9EB7EBE3-8B9F-4035-8AEE-C087081E50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4CE-4202-AC9A-4026343D423E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Base!$S$5:$S$9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Base!$K$5:$K$9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Base!$AQ$5:$AQ$9</c15:f>
                <c15:dlblRangeCache>
                  <c:ptCount val="5"/>
                  <c:pt idx="0">
                    <c:v>14.37</c:v>
                  </c:pt>
                  <c:pt idx="1">
                    <c:v>0.06</c:v>
                  </c:pt>
                  <c:pt idx="2">
                    <c:v>21.81</c:v>
                  </c:pt>
                  <c:pt idx="3">
                    <c:v>3.05</c:v>
                  </c:pt>
                  <c:pt idx="4">
                    <c:v>40.19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24CE-4202-AC9A-4026343D423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Base!$AB$7</c:f>
              <c:numCache>
                <c:formatCode>0.00%</c:formatCode>
                <c:ptCount val="1"/>
                <c:pt idx="0">
                  <c:v>0.1</c:v>
                </c:pt>
              </c:numCache>
            </c:numRef>
          </c:xVal>
          <c:yVal>
            <c:numRef>
              <c:f>Base!$AC$7</c:f>
              <c:numCache>
                <c:formatCode>0.000</c:formatCode>
                <c:ptCount val="1"/>
                <c:pt idx="0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CE-4202-AC9A-4026343D42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4B5D424-9BE8-4FA7-920D-19A850756C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ED9-47AC-935C-3803BDF32DEC}"/>
                </c:ext>
              </c:extLst>
            </c:dLbl>
            <c:dLbl>
              <c:idx val="1"/>
              <c:layout>
                <c:manualLayout>
                  <c:x val="5.8796309906553219E-3"/>
                  <c:y val="0.10262626262626257"/>
                </c:manualLayout>
              </c:layout>
              <c:tx>
                <c:rich>
                  <a:bodyPr/>
                  <a:lstStyle/>
                  <a:p>
                    <a:fld id="{05BBB6B2-F358-40B5-B0B2-7A1FC72620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ED9-47AC-935C-3803BDF32DE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06E1EA4-1E36-4E07-B59D-255E4F244D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ED9-47AC-935C-3803BDF32DE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CC5738A-3A51-49AC-8DD9-E83880B1F4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ED9-47AC-935C-3803BDF32D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Base!$S$11:$S$14</c:f>
              <c:numCache>
                <c:formatCode>0.000%</c:formatCode>
                <c:ptCount val="4"/>
                <c:pt idx="0">
                  <c:v>3.3795493934141954E-2</c:v>
                </c:pt>
                <c:pt idx="1">
                  <c:v>5.5575604474919035E-2</c:v>
                </c:pt>
                <c:pt idx="2">
                  <c:v>8.8829787234042445E-2</c:v>
                </c:pt>
                <c:pt idx="3">
                  <c:v>0.11358267716535424</c:v>
                </c:pt>
              </c:numCache>
            </c:numRef>
          </c:xVal>
          <c:yVal>
            <c:numRef>
              <c:f>Base!$K$11:$K$14</c:f>
              <c:numCache>
                <c:formatCode>General</c:formatCode>
                <c:ptCount val="4"/>
                <c:pt idx="0">
                  <c:v>2.1293573554791845</c:v>
                </c:pt>
                <c:pt idx="1">
                  <c:v>2.1900756808685244</c:v>
                </c:pt>
                <c:pt idx="2">
                  <c:v>2.1781200578512712</c:v>
                </c:pt>
                <c:pt idx="3">
                  <c:v>2.1033268647883205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Base!$AQ$11:$AQ$14</c15:f>
                <c15:dlblRangeCache>
                  <c:ptCount val="4"/>
                  <c:pt idx="0">
                    <c:v>1647.12</c:v>
                  </c:pt>
                  <c:pt idx="1">
                    <c:v>805.32</c:v>
                  </c:pt>
                  <c:pt idx="2">
                    <c:v>22.03</c:v>
                  </c:pt>
                  <c:pt idx="3">
                    <c:v>0.14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FED9-47AC-935C-3803BDF32DE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Base!$AB$13</c:f>
              <c:numCache>
                <c:formatCode>0.00%</c:formatCode>
                <c:ptCount val="1"/>
                <c:pt idx="0">
                  <c:v>7.2499999999999995E-2</c:v>
                </c:pt>
              </c:numCache>
            </c:numRef>
          </c:xVal>
          <c:yVal>
            <c:numRef>
              <c:f>Base!$AC$13</c:f>
              <c:numCache>
                <c:formatCode>0.000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ED9-47AC-935C-3803BDF32D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F0D88E9-F04E-4170-A835-129C53633A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8B5-4D71-92C8-81C9913DF8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F69AE6F-3F43-4074-BD7F-9750A86F98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8B5-4D71-92C8-81C9913DF8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5A1BE85-E6AC-41FF-879C-BF60B964F6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8B5-4D71-92C8-81C9913DF8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D6D0DC8-C6D1-4942-9E95-7A5336CC7F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8B5-4D71-92C8-81C9913DF8C2}"/>
                </c:ext>
              </c:extLst>
            </c:dLbl>
            <c:dLbl>
              <c:idx val="4"/>
              <c:layout>
                <c:manualLayout>
                  <c:x val="-5.9281609584390322E-3"/>
                  <c:y val="0.11639700850523023"/>
                </c:manualLayout>
              </c:layout>
              <c:tx>
                <c:rich>
                  <a:bodyPr/>
                  <a:lstStyle/>
                  <a:p>
                    <a:fld id="{8A84E0F9-E70F-42C8-A3AA-FBFF4BA017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8B5-4D71-92C8-81C9913DF8C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Base!$S$16:$S$20</c:f>
              <c:numCache>
                <c:formatCode>0.000%</c:formatCode>
                <c:ptCount val="5"/>
                <c:pt idx="0">
                  <c:v>4.0761532828899237E-2</c:v>
                </c:pt>
                <c:pt idx="1">
                  <c:v>3.784813139728644E-2</c:v>
                </c:pt>
                <c:pt idx="2">
                  <c:v>9.6097273975289388E-2</c:v>
                </c:pt>
                <c:pt idx="3">
                  <c:v>8.8534664874207802E-2</c:v>
                </c:pt>
                <c:pt idx="4">
                  <c:v>5.6084656084655952E-2</c:v>
                </c:pt>
              </c:numCache>
            </c:numRef>
          </c:xVal>
          <c:yVal>
            <c:numRef>
              <c:f>Base!$K$16:$K$20</c:f>
              <c:numCache>
                <c:formatCode>General</c:formatCode>
                <c:ptCount val="5"/>
                <c:pt idx="0">
                  <c:v>2.1408741363911084</c:v>
                </c:pt>
                <c:pt idx="1">
                  <c:v>2.0995080743407137</c:v>
                </c:pt>
                <c:pt idx="2">
                  <c:v>2.0225013970595254</c:v>
                </c:pt>
                <c:pt idx="3">
                  <c:v>2.1362783313424192</c:v>
                </c:pt>
                <c:pt idx="4">
                  <c:v>2.2428335183282382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Base!$AQ$16:$AQ$20</c15:f>
                <c15:dlblRangeCache>
                  <c:ptCount val="5"/>
                  <c:pt idx="0">
                    <c:v>298.80</c:v>
                  </c:pt>
                  <c:pt idx="1">
                    <c:v>5.41</c:v>
                  </c:pt>
                  <c:pt idx="2">
                    <c:v>0.32</c:v>
                  </c:pt>
                  <c:pt idx="3">
                    <c:v>0.11</c:v>
                  </c:pt>
                  <c:pt idx="4">
                    <c:v>597.49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8B5-4D71-92C8-81C9913DF8C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Base!$AB$18</c:f>
              <c:numCache>
                <c:formatCode>0.00%</c:formatCode>
                <c:ptCount val="1"/>
                <c:pt idx="0">
                  <c:v>6.6000000000000003E-2</c:v>
                </c:pt>
              </c:numCache>
            </c:numRef>
          </c:xVal>
          <c:yVal>
            <c:numRef>
              <c:f>Base!$AC$18</c:f>
              <c:numCache>
                <c:formatCode>0.000</c:formatCode>
                <c:ptCount val="1"/>
                <c:pt idx="0">
                  <c:v>2.2599999999999998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B5-4D71-92C8-81C9913DF8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Base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5BBDA252-640A-4F2D-B915-1F7CF59B63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B52-458B-BF60-13E2B1D499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79479BC-923F-44D2-BBFB-724B0E25FD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B52-458B-BF60-13E2B1D499B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E8356D0-9FCA-418F-A48F-7765F4C7CF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B52-458B-BF60-13E2B1D499BA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696EF641-66FE-4FB0-985F-DAA6BE4553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B52-458B-BF60-13E2B1D499B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30493D5-E153-4CD5-A98A-5066FAF6FC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B52-458B-BF60-13E2B1D499BA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CB52-458B-BF60-13E2B1D499BA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43874305-28ED-4FF9-8721-2505A80322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B52-458B-BF60-13E2B1D499BA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3857D84E-FFF1-4AAB-8CF2-D277FF6589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B52-458B-BF60-13E2B1D499BA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FF031BDE-B758-4532-B1A8-7C445BF238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B52-458B-BF60-13E2B1D499B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B053F17-A45E-4FAF-BD36-9631C92EAD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B52-458B-BF60-13E2B1D499B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B52-458B-BF60-13E2B1D499BA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EB625B71-2C54-4FDE-BE2F-7B21A0D45B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B52-458B-BF60-13E2B1D499BA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EC7F328A-583E-4BAD-8696-36D3F3684D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B52-458B-BF60-13E2B1D499BA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7A5974D6-3767-4016-A759-A3C685764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B52-458B-BF60-13E2B1D499B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AA029B3-CB98-4D4B-B050-B006EB0626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B52-458B-BF60-13E2B1D499B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2F4F461-164C-4F76-8148-79715416C0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B52-458B-BF60-13E2B1D49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Base!$AL$5:$AL$20</c:f>
              <c:numCache>
                <c:formatCode>General</c:formatCode>
                <c:ptCount val="16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  <c:pt idx="6">
                  <c:v>2.1293573554791845</c:v>
                </c:pt>
                <c:pt idx="7">
                  <c:v>2.1900756808685244</c:v>
                </c:pt>
                <c:pt idx="8">
                  <c:v>2.1781200578512712</c:v>
                </c:pt>
                <c:pt idx="9">
                  <c:v>2.1033268647883205</c:v>
                </c:pt>
                <c:pt idx="11">
                  <c:v>2.1408741363911084</c:v>
                </c:pt>
                <c:pt idx="12">
                  <c:v>2.0995080743407137</c:v>
                </c:pt>
                <c:pt idx="13">
                  <c:v>2.0225013970595254</c:v>
                </c:pt>
                <c:pt idx="14">
                  <c:v>2.1362783313424192</c:v>
                </c:pt>
                <c:pt idx="15">
                  <c:v>2.2428335183282382</c:v>
                </c:pt>
              </c:numCache>
            </c:numRef>
          </c:xVal>
          <c:yVal>
            <c:numRef>
              <c:f>Base!$AN$5:$AN$20</c:f>
              <c:numCache>
                <c:formatCode>General</c:formatCode>
                <c:ptCount val="16"/>
                <c:pt idx="0">
                  <c:v>2.0547276313969574E-3</c:v>
                </c:pt>
                <c:pt idx="1">
                  <c:v>3.5703822340265035E-3</c:v>
                </c:pt>
                <c:pt idx="2">
                  <c:v>1.9414441688326179E-3</c:v>
                </c:pt>
                <c:pt idx="3">
                  <c:v>2.4805171976019836E-3</c:v>
                </c:pt>
                <c:pt idx="4">
                  <c:v>1.7734721381273745E-3</c:v>
                </c:pt>
                <c:pt idx="6">
                  <c:v>8.9845504794894282E-4</c:v>
                </c:pt>
                <c:pt idx="7">
                  <c:v>1.0273638156998999E-3</c:v>
                </c:pt>
                <c:pt idx="8">
                  <c:v>1.9375378425359635E-3</c:v>
                </c:pt>
                <c:pt idx="9">
                  <c:v>3.3203773511200295E-3</c:v>
                </c:pt>
                <c:pt idx="11">
                  <c:v>1.2343991093587193E-3</c:v>
                </c:pt>
                <c:pt idx="12">
                  <c:v>2.3242641457867919E-3</c:v>
                </c:pt>
                <c:pt idx="13">
                  <c:v>3.0977167522804549E-3</c:v>
                </c:pt>
                <c:pt idx="14">
                  <c:v>3.3828785718469589E-3</c:v>
                </c:pt>
                <c:pt idx="15">
                  <c:v>1.0840055469838461E-3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Base!$AM$5:$AM$20</c15:f>
                <c15:dlblRangeCache>
                  <c:ptCount val="16"/>
                  <c:pt idx="0">
                    <c:v>10.61%</c:v>
                  </c:pt>
                  <c:pt idx="1">
                    <c:v>12.70%</c:v>
                  </c:pt>
                  <c:pt idx="2">
                    <c:v>6.26%</c:v>
                  </c:pt>
                  <c:pt idx="3">
                    <c:v>10.97%</c:v>
                  </c:pt>
                  <c:pt idx="4">
                    <c:v>6.89%</c:v>
                  </c:pt>
                  <c:pt idx="6">
                    <c:v>3.38%</c:v>
                  </c:pt>
                  <c:pt idx="7">
                    <c:v>5.56%</c:v>
                  </c:pt>
                  <c:pt idx="8">
                    <c:v>8.88%</c:v>
                  </c:pt>
                  <c:pt idx="9">
                    <c:v>11.36%</c:v>
                  </c:pt>
                  <c:pt idx="11">
                    <c:v>4.08%</c:v>
                  </c:pt>
                  <c:pt idx="12">
                    <c:v>3.78%</c:v>
                  </c:pt>
                  <c:pt idx="13">
                    <c:v>9.61%</c:v>
                  </c:pt>
                  <c:pt idx="14">
                    <c:v>8.85%</c:v>
                  </c:pt>
                  <c:pt idx="15">
                    <c:v>5.61%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CB52-458B-BF60-13E2B1D499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Base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6DCC58F3-6E88-4CAD-A869-72B0E68CA2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201-4140-B022-AD5E2FE8D03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E5E2117-0BBA-4788-B432-5590BB1F60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201-4140-B022-AD5E2FE8D03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5ACB7B4-05E3-46BA-8356-FD365E778C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201-4140-B022-AD5E2FE8D03E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E46AC2EA-6AE4-432D-B2C6-6DA546FDC9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201-4140-B022-AD5E2FE8D03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DD63E8C-3800-4F1F-ACB2-3F74D8B3BA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201-4140-B022-AD5E2FE8D03E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4201-4140-B022-AD5E2FE8D03E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72F8DB4E-5EDE-4EEA-9643-085FCDD39B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201-4140-B022-AD5E2FE8D03E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4E7BE4E4-728A-4FEA-9B09-4F70F0D4E5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201-4140-B022-AD5E2FE8D03E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535296E0-5313-4778-9A2D-D2DC4F4C25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201-4140-B022-AD5E2FE8D03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DFBAE94-1117-406D-9249-B866CD3381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201-4140-B022-AD5E2FE8D03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201-4140-B022-AD5E2FE8D03E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5A3DD51D-A084-40F8-82C5-B359B38B40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201-4140-B022-AD5E2FE8D03E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AB12EF7B-81A9-4B68-BBC8-DAC5845F92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201-4140-B022-AD5E2FE8D03E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085A0128-F6A1-40E5-AB66-E011657C23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201-4140-B022-AD5E2FE8D03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E357A8D-3968-4171-A687-A373809187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201-4140-B022-AD5E2FE8D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Base!$AL$5:$AL$19</c:f>
              <c:numCache>
                <c:formatCode>General</c:formatCode>
                <c:ptCount val="1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  <c:pt idx="6">
                  <c:v>2.1293573554791845</c:v>
                </c:pt>
                <c:pt idx="7">
                  <c:v>2.1900756808685244</c:v>
                </c:pt>
                <c:pt idx="8">
                  <c:v>2.1781200578512712</c:v>
                </c:pt>
                <c:pt idx="9">
                  <c:v>2.1033268647883205</c:v>
                </c:pt>
                <c:pt idx="11">
                  <c:v>2.1408741363911084</c:v>
                </c:pt>
                <c:pt idx="12">
                  <c:v>2.0995080743407137</c:v>
                </c:pt>
                <c:pt idx="13">
                  <c:v>2.0225013970595254</c:v>
                </c:pt>
                <c:pt idx="14">
                  <c:v>2.1362783313424192</c:v>
                </c:pt>
              </c:numCache>
            </c:numRef>
          </c:xVal>
          <c:yVal>
            <c:numRef>
              <c:f>Base!$AN$5:$AN$19</c:f>
              <c:numCache>
                <c:formatCode>General</c:formatCode>
                <c:ptCount val="15"/>
                <c:pt idx="0">
                  <c:v>2.0547276313969574E-3</c:v>
                </c:pt>
                <c:pt idx="1">
                  <c:v>3.5703822340265035E-3</c:v>
                </c:pt>
                <c:pt idx="2">
                  <c:v>1.9414441688326179E-3</c:v>
                </c:pt>
                <c:pt idx="3">
                  <c:v>2.4805171976019836E-3</c:v>
                </c:pt>
                <c:pt idx="4">
                  <c:v>1.7734721381273745E-3</c:v>
                </c:pt>
                <c:pt idx="6">
                  <c:v>8.9845504794894282E-4</c:v>
                </c:pt>
                <c:pt idx="7">
                  <c:v>1.0273638156998999E-3</c:v>
                </c:pt>
                <c:pt idx="8">
                  <c:v>1.9375378425359635E-3</c:v>
                </c:pt>
                <c:pt idx="9">
                  <c:v>3.3203773511200295E-3</c:v>
                </c:pt>
                <c:pt idx="11">
                  <c:v>1.2343991093587193E-3</c:v>
                </c:pt>
                <c:pt idx="12">
                  <c:v>2.3242641457867919E-3</c:v>
                </c:pt>
                <c:pt idx="13">
                  <c:v>3.0977167522804549E-3</c:v>
                </c:pt>
                <c:pt idx="14">
                  <c:v>3.3828785718469589E-3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Base!$AO$5:$AO$20</c15:f>
                <c15:dlblRangeCache>
                  <c:ptCount val="16"/>
                  <c:pt idx="0">
                    <c:v>92.12%</c:v>
                  </c:pt>
                  <c:pt idx="1">
                    <c:v>96.63%</c:v>
                  </c:pt>
                  <c:pt idx="2">
                    <c:v>44.20%</c:v>
                  </c:pt>
                  <c:pt idx="3">
                    <c:v>94.31%</c:v>
                  </c:pt>
                  <c:pt idx="4">
                    <c:v>51.33%</c:v>
                  </c:pt>
                  <c:pt idx="6">
                    <c:v>18.94%</c:v>
                  </c:pt>
                  <c:pt idx="7">
                    <c:v>47.05%</c:v>
                  </c:pt>
                  <c:pt idx="8">
                    <c:v>83.20%</c:v>
                  </c:pt>
                  <c:pt idx="9">
                    <c:v>93.83%</c:v>
                  </c:pt>
                  <c:pt idx="11">
                    <c:v>42.14%</c:v>
                  </c:pt>
                  <c:pt idx="12">
                    <c:v>35.73%</c:v>
                  </c:pt>
                  <c:pt idx="13">
                    <c:v>77.46%</c:v>
                  </c:pt>
                  <c:pt idx="14">
                    <c:v>90.59%</c:v>
                  </c:pt>
                  <c:pt idx="15">
                    <c:v>74.29%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4201-4140-B022-AD5E2FE8D0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Estándar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9BCE5FC-54F0-4ED0-B5D1-0554B4145F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C42-4A11-A2BC-B6937E7350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DCA7ABA-A1C4-4734-BD1C-F1802D1816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C42-4A11-A2BC-B6937E73502D}"/>
                </c:ext>
              </c:extLst>
            </c:dLbl>
            <c:dLbl>
              <c:idx val="2"/>
              <c:layout>
                <c:manualLayout>
                  <c:x val="-1.0857253077979121E-16"/>
                  <c:y val="-5.191030961229743E-2"/>
                </c:manualLayout>
              </c:layout>
              <c:tx>
                <c:rich>
                  <a:bodyPr/>
                  <a:lstStyle/>
                  <a:p>
                    <a:fld id="{78391F99-FFD7-42B1-9B73-65D1B57530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C42-4A11-A2BC-B6937E73502D}"/>
                </c:ext>
              </c:extLst>
            </c:dLbl>
            <c:dLbl>
              <c:idx val="3"/>
              <c:layout>
                <c:manualLayout>
                  <c:x val="-1.0857253077979121E-16"/>
                  <c:y val="4.5421520910760252E-2"/>
                </c:manualLayout>
              </c:layout>
              <c:tx>
                <c:rich>
                  <a:bodyPr/>
                  <a:lstStyle/>
                  <a:p>
                    <a:fld id="{525E8C8A-7EF5-43D8-A12F-5598D45144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C42-4A11-A2BC-B6937E73502D}"/>
                </c:ext>
              </c:extLst>
            </c:dLbl>
            <c:dLbl>
              <c:idx val="4"/>
              <c:layout>
                <c:manualLayout>
                  <c:x val="-0.12436633556713987"/>
                  <c:y val="-1.2977577403074477E-2"/>
                </c:manualLayout>
              </c:layout>
              <c:tx>
                <c:rich>
                  <a:bodyPr/>
                  <a:lstStyle/>
                  <a:p>
                    <a:fld id="{CCF88E5E-DE8F-44CD-B395-3892418987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C42-4A11-A2BC-B6937E7350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Arena!$S$5:$S$9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Arena!$K$5:$K$9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Arena!$AJ$5:$AJ$9</c15:f>
                <c15:dlblRangeCache>
                  <c:ptCount val="5"/>
                  <c:pt idx="0">
                    <c:v>0.0025</c:v>
                  </c:pt>
                  <c:pt idx="1">
                    <c:v>0.0019</c:v>
                  </c:pt>
                  <c:pt idx="2">
                    <c:v>0.0021</c:v>
                  </c:pt>
                  <c:pt idx="3">
                    <c:v>0.0026</c:v>
                  </c:pt>
                  <c:pt idx="4">
                    <c:v>0.0021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0509-4215-9740-102EA1CDFD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Arena!$AB$7</c:f>
              <c:numCache>
                <c:formatCode>0.00%</c:formatCode>
                <c:ptCount val="1"/>
                <c:pt idx="0">
                  <c:v>0.112</c:v>
                </c:pt>
              </c:numCache>
            </c:numRef>
          </c:xVal>
          <c:yVal>
            <c:numRef>
              <c:f>Arena!$AC$7</c:f>
              <c:numCache>
                <c:formatCode>0.000</c:formatCode>
                <c:ptCount val="1"/>
                <c:pt idx="0">
                  <c:v>1.9650000000000001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09-4215-9740-102EA1CDFD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5F9C29D-4EEE-437C-84A5-F9E27C8F8A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EE-488A-961E-5AE45B4BFA7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DF80739-B23E-4F08-BD5C-65B147A320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2EE-488A-961E-5AE45B4BFA7F}"/>
                </c:ext>
              </c:extLst>
            </c:dLbl>
            <c:dLbl>
              <c:idx val="2"/>
              <c:layout>
                <c:manualLayout>
                  <c:x val="-5.9122179941846122E-3"/>
                  <c:y val="0.13558208791331694"/>
                </c:manualLayout>
              </c:layout>
              <c:tx>
                <c:rich>
                  <a:bodyPr/>
                  <a:lstStyle/>
                  <a:p>
                    <a:fld id="{27F25294-DF3D-4D39-B814-2EE3EC4180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2EE-488A-961E-5AE45B4BFA7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052B60D-0ACA-401F-9395-A0F83C9D13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2EE-488A-961E-5AE45B4BFA7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E00B52A-9317-4EB0-8F9F-6B86657FBE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2EE-488A-961E-5AE45B4BFA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Arena!$S$11:$S$15</c:f>
              <c:numCache>
                <c:formatCode>0.000%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 formatCode="0.00%">
                  <c:v>0.13374411018484977</c:v>
                </c:pt>
              </c:numCache>
            </c:numRef>
          </c:xVal>
          <c:yVal>
            <c:numRef>
              <c:f>Arena!$K$11:$K$15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1.9724273059498865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Arena!$AJ$11:$AJ$15</c15:f>
                <c15:dlblRangeCache>
                  <c:ptCount val="5"/>
                  <c:pt idx="0">
                    <c:v>0.0016</c:v>
                  </c:pt>
                  <c:pt idx="1">
                    <c:v>0.0014</c:v>
                  </c:pt>
                  <c:pt idx="2">
                    <c:v>0.0013</c:v>
                  </c:pt>
                  <c:pt idx="3">
                    <c:v>0.0023</c:v>
                  </c:pt>
                  <c:pt idx="4">
                    <c:v>0.0027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530C-4616-A54E-D93DE61E48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Arena!$AB$13</c:f>
              <c:numCache>
                <c:formatCode>0.00%</c:formatCode>
                <c:ptCount val="1"/>
                <c:pt idx="0">
                  <c:v>9.4E-2</c:v>
                </c:pt>
              </c:numCache>
            </c:numRef>
          </c:xVal>
          <c:yVal>
            <c:numRef>
              <c:f>Arena!$AC$13</c:f>
              <c:numCache>
                <c:formatCode>0.000</c:formatCode>
                <c:ptCount val="1"/>
                <c:pt idx="0">
                  <c:v>2.0649999999999999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30C-4616-A54E-D93DE61E48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6000000000000003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 56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96FB85B-C0BC-4342-8ED7-6EC288B32C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596-41E4-9334-848B636819C4}"/>
                </c:ext>
              </c:extLst>
            </c:dLbl>
            <c:dLbl>
              <c:idx val="1"/>
              <c:layout>
                <c:manualLayout>
                  <c:x val="-1.7736653982553835E-2"/>
                  <c:y val="6.4496011911956336E-2"/>
                </c:manualLayout>
              </c:layout>
              <c:tx>
                <c:rich>
                  <a:bodyPr/>
                  <a:lstStyle/>
                  <a:p>
                    <a:fld id="{D73F5177-E0B8-475D-BBD5-007B1A0D7C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596-41E4-9334-848B636819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CC3247-4004-46C4-85DF-F93C3D185A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596-41E4-9334-848B636819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68E4402-CE29-40FB-9272-398E5AED02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596-41E4-9334-848B636819C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Arena!$S$17:$S$20</c:f>
              <c:numCache>
                <c:formatCode>0.000%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Arena!$K$17:$K$20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Arena!$AJ$17:$AJ$20</c15:f>
                <c15:dlblRangeCache>
                  <c:ptCount val="4"/>
                  <c:pt idx="0">
                    <c:v>0.0022</c:v>
                  </c:pt>
                  <c:pt idx="1">
                    <c:v>0.0015</c:v>
                  </c:pt>
                  <c:pt idx="2">
                    <c:v>0.0015</c:v>
                  </c:pt>
                  <c:pt idx="3">
                    <c:v>0.0023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473-4972-B804-130B15B250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Arena!$AB$19</c:f>
              <c:numCache>
                <c:formatCode>0.00%</c:formatCode>
                <c:ptCount val="1"/>
                <c:pt idx="0">
                  <c:v>8.0500000000000002E-2</c:v>
                </c:pt>
              </c:numCache>
            </c:numRef>
          </c:xVal>
          <c:yVal>
            <c:numRef>
              <c:f>Arena!$AC$19</c:f>
              <c:numCache>
                <c:formatCode>0.000</c:formatCode>
                <c:ptCount val="1"/>
                <c:pt idx="0">
                  <c:v>2.1349999999999998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73-4972-B804-130B15B250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5000000000000002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Arena!$AM$5:$AM$9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Arena!$AL$5:$AL$9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9-4956-B630-88993321BC9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Arena!$AM$11:$AM$15</c:f>
              <c:numCache>
                <c:formatCode>0.00%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>
                  <c:v>0.13374411018484977</c:v>
                </c:pt>
              </c:numCache>
            </c:numRef>
          </c:xVal>
          <c:yVal>
            <c:numRef>
              <c:f>Arena!$AL$11:$AL$15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1.9724273059498865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59-4956-B630-88993321BC9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Arena!$AM$17:$AM$20</c:f>
              <c:numCache>
                <c:formatCode>0.00%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Arena!$AL$17:$AL$20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59-4956-B630-88993321B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Estándar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DB9BBF4-B69A-40C1-83AB-34582C3B22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2B2-4347-99EB-74D0C005B0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56F003C-F30C-43F8-8489-B3EF16AE9B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2B2-4347-99EB-74D0C005B04E}"/>
                </c:ext>
              </c:extLst>
            </c:dLbl>
            <c:dLbl>
              <c:idx val="2"/>
              <c:layout>
                <c:manualLayout>
                  <c:x val="-1.0857253077979121E-16"/>
                  <c:y val="-5.191030961229743E-2"/>
                </c:manualLayout>
              </c:layout>
              <c:tx>
                <c:rich>
                  <a:bodyPr/>
                  <a:lstStyle/>
                  <a:p>
                    <a:fld id="{E4658797-A345-4C5D-BAF8-28799C5465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2B2-4347-99EB-74D0C005B04E}"/>
                </c:ext>
              </c:extLst>
            </c:dLbl>
            <c:dLbl>
              <c:idx val="3"/>
              <c:layout>
                <c:manualLayout>
                  <c:x val="-1.0857253077979121E-16"/>
                  <c:y val="4.5421520910760252E-2"/>
                </c:manualLayout>
              </c:layout>
              <c:tx>
                <c:rich>
                  <a:bodyPr/>
                  <a:lstStyle/>
                  <a:p>
                    <a:fld id="{A27B65C0-F331-4E0B-BAC5-2BD18C6ADC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2B2-4347-99EB-74D0C005B04E}"/>
                </c:ext>
              </c:extLst>
            </c:dLbl>
            <c:dLbl>
              <c:idx val="4"/>
              <c:layout>
                <c:manualLayout>
                  <c:x val="-0.12436633556713987"/>
                  <c:y val="-1.2977577403074477E-2"/>
                </c:manualLayout>
              </c:layout>
              <c:tx>
                <c:rich>
                  <a:bodyPr/>
                  <a:lstStyle/>
                  <a:p>
                    <a:fld id="{A3D8421D-B9AF-4B26-8CB1-3275A43E49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2B2-4347-99EB-74D0C005B04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Arena!$S$5:$S$9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Arena!$K$5:$K$9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Arena!$AQ$5:$AQ$9</c15:f>
                <c15:dlblRangeCache>
                  <c:ptCount val="5"/>
                  <c:pt idx="0">
                    <c:v>2.528</c:v>
                  </c:pt>
                  <c:pt idx="1">
                    <c:v>23.642</c:v>
                  </c:pt>
                  <c:pt idx="2">
                    <c:v>10.792</c:v>
                  </c:pt>
                  <c:pt idx="3">
                    <c:v>1.743</c:v>
                  </c:pt>
                  <c:pt idx="4">
                    <c:v>14.349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C2B2-4347-99EB-74D0C005B04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Arena!$AB$7</c:f>
              <c:numCache>
                <c:formatCode>0.00%</c:formatCode>
                <c:ptCount val="1"/>
                <c:pt idx="0">
                  <c:v>0.112</c:v>
                </c:pt>
              </c:numCache>
            </c:numRef>
          </c:xVal>
          <c:yVal>
            <c:numRef>
              <c:f>Arena!$AC$7</c:f>
              <c:numCache>
                <c:formatCode>0.000</c:formatCode>
                <c:ptCount val="1"/>
                <c:pt idx="0">
                  <c:v>1.9650000000000001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2B2-4347-99EB-74D0C005B0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D9F37C0-47AE-4197-A4E5-C5E73F3C46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E1D-4BF7-849C-4AC63929263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E9558F5-D903-4A68-A792-E2B88022B3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E1D-4BF7-849C-4AC639292639}"/>
                </c:ext>
              </c:extLst>
            </c:dLbl>
            <c:dLbl>
              <c:idx val="2"/>
              <c:layout>
                <c:manualLayout>
                  <c:x val="-5.9122179941846122E-3"/>
                  <c:y val="0.13558208791331694"/>
                </c:manualLayout>
              </c:layout>
              <c:tx>
                <c:rich>
                  <a:bodyPr/>
                  <a:lstStyle/>
                  <a:p>
                    <a:fld id="{2989363A-B24D-4B7E-8559-F262FD87E5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E1D-4BF7-849C-4AC63929263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94D247A-EDF5-43F2-A03F-C2E37C9E0C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E1D-4BF7-849C-4AC63929263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24479E1-719B-4F14-93E3-900AE79E62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E1D-4BF7-849C-4AC6392926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Arena!$S$11:$S$15</c:f>
              <c:numCache>
                <c:formatCode>0.000%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 formatCode="0.00%">
                  <c:v>0.13374411018484977</c:v>
                </c:pt>
              </c:numCache>
            </c:numRef>
          </c:xVal>
          <c:yVal>
            <c:numRef>
              <c:f>Arena!$K$11:$K$15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1.9724273059498865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Arena!$AQ$11:$AQ$15</c15:f>
                <c15:dlblRangeCache>
                  <c:ptCount val="5"/>
                  <c:pt idx="0">
                    <c:v>72.820</c:v>
                  </c:pt>
                  <c:pt idx="1">
                    <c:v>191.117</c:v>
                  </c:pt>
                  <c:pt idx="2">
                    <c:v>221.540</c:v>
                  </c:pt>
                  <c:pt idx="3">
                    <c:v>6.105</c:v>
                  </c:pt>
                  <c:pt idx="4">
                    <c:v>1.256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E1D-4BF7-849C-4AC6392926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Arena!$AB$13</c:f>
              <c:numCache>
                <c:formatCode>0.00%</c:formatCode>
                <c:ptCount val="1"/>
                <c:pt idx="0">
                  <c:v>9.4E-2</c:v>
                </c:pt>
              </c:numCache>
            </c:numRef>
          </c:xVal>
          <c:yVal>
            <c:numRef>
              <c:f>Arena!$AC$13</c:f>
              <c:numCache>
                <c:formatCode>0.000</c:formatCode>
                <c:ptCount val="1"/>
                <c:pt idx="0">
                  <c:v>2.0649999999999999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1D-4BF7-849C-4AC6392926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6000000000000003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 56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557557F-D85F-407C-90AE-CA42AE8A8D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720-4373-88F2-36261E398F11}"/>
                </c:ext>
              </c:extLst>
            </c:dLbl>
            <c:dLbl>
              <c:idx val="1"/>
              <c:layout>
                <c:manualLayout>
                  <c:x val="-1.7736653982553835E-2"/>
                  <c:y val="6.4496011911956336E-2"/>
                </c:manualLayout>
              </c:layout>
              <c:tx>
                <c:rich>
                  <a:bodyPr/>
                  <a:lstStyle/>
                  <a:p>
                    <a:fld id="{133476FC-BDD1-4A44-BC39-2689431547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720-4373-88F2-36261E398F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8B9D99A-CA4E-4557-BFB3-58E6B61FE2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720-4373-88F2-36261E398F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7A18EA8-182C-4EAB-BF36-145FEC0CE6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720-4373-88F2-36261E398F1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Arena!$S$17:$S$20</c:f>
              <c:numCache>
                <c:formatCode>0.000%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Arena!$K$17:$K$20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Arena!$AQ$17:$AQ$20</c15:f>
                <c15:dlblRangeCache>
                  <c:ptCount val="4"/>
                  <c:pt idx="0">
                    <c:v>8.734</c:v>
                  </c:pt>
                  <c:pt idx="1">
                    <c:v>91.418</c:v>
                  </c:pt>
                  <c:pt idx="2">
                    <c:v>105.634</c:v>
                  </c:pt>
                  <c:pt idx="3">
                    <c:v>6.745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720-4373-88F2-36261E398F1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Arena!$AB$19</c:f>
              <c:numCache>
                <c:formatCode>0.00%</c:formatCode>
                <c:ptCount val="1"/>
                <c:pt idx="0">
                  <c:v>8.0500000000000002E-2</c:v>
                </c:pt>
              </c:numCache>
            </c:numRef>
          </c:xVal>
          <c:yVal>
            <c:numRef>
              <c:f>Arena!$AC$19</c:f>
              <c:numCache>
                <c:formatCode>0.000</c:formatCode>
                <c:ptCount val="1"/>
                <c:pt idx="0">
                  <c:v>2.1349999999999998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720-4373-88F2-36261E398F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5000000000000002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Arena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765D461-EB42-4CD1-B1CE-ACF7BD1143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486-4AC6-85B9-1E696489211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CF57D10-D2F3-420A-BC4C-DFCC3BA727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486-4AC6-85B9-1E696489211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D6971E1-6355-4C25-8E4B-2B8E7EB293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486-4AC6-85B9-1E696489211A}"/>
                </c:ext>
              </c:extLst>
            </c:dLbl>
            <c:dLbl>
              <c:idx val="3"/>
              <c:layout>
                <c:manualLayout>
                  <c:x val="-0.14525873879493437"/>
                  <c:y val="-7.0445646680767873E-2"/>
                </c:manualLayout>
              </c:layout>
              <c:tx>
                <c:rich>
                  <a:bodyPr/>
                  <a:lstStyle/>
                  <a:p>
                    <a:fld id="{823A68F0-4250-4376-BE3C-DB2FC67F6D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486-4AC6-85B9-1E696489211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EF9516B-A527-4C38-8AB9-23F48B0977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486-4AC6-85B9-1E696489211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486-4AC6-85B9-1E696489211A}"/>
                </c:ext>
              </c:extLst>
            </c:dLbl>
            <c:dLbl>
              <c:idx val="6"/>
              <c:layout>
                <c:manualLayout>
                  <c:x val="-8.3340750892489351E-2"/>
                  <c:y val="8.9690004285655031E-2"/>
                </c:manualLayout>
              </c:layout>
              <c:tx>
                <c:rich>
                  <a:bodyPr/>
                  <a:lstStyle/>
                  <a:p>
                    <a:fld id="{5A21CCC3-64B6-4035-8BBB-C9677E4D5E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486-4AC6-85B9-1E696489211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F19A2A6-E312-4C1B-9995-BC5989C430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486-4AC6-85B9-1E696489211A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AE56A5B7-6F53-44CD-BE1D-6EB2D8FDDA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486-4AC6-85B9-1E696489211A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6AB5BC6E-DCDF-4261-8B1F-024CC23F81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486-4AC6-85B9-1E696489211A}"/>
                </c:ext>
              </c:extLst>
            </c:dLbl>
            <c:dLbl>
              <c:idx val="10"/>
              <c:layout>
                <c:manualLayout>
                  <c:x val="5.2758018923723402E-3"/>
                  <c:y val="2.6787264077762343E-2"/>
                </c:manualLayout>
              </c:layout>
              <c:tx>
                <c:rich>
                  <a:bodyPr/>
                  <a:lstStyle/>
                  <a:p>
                    <a:fld id="{AE9A073F-2E88-4D90-B38E-0694941BA8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486-4AC6-85B9-1E696489211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486-4AC6-85B9-1E696489211A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8A304031-9A20-485F-A170-3BD2663CB6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0486-4AC6-85B9-1E696489211A}"/>
                </c:ext>
              </c:extLst>
            </c:dLbl>
            <c:dLbl>
              <c:idx val="13"/>
              <c:layout>
                <c:manualLayout>
                  <c:x val="-6.0703909708279599E-4"/>
                  <c:y val="-0.10967436702103965"/>
                </c:manualLayout>
              </c:layout>
              <c:tx>
                <c:rich>
                  <a:bodyPr/>
                  <a:lstStyle/>
                  <a:p>
                    <a:fld id="{709D9A4D-FF7A-47D9-A1E9-7154023A6B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486-4AC6-85B9-1E696489211A}"/>
                </c:ext>
              </c:extLst>
            </c:dLbl>
            <c:dLbl>
              <c:idx val="14"/>
              <c:layout>
                <c:manualLayout>
                  <c:x val="-1.6053534712898519E-2"/>
                  <c:y val="7.069141901264038E-2"/>
                </c:manualLayout>
              </c:layout>
              <c:tx>
                <c:rich>
                  <a:bodyPr/>
                  <a:lstStyle/>
                  <a:p>
                    <a:fld id="{37998A42-ECD7-4E7F-92DE-D855FB54CB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0486-4AC6-85B9-1E696489211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0747D0D-8A6E-49EB-98B4-CF2A051BF9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486-4AC6-85B9-1E69648921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Arena!$AL$5:$AL$20</c:f>
              <c:numCache>
                <c:formatCode>General</c:formatCode>
                <c:ptCount val="16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  <c:pt idx="6">
                  <c:v>2.016690673287997</c:v>
                </c:pt>
                <c:pt idx="7">
                  <c:v>2.0460168732495467</c:v>
                </c:pt>
                <c:pt idx="8">
                  <c:v>2.054876802148133</c:v>
                </c:pt>
                <c:pt idx="9">
                  <c:v>2.0561458679914573</c:v>
                </c:pt>
                <c:pt idx="10">
                  <c:v>1.9724273059498865</c:v>
                </c:pt>
                <c:pt idx="12">
                  <c:v>2.0788260713467381</c:v>
                </c:pt>
                <c:pt idx="13">
                  <c:v>2.1232785944132311</c:v>
                </c:pt>
                <c:pt idx="14">
                  <c:v>2.1289019997015148</c:v>
                </c:pt>
                <c:pt idx="15">
                  <c:v>2.0642917651773396</c:v>
                </c:pt>
              </c:numCache>
            </c:numRef>
          </c:xVal>
          <c:yVal>
            <c:numRef>
              <c:f>Arena!$AN$5:$AN$20</c:f>
              <c:numCache>
                <c:formatCode>General</c:formatCode>
                <c:ptCount val="16"/>
                <c:pt idx="0">
                  <c:v>2.5312994394433019E-3</c:v>
                </c:pt>
                <c:pt idx="1">
                  <c:v>1.9180062110610407E-3</c:v>
                </c:pt>
                <c:pt idx="2">
                  <c:v>2.1328541573080173E-3</c:v>
                </c:pt>
                <c:pt idx="3">
                  <c:v>2.6328639231230967E-3</c:v>
                </c:pt>
                <c:pt idx="4">
                  <c:v>2.0547276313990894E-3</c:v>
                </c:pt>
                <c:pt idx="6">
                  <c:v>1.6094064337182524E-3</c:v>
                </c:pt>
                <c:pt idx="7">
                  <c:v>1.3515888982202461E-3</c:v>
                </c:pt>
                <c:pt idx="8">
                  <c:v>1.3125256352669369E-3</c:v>
                </c:pt>
                <c:pt idx="9">
                  <c:v>2.2891072091269392E-3</c:v>
                </c:pt>
                <c:pt idx="10">
                  <c:v>2.7227094279185238E-3</c:v>
                </c:pt>
                <c:pt idx="12">
                  <c:v>2.1914490517382034E-3</c:v>
                </c:pt>
                <c:pt idx="13">
                  <c:v>1.5469052129907014E-3</c:v>
                </c:pt>
                <c:pt idx="14">
                  <c:v>1.5078419500383689E-3</c:v>
                </c:pt>
                <c:pt idx="15">
                  <c:v>2.2617629250589744E-3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Arena!$AM$5:$AM$20</c15:f>
                <c15:dlblRangeCache>
                  <c:ptCount val="16"/>
                  <c:pt idx="0">
                    <c:v>7.63%</c:v>
                  </c:pt>
                  <c:pt idx="1">
                    <c:v>9.60%</c:v>
                  </c:pt>
                  <c:pt idx="2">
                    <c:v>11.95%</c:v>
                  </c:pt>
                  <c:pt idx="3">
                    <c:v>13.16%</c:v>
                  </c:pt>
                  <c:pt idx="4">
                    <c:v>14.39%</c:v>
                  </c:pt>
                  <c:pt idx="6">
                    <c:v>5.71%</c:v>
                  </c:pt>
                  <c:pt idx="7">
                    <c:v>6.95%</c:v>
                  </c:pt>
                  <c:pt idx="8">
                    <c:v>9.40%</c:v>
                  </c:pt>
                  <c:pt idx="9">
                    <c:v>10.99%</c:v>
                  </c:pt>
                  <c:pt idx="10">
                    <c:v>13.37%</c:v>
                  </c:pt>
                  <c:pt idx="12">
                    <c:v>4.54%</c:v>
                  </c:pt>
                  <c:pt idx="13">
                    <c:v>7.81%</c:v>
                  </c:pt>
                  <c:pt idx="14">
                    <c:v>9.91%</c:v>
                  </c:pt>
                  <c:pt idx="15">
                    <c:v>11.53%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0486-4AC6-85B9-1E69648921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8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Arena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7B82139-2439-413C-87A1-0DA93283C6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ED6-4FBB-8727-75D2598719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AE91095-7223-4A4F-A805-2CE282A3A7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ED6-4FBB-8727-75D2598719B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4856FCA-2277-453E-9CA9-D92111A3D5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ED6-4FBB-8727-75D2598719B2}"/>
                </c:ext>
              </c:extLst>
            </c:dLbl>
            <c:dLbl>
              <c:idx val="3"/>
              <c:layout>
                <c:manualLayout>
                  <c:x val="-0.14525873879493437"/>
                  <c:y val="-7.0445646680767873E-2"/>
                </c:manualLayout>
              </c:layout>
              <c:tx>
                <c:rich>
                  <a:bodyPr/>
                  <a:lstStyle/>
                  <a:p>
                    <a:fld id="{B98CE9C4-5096-457D-9C1A-16A0EC19DA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ED6-4FBB-8727-75D2598719B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D2389CB-3D49-424E-B450-4C8C2A70A6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ED6-4FBB-8727-75D2598719B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ED6-4FBB-8727-75D2598719B2}"/>
                </c:ext>
              </c:extLst>
            </c:dLbl>
            <c:dLbl>
              <c:idx val="6"/>
              <c:layout>
                <c:manualLayout>
                  <c:x val="-8.3340750892489351E-2"/>
                  <c:y val="8.9690004285655031E-2"/>
                </c:manualLayout>
              </c:layout>
              <c:tx>
                <c:rich>
                  <a:bodyPr/>
                  <a:lstStyle/>
                  <a:p>
                    <a:fld id="{FC184738-D95B-457E-ABEE-1DD8B21758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ED6-4FBB-8727-75D2598719B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A92C329-5546-4A1E-BB92-9EAD2C37B8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ED6-4FBB-8727-75D2598719B2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D586DC97-D6C1-4C9B-AA0D-7F0DD9A2AD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ED6-4FBB-8727-75D2598719B2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A11C911F-23CD-4F9D-AD46-6E25F1EA1D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ED6-4FBB-8727-75D2598719B2}"/>
                </c:ext>
              </c:extLst>
            </c:dLbl>
            <c:dLbl>
              <c:idx val="10"/>
              <c:layout>
                <c:manualLayout>
                  <c:x val="5.2758018923723402E-3"/>
                  <c:y val="2.6787264077762343E-2"/>
                </c:manualLayout>
              </c:layout>
              <c:tx>
                <c:rich>
                  <a:bodyPr/>
                  <a:lstStyle/>
                  <a:p>
                    <a:fld id="{62FE1816-84E8-475B-B86E-0D310641D6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ED6-4FBB-8727-75D2598719B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ED6-4FBB-8727-75D2598719B2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71FFCFCF-A5B9-45E8-A5D4-AB698AA094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ED6-4FBB-8727-75D2598719B2}"/>
                </c:ext>
              </c:extLst>
            </c:dLbl>
            <c:dLbl>
              <c:idx val="13"/>
              <c:layout>
                <c:manualLayout>
                  <c:x val="-6.0703909708279599E-4"/>
                  <c:y val="-0.10967436702103965"/>
                </c:manualLayout>
              </c:layout>
              <c:tx>
                <c:rich>
                  <a:bodyPr/>
                  <a:lstStyle/>
                  <a:p>
                    <a:fld id="{1CE1FB53-88D0-4A23-AA39-4534ACA9A2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ED6-4FBB-8727-75D2598719B2}"/>
                </c:ext>
              </c:extLst>
            </c:dLbl>
            <c:dLbl>
              <c:idx val="14"/>
              <c:layout>
                <c:manualLayout>
                  <c:x val="-1.6053534712898519E-2"/>
                  <c:y val="7.069141901264038E-2"/>
                </c:manualLayout>
              </c:layout>
              <c:tx>
                <c:rich>
                  <a:bodyPr/>
                  <a:lstStyle/>
                  <a:p>
                    <a:fld id="{96A9415C-FECB-47DC-8DDB-6651275366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ED6-4FBB-8727-75D2598719B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5F3C878-E58A-4139-84B8-D9768B4438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ED6-4FBB-8727-75D2598719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Arena!$AL$5:$AL$20</c:f>
              <c:numCache>
                <c:formatCode>General</c:formatCode>
                <c:ptCount val="16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  <c:pt idx="6">
                  <c:v>2.016690673287997</c:v>
                </c:pt>
                <c:pt idx="7">
                  <c:v>2.0460168732495467</c:v>
                </c:pt>
                <c:pt idx="8">
                  <c:v>2.054876802148133</c:v>
                </c:pt>
                <c:pt idx="9">
                  <c:v>2.0561458679914573</c:v>
                </c:pt>
                <c:pt idx="10">
                  <c:v>1.9724273059498865</c:v>
                </c:pt>
                <c:pt idx="12">
                  <c:v>2.0788260713467381</c:v>
                </c:pt>
                <c:pt idx="13">
                  <c:v>2.1232785944132311</c:v>
                </c:pt>
                <c:pt idx="14">
                  <c:v>2.1289019997015148</c:v>
                </c:pt>
                <c:pt idx="15">
                  <c:v>2.0642917651773396</c:v>
                </c:pt>
              </c:numCache>
            </c:numRef>
          </c:xVal>
          <c:yVal>
            <c:numRef>
              <c:f>Arena!$AN$5:$AN$20</c:f>
              <c:numCache>
                <c:formatCode>General</c:formatCode>
                <c:ptCount val="16"/>
                <c:pt idx="0">
                  <c:v>2.5312994394433019E-3</c:v>
                </c:pt>
                <c:pt idx="1">
                  <c:v>1.9180062110610407E-3</c:v>
                </c:pt>
                <c:pt idx="2">
                  <c:v>2.1328541573080173E-3</c:v>
                </c:pt>
                <c:pt idx="3">
                  <c:v>2.6328639231230967E-3</c:v>
                </c:pt>
                <c:pt idx="4">
                  <c:v>2.0547276313990894E-3</c:v>
                </c:pt>
                <c:pt idx="6">
                  <c:v>1.6094064337182524E-3</c:v>
                </c:pt>
                <c:pt idx="7">
                  <c:v>1.3515888982202461E-3</c:v>
                </c:pt>
                <c:pt idx="8">
                  <c:v>1.3125256352669369E-3</c:v>
                </c:pt>
                <c:pt idx="9">
                  <c:v>2.2891072091269392E-3</c:v>
                </c:pt>
                <c:pt idx="10">
                  <c:v>2.7227094279185238E-3</c:v>
                </c:pt>
                <c:pt idx="12">
                  <c:v>2.1914490517382034E-3</c:v>
                </c:pt>
                <c:pt idx="13">
                  <c:v>1.5469052129907014E-3</c:v>
                </c:pt>
                <c:pt idx="14">
                  <c:v>1.5078419500383689E-3</c:v>
                </c:pt>
                <c:pt idx="15">
                  <c:v>2.2617629250589744E-3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Arena!$AO$5:$AO$20</c15:f>
                <c15:dlblRangeCache>
                  <c:ptCount val="16"/>
                  <c:pt idx="0">
                    <c:v>48.07%</c:v>
                  </c:pt>
                  <c:pt idx="1">
                    <c:v>64.96%</c:v>
                  </c:pt>
                  <c:pt idx="2">
                    <c:v>85.62%</c:v>
                  </c:pt>
                  <c:pt idx="3">
                    <c:v>92.82%</c:v>
                  </c:pt>
                  <c:pt idx="4">
                    <c:v>90.81%</c:v>
                  </c:pt>
                  <c:pt idx="6">
                    <c:v>45.04%</c:v>
                  </c:pt>
                  <c:pt idx="7">
                    <c:v>58.00%</c:v>
                  </c:pt>
                  <c:pt idx="8">
                    <c:v>79.86%</c:v>
                  </c:pt>
                  <c:pt idx="9">
                    <c:v>93.69%</c:v>
                  </c:pt>
                  <c:pt idx="10">
                    <c:v>96.93%</c:v>
                  </c:pt>
                  <c:pt idx="12">
                    <c:v>40.53%</c:v>
                  </c:pt>
                  <c:pt idx="13">
                    <c:v>76.55%</c:v>
                  </c:pt>
                  <c:pt idx="14">
                    <c:v>98.39%</c:v>
                  </c:pt>
                  <c:pt idx="15">
                    <c:v>99.85%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1ED6-4FBB-8727-75D2598719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8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TOF</a:t>
            </a:r>
            <a:r>
              <a:rPr lang="en-US" baseline="0"/>
              <a:t> - Limo Mod 56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EjemploTOF!$B$3:$B$392</c:f>
              <c:numCache>
                <c:formatCode>General</c:formatCode>
                <c:ptCount val="390"/>
                <c:pt idx="0">
                  <c:v>21.108663940295699</c:v>
                </c:pt>
                <c:pt idx="1">
                  <c:v>21.108683471927201</c:v>
                </c:pt>
                <c:pt idx="2">
                  <c:v>21.108703003558698</c:v>
                </c:pt>
                <c:pt idx="3">
                  <c:v>21.1087225351901</c:v>
                </c:pt>
                <c:pt idx="4">
                  <c:v>21.108742066821598</c:v>
                </c:pt>
                <c:pt idx="5">
                  <c:v>21.1087615984531</c:v>
                </c:pt>
                <c:pt idx="6">
                  <c:v>21.108781130084601</c:v>
                </c:pt>
                <c:pt idx="7">
                  <c:v>21.108800661716099</c:v>
                </c:pt>
                <c:pt idx="8">
                  <c:v>21.108820193347501</c:v>
                </c:pt>
                <c:pt idx="9">
                  <c:v>21.108839724978999</c:v>
                </c:pt>
                <c:pt idx="10">
                  <c:v>21.108859256610501</c:v>
                </c:pt>
                <c:pt idx="11">
                  <c:v>21.108878788241999</c:v>
                </c:pt>
                <c:pt idx="12">
                  <c:v>21.108898319873401</c:v>
                </c:pt>
                <c:pt idx="13">
                  <c:v>21.108917851504899</c:v>
                </c:pt>
                <c:pt idx="14">
                  <c:v>21.1089373831364</c:v>
                </c:pt>
                <c:pt idx="15">
                  <c:v>21.108956914767901</c:v>
                </c:pt>
                <c:pt idx="16">
                  <c:v>21.1089764463993</c:v>
                </c:pt>
                <c:pt idx="17">
                  <c:v>21.108995978030801</c:v>
                </c:pt>
                <c:pt idx="18">
                  <c:v>21.109015509662299</c:v>
                </c:pt>
                <c:pt idx="19">
                  <c:v>21.109035041293801</c:v>
                </c:pt>
                <c:pt idx="20">
                  <c:v>21.109054572925299</c:v>
                </c:pt>
                <c:pt idx="21">
                  <c:v>21.109074104556701</c:v>
                </c:pt>
                <c:pt idx="22">
                  <c:v>21.109093636188199</c:v>
                </c:pt>
                <c:pt idx="23">
                  <c:v>21.1091131678197</c:v>
                </c:pt>
                <c:pt idx="24">
                  <c:v>21.109132699451202</c:v>
                </c:pt>
                <c:pt idx="25">
                  <c:v>21.1091522310826</c:v>
                </c:pt>
                <c:pt idx="26">
                  <c:v>21.109171762714102</c:v>
                </c:pt>
                <c:pt idx="27">
                  <c:v>21.109191294345599</c:v>
                </c:pt>
                <c:pt idx="28">
                  <c:v>21.109210825977101</c:v>
                </c:pt>
                <c:pt idx="29">
                  <c:v>21.109230357608599</c:v>
                </c:pt>
                <c:pt idx="30">
                  <c:v>21.109249889240001</c:v>
                </c:pt>
                <c:pt idx="31">
                  <c:v>21.109269420871499</c:v>
                </c:pt>
                <c:pt idx="32">
                  <c:v>21.109288952503</c:v>
                </c:pt>
                <c:pt idx="33">
                  <c:v>21.109308484134498</c:v>
                </c:pt>
                <c:pt idx="34">
                  <c:v>21.1093280157659</c:v>
                </c:pt>
                <c:pt idx="35">
                  <c:v>21.109347547397402</c:v>
                </c:pt>
                <c:pt idx="36">
                  <c:v>21.1093670790289</c:v>
                </c:pt>
                <c:pt idx="37">
                  <c:v>21.109386610660401</c:v>
                </c:pt>
                <c:pt idx="38">
                  <c:v>21.1094061422918</c:v>
                </c:pt>
                <c:pt idx="39">
                  <c:v>21.109425673923301</c:v>
                </c:pt>
                <c:pt idx="40">
                  <c:v>21.109445205554799</c:v>
                </c:pt>
                <c:pt idx="41">
                  <c:v>21.1094647371863</c:v>
                </c:pt>
                <c:pt idx="42">
                  <c:v>21.109484268817798</c:v>
                </c:pt>
                <c:pt idx="43">
                  <c:v>21.1095038004492</c:v>
                </c:pt>
                <c:pt idx="44">
                  <c:v>21.109523332080698</c:v>
                </c:pt>
                <c:pt idx="45">
                  <c:v>21.1095428637122</c:v>
                </c:pt>
                <c:pt idx="46">
                  <c:v>21.109562395343701</c:v>
                </c:pt>
                <c:pt idx="47">
                  <c:v>21.1095819269751</c:v>
                </c:pt>
                <c:pt idx="48">
                  <c:v>21.109601458606601</c:v>
                </c:pt>
                <c:pt idx="49">
                  <c:v>21.109620990238099</c:v>
                </c:pt>
                <c:pt idx="50">
                  <c:v>21.109640521869601</c:v>
                </c:pt>
                <c:pt idx="51">
                  <c:v>21.109660053500999</c:v>
                </c:pt>
                <c:pt idx="52">
                  <c:v>21.109679585132501</c:v>
                </c:pt>
                <c:pt idx="53">
                  <c:v>21.109699116763998</c:v>
                </c:pt>
                <c:pt idx="54">
                  <c:v>21.1097186483955</c:v>
                </c:pt>
                <c:pt idx="55">
                  <c:v>21.109738180027001</c:v>
                </c:pt>
                <c:pt idx="56">
                  <c:v>21.1097577116584</c:v>
                </c:pt>
                <c:pt idx="57">
                  <c:v>21.109777243289901</c:v>
                </c:pt>
                <c:pt idx="58">
                  <c:v>21.109796774921399</c:v>
                </c:pt>
                <c:pt idx="59">
                  <c:v>21.109816306552901</c:v>
                </c:pt>
                <c:pt idx="60">
                  <c:v>21.109835838184299</c:v>
                </c:pt>
                <c:pt idx="61">
                  <c:v>21.109855369815801</c:v>
                </c:pt>
                <c:pt idx="62">
                  <c:v>21.109874901447299</c:v>
                </c:pt>
                <c:pt idx="63">
                  <c:v>21.1098944330788</c:v>
                </c:pt>
                <c:pt idx="64">
                  <c:v>21.109913964710302</c:v>
                </c:pt>
                <c:pt idx="65">
                  <c:v>21.1099334963417</c:v>
                </c:pt>
                <c:pt idx="66">
                  <c:v>21.109953027973202</c:v>
                </c:pt>
                <c:pt idx="67">
                  <c:v>21.109972559604699</c:v>
                </c:pt>
                <c:pt idx="68">
                  <c:v>21.109992091236201</c:v>
                </c:pt>
                <c:pt idx="69">
                  <c:v>21.110011622867599</c:v>
                </c:pt>
                <c:pt idx="70">
                  <c:v>21.110031154499101</c:v>
                </c:pt>
                <c:pt idx="71">
                  <c:v>21.110050686130599</c:v>
                </c:pt>
                <c:pt idx="72">
                  <c:v>21.1100702177621</c:v>
                </c:pt>
                <c:pt idx="73">
                  <c:v>21.110089749393499</c:v>
                </c:pt>
                <c:pt idx="74">
                  <c:v>21.110109281025</c:v>
                </c:pt>
                <c:pt idx="75">
                  <c:v>21.110128812656502</c:v>
                </c:pt>
                <c:pt idx="76">
                  <c:v>21.110148344288</c:v>
                </c:pt>
                <c:pt idx="77">
                  <c:v>21.110167875919501</c:v>
                </c:pt>
                <c:pt idx="78">
                  <c:v>21.1101874075509</c:v>
                </c:pt>
                <c:pt idx="79">
                  <c:v>21.110206939182401</c:v>
                </c:pt>
                <c:pt idx="80">
                  <c:v>21.110226470813899</c:v>
                </c:pt>
                <c:pt idx="81">
                  <c:v>21.1102460024454</c:v>
                </c:pt>
                <c:pt idx="82">
                  <c:v>21.110265534076799</c:v>
                </c:pt>
                <c:pt idx="83">
                  <c:v>21.1102850657083</c:v>
                </c:pt>
                <c:pt idx="84">
                  <c:v>21.110304597339798</c:v>
                </c:pt>
                <c:pt idx="85">
                  <c:v>21.1103241289713</c:v>
                </c:pt>
                <c:pt idx="86">
                  <c:v>21.110343660602702</c:v>
                </c:pt>
                <c:pt idx="87">
                  <c:v>21.1103631922342</c:v>
                </c:pt>
                <c:pt idx="88">
                  <c:v>21.110382723865701</c:v>
                </c:pt>
                <c:pt idx="89">
                  <c:v>21.110402255497199</c:v>
                </c:pt>
                <c:pt idx="90">
                  <c:v>21.110421787128701</c:v>
                </c:pt>
                <c:pt idx="91">
                  <c:v>21.110441318760099</c:v>
                </c:pt>
                <c:pt idx="92">
                  <c:v>21.1104608503916</c:v>
                </c:pt>
                <c:pt idx="93">
                  <c:v>21.110480382023098</c:v>
                </c:pt>
                <c:pt idx="94">
                  <c:v>21.1104999136546</c:v>
                </c:pt>
                <c:pt idx="95">
                  <c:v>21.110519445285998</c:v>
                </c:pt>
                <c:pt idx="96">
                  <c:v>21.1105389769175</c:v>
                </c:pt>
                <c:pt idx="97">
                  <c:v>21.110558508549001</c:v>
                </c:pt>
                <c:pt idx="98">
                  <c:v>21.110578040180499</c:v>
                </c:pt>
                <c:pt idx="99">
                  <c:v>21.110597571812001</c:v>
                </c:pt>
                <c:pt idx="100">
                  <c:v>21.110617103443399</c:v>
                </c:pt>
                <c:pt idx="101">
                  <c:v>21.110636635074901</c:v>
                </c:pt>
                <c:pt idx="102">
                  <c:v>21.110656166706399</c:v>
                </c:pt>
                <c:pt idx="103">
                  <c:v>21.1106756983379</c:v>
                </c:pt>
                <c:pt idx="104">
                  <c:v>21.110695229969298</c:v>
                </c:pt>
                <c:pt idx="105">
                  <c:v>21.1107147616008</c:v>
                </c:pt>
                <c:pt idx="106">
                  <c:v>21.110734293232301</c:v>
                </c:pt>
                <c:pt idx="107">
                  <c:v>21.110753824863799</c:v>
                </c:pt>
                <c:pt idx="108">
                  <c:v>21.110773356495201</c:v>
                </c:pt>
                <c:pt idx="109">
                  <c:v>21.110792888126699</c:v>
                </c:pt>
                <c:pt idx="110">
                  <c:v>21.110812419758201</c:v>
                </c:pt>
                <c:pt idx="111">
                  <c:v>21.110831951389699</c:v>
                </c:pt>
                <c:pt idx="112">
                  <c:v>21.1108514830212</c:v>
                </c:pt>
                <c:pt idx="113">
                  <c:v>21.110871014652599</c:v>
                </c:pt>
                <c:pt idx="114">
                  <c:v>21.1108905462841</c:v>
                </c:pt>
                <c:pt idx="115">
                  <c:v>21.110910077915602</c:v>
                </c:pt>
                <c:pt idx="116">
                  <c:v>21.1109296095471</c:v>
                </c:pt>
                <c:pt idx="117">
                  <c:v>21.110949141178502</c:v>
                </c:pt>
                <c:pt idx="118">
                  <c:v>21.110968672809999</c:v>
                </c:pt>
                <c:pt idx="119">
                  <c:v>21.110988204441501</c:v>
                </c:pt>
                <c:pt idx="120">
                  <c:v>21.111007736072999</c:v>
                </c:pt>
                <c:pt idx="121">
                  <c:v>21.111027267704401</c:v>
                </c:pt>
                <c:pt idx="122">
                  <c:v>21.111046799335899</c:v>
                </c:pt>
                <c:pt idx="123">
                  <c:v>21.1110663309674</c:v>
                </c:pt>
                <c:pt idx="124">
                  <c:v>21.111085862598902</c:v>
                </c:pt>
                <c:pt idx="125">
                  <c:v>21.1111053942304</c:v>
                </c:pt>
                <c:pt idx="126">
                  <c:v>21.111124925861802</c:v>
                </c:pt>
                <c:pt idx="127">
                  <c:v>21.1111444574933</c:v>
                </c:pt>
                <c:pt idx="128">
                  <c:v>21.111163989124801</c:v>
                </c:pt>
                <c:pt idx="129">
                  <c:v>21.111183520756299</c:v>
                </c:pt>
                <c:pt idx="130">
                  <c:v>21.111203052387701</c:v>
                </c:pt>
                <c:pt idx="131">
                  <c:v>21.111222584019199</c:v>
                </c:pt>
                <c:pt idx="132">
                  <c:v>21.1112421156507</c:v>
                </c:pt>
                <c:pt idx="133">
                  <c:v>21.111261647282198</c:v>
                </c:pt>
                <c:pt idx="134">
                  <c:v>21.1112811789137</c:v>
                </c:pt>
                <c:pt idx="135">
                  <c:v>21.111300710545098</c:v>
                </c:pt>
                <c:pt idx="136">
                  <c:v>21.1113202421766</c:v>
                </c:pt>
                <c:pt idx="137">
                  <c:v>21.111339773808101</c:v>
                </c:pt>
                <c:pt idx="138">
                  <c:v>21.111359305439599</c:v>
                </c:pt>
                <c:pt idx="139">
                  <c:v>21.111378837071001</c:v>
                </c:pt>
                <c:pt idx="140">
                  <c:v>21.111398368702499</c:v>
                </c:pt>
                <c:pt idx="141">
                  <c:v>21.111417900334001</c:v>
                </c:pt>
                <c:pt idx="142">
                  <c:v>21.111437431965498</c:v>
                </c:pt>
                <c:pt idx="143">
                  <c:v>21.1114569635969</c:v>
                </c:pt>
                <c:pt idx="144">
                  <c:v>21.111476495228398</c:v>
                </c:pt>
                <c:pt idx="145">
                  <c:v>21.1114960268599</c:v>
                </c:pt>
                <c:pt idx="146">
                  <c:v>21.111515558491401</c:v>
                </c:pt>
                <c:pt idx="147">
                  <c:v>21.111535090122899</c:v>
                </c:pt>
                <c:pt idx="148">
                  <c:v>21.111554621754301</c:v>
                </c:pt>
                <c:pt idx="149">
                  <c:v>21.111574153385799</c:v>
                </c:pt>
                <c:pt idx="150">
                  <c:v>21.111593685017301</c:v>
                </c:pt>
                <c:pt idx="151">
                  <c:v>21.111613216648799</c:v>
                </c:pt>
                <c:pt idx="152">
                  <c:v>21.111632748280201</c:v>
                </c:pt>
                <c:pt idx="153">
                  <c:v>21.111652279911699</c:v>
                </c:pt>
                <c:pt idx="154">
                  <c:v>21.1116718115432</c:v>
                </c:pt>
                <c:pt idx="155">
                  <c:v>21.111691343174702</c:v>
                </c:pt>
                <c:pt idx="156">
                  <c:v>21.111710874806199</c:v>
                </c:pt>
                <c:pt idx="157">
                  <c:v>21.111730406437601</c:v>
                </c:pt>
                <c:pt idx="158">
                  <c:v>21.111749938069099</c:v>
                </c:pt>
                <c:pt idx="159">
                  <c:v>21.111769469700601</c:v>
                </c:pt>
                <c:pt idx="160">
                  <c:v>21.111789001332099</c:v>
                </c:pt>
                <c:pt idx="161">
                  <c:v>21.111808532963501</c:v>
                </c:pt>
                <c:pt idx="162">
                  <c:v>21.111828064594999</c:v>
                </c:pt>
                <c:pt idx="163">
                  <c:v>21.1118475962265</c:v>
                </c:pt>
                <c:pt idx="164">
                  <c:v>21.111867127858002</c:v>
                </c:pt>
                <c:pt idx="165">
                  <c:v>21.1118866594894</c:v>
                </c:pt>
                <c:pt idx="166">
                  <c:v>21.111906191120902</c:v>
                </c:pt>
                <c:pt idx="167">
                  <c:v>21.1119257227524</c:v>
                </c:pt>
                <c:pt idx="168">
                  <c:v>21.111945254383901</c:v>
                </c:pt>
                <c:pt idx="169">
                  <c:v>21.111964786015399</c:v>
                </c:pt>
                <c:pt idx="170">
                  <c:v>21.111984317646801</c:v>
                </c:pt>
                <c:pt idx="171">
                  <c:v>21.112003849278299</c:v>
                </c:pt>
                <c:pt idx="172">
                  <c:v>21.1120233809098</c:v>
                </c:pt>
                <c:pt idx="173">
                  <c:v>21.112042912541298</c:v>
                </c:pt>
                <c:pt idx="174">
                  <c:v>21.1120624441727</c:v>
                </c:pt>
                <c:pt idx="175">
                  <c:v>21.112081975804202</c:v>
                </c:pt>
                <c:pt idx="176">
                  <c:v>21.1121015074357</c:v>
                </c:pt>
                <c:pt idx="177">
                  <c:v>21.112121039067201</c:v>
                </c:pt>
                <c:pt idx="178">
                  <c:v>21.1121405706986</c:v>
                </c:pt>
                <c:pt idx="179">
                  <c:v>21.112160102330101</c:v>
                </c:pt>
                <c:pt idx="180">
                  <c:v>21.112179633961599</c:v>
                </c:pt>
                <c:pt idx="181">
                  <c:v>21.112199165593101</c:v>
                </c:pt>
                <c:pt idx="182">
                  <c:v>21.112218697224598</c:v>
                </c:pt>
                <c:pt idx="183">
                  <c:v>21.112238228856</c:v>
                </c:pt>
                <c:pt idx="184">
                  <c:v>21.112257760487498</c:v>
                </c:pt>
                <c:pt idx="185">
                  <c:v>21.112277292119</c:v>
                </c:pt>
                <c:pt idx="186">
                  <c:v>21.112296823750501</c:v>
                </c:pt>
                <c:pt idx="187">
                  <c:v>21.1123163553819</c:v>
                </c:pt>
                <c:pt idx="188">
                  <c:v>21.112335887013401</c:v>
                </c:pt>
                <c:pt idx="189">
                  <c:v>21.112355418644899</c:v>
                </c:pt>
                <c:pt idx="190">
                  <c:v>21.112374950276401</c:v>
                </c:pt>
                <c:pt idx="191">
                  <c:v>21.112394481907899</c:v>
                </c:pt>
                <c:pt idx="192">
                  <c:v>21.112414013539301</c:v>
                </c:pt>
                <c:pt idx="193">
                  <c:v>21.112433545170799</c:v>
                </c:pt>
                <c:pt idx="194">
                  <c:v>21.1124530768023</c:v>
                </c:pt>
                <c:pt idx="195">
                  <c:v>21.112472608433801</c:v>
                </c:pt>
                <c:pt idx="196">
                  <c:v>21.1124921400652</c:v>
                </c:pt>
                <c:pt idx="197">
                  <c:v>21.112511671696701</c:v>
                </c:pt>
                <c:pt idx="198">
                  <c:v>21.112531203328199</c:v>
                </c:pt>
                <c:pt idx="199">
                  <c:v>21.112550734959701</c:v>
                </c:pt>
                <c:pt idx="200">
                  <c:v>21.112570266591099</c:v>
                </c:pt>
                <c:pt idx="201">
                  <c:v>21.112589798222601</c:v>
                </c:pt>
                <c:pt idx="202">
                  <c:v>21.112609329854099</c:v>
                </c:pt>
                <c:pt idx="203">
                  <c:v>21.1126288614856</c:v>
                </c:pt>
                <c:pt idx="204">
                  <c:v>21.112648393117102</c:v>
                </c:pt>
                <c:pt idx="205">
                  <c:v>21.1126679247485</c:v>
                </c:pt>
                <c:pt idx="206">
                  <c:v>21.112687456380002</c:v>
                </c:pt>
                <c:pt idx="207">
                  <c:v>21.112706988011499</c:v>
                </c:pt>
                <c:pt idx="208">
                  <c:v>21.112726519643001</c:v>
                </c:pt>
                <c:pt idx="209">
                  <c:v>21.112746051274399</c:v>
                </c:pt>
                <c:pt idx="210">
                  <c:v>21.112765582905901</c:v>
                </c:pt>
                <c:pt idx="211">
                  <c:v>21.112785114537399</c:v>
                </c:pt>
                <c:pt idx="212">
                  <c:v>21.1128046461689</c:v>
                </c:pt>
                <c:pt idx="213">
                  <c:v>21.112824177800402</c:v>
                </c:pt>
                <c:pt idx="214">
                  <c:v>21.1128437094318</c:v>
                </c:pt>
                <c:pt idx="215">
                  <c:v>21.112863241063302</c:v>
                </c:pt>
                <c:pt idx="216">
                  <c:v>21.1128827726948</c:v>
                </c:pt>
                <c:pt idx="217">
                  <c:v>21.112902304326301</c:v>
                </c:pt>
                <c:pt idx="218">
                  <c:v>21.1129218359577</c:v>
                </c:pt>
                <c:pt idx="219">
                  <c:v>21.112941367589201</c:v>
                </c:pt>
                <c:pt idx="220">
                  <c:v>21.112960899220699</c:v>
                </c:pt>
                <c:pt idx="221">
                  <c:v>21.1129804308522</c:v>
                </c:pt>
                <c:pt idx="222">
                  <c:v>21.112999962483599</c:v>
                </c:pt>
                <c:pt idx="223">
                  <c:v>21.1130194941151</c:v>
                </c:pt>
                <c:pt idx="224">
                  <c:v>21.113039025746598</c:v>
                </c:pt>
                <c:pt idx="225">
                  <c:v>21.1130585573781</c:v>
                </c:pt>
                <c:pt idx="226">
                  <c:v>21.113078089009601</c:v>
                </c:pt>
                <c:pt idx="227">
                  <c:v>21.113097620641</c:v>
                </c:pt>
                <c:pt idx="228">
                  <c:v>21.113117152272501</c:v>
                </c:pt>
                <c:pt idx="229">
                  <c:v>21.113136683903999</c:v>
                </c:pt>
                <c:pt idx="230">
                  <c:v>21.113156215535501</c:v>
                </c:pt>
                <c:pt idx="231">
                  <c:v>21.113175747166899</c:v>
                </c:pt>
                <c:pt idx="232">
                  <c:v>21.113195278798401</c:v>
                </c:pt>
                <c:pt idx="233">
                  <c:v>21.113214810429898</c:v>
                </c:pt>
                <c:pt idx="234">
                  <c:v>21.1132343420614</c:v>
                </c:pt>
                <c:pt idx="235">
                  <c:v>21.113253873692798</c:v>
                </c:pt>
                <c:pt idx="236">
                  <c:v>21.1132734053243</c:v>
                </c:pt>
                <c:pt idx="237">
                  <c:v>21.113292936955801</c:v>
                </c:pt>
                <c:pt idx="238">
                  <c:v>21.113312468587299</c:v>
                </c:pt>
                <c:pt idx="239">
                  <c:v>21.113332000218801</c:v>
                </c:pt>
                <c:pt idx="240">
                  <c:v>21.113351531850199</c:v>
                </c:pt>
                <c:pt idx="241">
                  <c:v>21.113371063481701</c:v>
                </c:pt>
                <c:pt idx="242">
                  <c:v>21.113390595113199</c:v>
                </c:pt>
                <c:pt idx="243">
                  <c:v>21.1134101267447</c:v>
                </c:pt>
                <c:pt idx="244">
                  <c:v>21.113429658376099</c:v>
                </c:pt>
                <c:pt idx="245">
                  <c:v>21.1134491900076</c:v>
                </c:pt>
                <c:pt idx="246">
                  <c:v>21.113468721639101</c:v>
                </c:pt>
                <c:pt idx="247">
                  <c:v>21.113488253270599</c:v>
                </c:pt>
                <c:pt idx="248">
                  <c:v>21.113507784902101</c:v>
                </c:pt>
                <c:pt idx="249">
                  <c:v>21.113527316533499</c:v>
                </c:pt>
                <c:pt idx="250">
                  <c:v>21.113546848165001</c:v>
                </c:pt>
                <c:pt idx="251">
                  <c:v>21.113566379796499</c:v>
                </c:pt>
                <c:pt idx="252">
                  <c:v>21.113585911428</c:v>
                </c:pt>
                <c:pt idx="253">
                  <c:v>21.113605443059399</c:v>
                </c:pt>
                <c:pt idx="254">
                  <c:v>21.1136249746909</c:v>
                </c:pt>
                <c:pt idx="255">
                  <c:v>21.113644506322402</c:v>
                </c:pt>
                <c:pt idx="256">
                  <c:v>21.1136640379539</c:v>
                </c:pt>
                <c:pt idx="257">
                  <c:v>21.113683569585302</c:v>
                </c:pt>
                <c:pt idx="258">
                  <c:v>21.113703101216799</c:v>
                </c:pt>
                <c:pt idx="259">
                  <c:v>21.113722632848301</c:v>
                </c:pt>
                <c:pt idx="260">
                  <c:v>21.113742164479799</c:v>
                </c:pt>
                <c:pt idx="261">
                  <c:v>21.1137616961113</c:v>
                </c:pt>
                <c:pt idx="262">
                  <c:v>21.113781227742699</c:v>
                </c:pt>
                <c:pt idx="263">
                  <c:v>21.1138007593742</c:v>
                </c:pt>
                <c:pt idx="264">
                  <c:v>21.113820291005698</c:v>
                </c:pt>
                <c:pt idx="265">
                  <c:v>21.1138398226372</c:v>
                </c:pt>
                <c:pt idx="266">
                  <c:v>21.113859354268602</c:v>
                </c:pt>
                <c:pt idx="267">
                  <c:v>21.1138788859001</c:v>
                </c:pt>
                <c:pt idx="268">
                  <c:v>21.113898417531601</c:v>
                </c:pt>
                <c:pt idx="269">
                  <c:v>21.113917949163099</c:v>
                </c:pt>
                <c:pt idx="270">
                  <c:v>21.113937480794501</c:v>
                </c:pt>
                <c:pt idx="271">
                  <c:v>21.113957012425999</c:v>
                </c:pt>
                <c:pt idx="272">
                  <c:v>21.1139765440575</c:v>
                </c:pt>
                <c:pt idx="273">
                  <c:v>21.113996075688998</c:v>
                </c:pt>
                <c:pt idx="274">
                  <c:v>21.1140156073205</c:v>
                </c:pt>
                <c:pt idx="275">
                  <c:v>21.114035138951898</c:v>
                </c:pt>
                <c:pt idx="276">
                  <c:v>21.1140546705834</c:v>
                </c:pt>
                <c:pt idx="277">
                  <c:v>21.114074202214901</c:v>
                </c:pt>
                <c:pt idx="278">
                  <c:v>21.114093733846399</c:v>
                </c:pt>
                <c:pt idx="279">
                  <c:v>21.114113265477801</c:v>
                </c:pt>
                <c:pt idx="280">
                  <c:v>21.114132797109299</c:v>
                </c:pt>
                <c:pt idx="281">
                  <c:v>21.114152328740801</c:v>
                </c:pt>
                <c:pt idx="282">
                  <c:v>21.114171860372299</c:v>
                </c:pt>
                <c:pt idx="283">
                  <c:v>21.1141913920038</c:v>
                </c:pt>
                <c:pt idx="284">
                  <c:v>21.114210923635198</c:v>
                </c:pt>
                <c:pt idx="285">
                  <c:v>21.1142304552667</c:v>
                </c:pt>
                <c:pt idx="286">
                  <c:v>21.114249986898201</c:v>
                </c:pt>
                <c:pt idx="287">
                  <c:v>21.114269518529699</c:v>
                </c:pt>
                <c:pt idx="288">
                  <c:v>21.114289050161101</c:v>
                </c:pt>
                <c:pt idx="289">
                  <c:v>21.114308581792599</c:v>
                </c:pt>
                <c:pt idx="290">
                  <c:v>21.114328113424101</c:v>
                </c:pt>
                <c:pt idx="291">
                  <c:v>21.114347645055599</c:v>
                </c:pt>
                <c:pt idx="292">
                  <c:v>21.114367176687001</c:v>
                </c:pt>
                <c:pt idx="293">
                  <c:v>21.114386708318499</c:v>
                </c:pt>
                <c:pt idx="294">
                  <c:v>21.11440623995</c:v>
                </c:pt>
                <c:pt idx="295">
                  <c:v>21.114425771581502</c:v>
                </c:pt>
                <c:pt idx="296">
                  <c:v>21.114445303213</c:v>
                </c:pt>
                <c:pt idx="297">
                  <c:v>21.114464834844402</c:v>
                </c:pt>
                <c:pt idx="298">
                  <c:v>21.114484366475899</c:v>
                </c:pt>
                <c:pt idx="299">
                  <c:v>21.114503898107401</c:v>
                </c:pt>
                <c:pt idx="300">
                  <c:v>21.114523429738899</c:v>
                </c:pt>
                <c:pt idx="301">
                  <c:v>21.114542961370301</c:v>
                </c:pt>
                <c:pt idx="302">
                  <c:v>21.114562493001799</c:v>
                </c:pt>
                <c:pt idx="303">
                  <c:v>21.1145820246333</c:v>
                </c:pt>
                <c:pt idx="304">
                  <c:v>21.114601556264802</c:v>
                </c:pt>
                <c:pt idx="305">
                  <c:v>21.1146210878963</c:v>
                </c:pt>
                <c:pt idx="306">
                  <c:v>21.114640619527702</c:v>
                </c:pt>
                <c:pt idx="307">
                  <c:v>21.1146601511592</c:v>
                </c:pt>
                <c:pt idx="308">
                  <c:v>21.114679682790701</c:v>
                </c:pt>
                <c:pt idx="309">
                  <c:v>21.114699214422199</c:v>
                </c:pt>
                <c:pt idx="310">
                  <c:v>21.114718746053601</c:v>
                </c:pt>
                <c:pt idx="311">
                  <c:v>21.114738277685099</c:v>
                </c:pt>
                <c:pt idx="312">
                  <c:v>21.1147578093166</c:v>
                </c:pt>
                <c:pt idx="313">
                  <c:v>21.114777340948098</c:v>
                </c:pt>
                <c:pt idx="314">
                  <c:v>21.1147968725795</c:v>
                </c:pt>
                <c:pt idx="315">
                  <c:v>21.114816404210998</c:v>
                </c:pt>
                <c:pt idx="316">
                  <c:v>21.1148359358425</c:v>
                </c:pt>
                <c:pt idx="317">
                  <c:v>21.114855467474001</c:v>
                </c:pt>
                <c:pt idx="318">
                  <c:v>21.114874999105499</c:v>
                </c:pt>
                <c:pt idx="319">
                  <c:v>21.114894530736901</c:v>
                </c:pt>
                <c:pt idx="320">
                  <c:v>21.114914062368399</c:v>
                </c:pt>
                <c:pt idx="321">
                  <c:v>21.114933593999901</c:v>
                </c:pt>
                <c:pt idx="322">
                  <c:v>21.114953125631398</c:v>
                </c:pt>
                <c:pt idx="323">
                  <c:v>21.1149726572628</c:v>
                </c:pt>
                <c:pt idx="324">
                  <c:v>21.114992188894298</c:v>
                </c:pt>
                <c:pt idx="325">
                  <c:v>21.1150117205258</c:v>
                </c:pt>
                <c:pt idx="326">
                  <c:v>21.115031252157301</c:v>
                </c:pt>
                <c:pt idx="327">
                  <c:v>21.1150507837887</c:v>
                </c:pt>
                <c:pt idx="328">
                  <c:v>21.115070315420201</c:v>
                </c:pt>
                <c:pt idx="329">
                  <c:v>21.115089847051699</c:v>
                </c:pt>
                <c:pt idx="330">
                  <c:v>21.115109378683201</c:v>
                </c:pt>
                <c:pt idx="331">
                  <c:v>21.115128910314699</c:v>
                </c:pt>
                <c:pt idx="332">
                  <c:v>21.115148441946101</c:v>
                </c:pt>
                <c:pt idx="333">
                  <c:v>21.115167973577599</c:v>
                </c:pt>
                <c:pt idx="334">
                  <c:v>21.1151875052091</c:v>
                </c:pt>
                <c:pt idx="335">
                  <c:v>21.115207036840602</c:v>
                </c:pt>
                <c:pt idx="336">
                  <c:v>21.115226568472</c:v>
                </c:pt>
                <c:pt idx="337">
                  <c:v>21.115246100103501</c:v>
                </c:pt>
                <c:pt idx="338">
                  <c:v>21.115265631734999</c:v>
                </c:pt>
                <c:pt idx="339">
                  <c:v>21.115285163366501</c:v>
                </c:pt>
                <c:pt idx="340">
                  <c:v>21.115304694997999</c:v>
                </c:pt>
                <c:pt idx="341">
                  <c:v>21.115324226629401</c:v>
                </c:pt>
                <c:pt idx="342">
                  <c:v>21.115343758260899</c:v>
                </c:pt>
                <c:pt idx="343">
                  <c:v>21.1153632898924</c:v>
                </c:pt>
                <c:pt idx="344">
                  <c:v>21.115382821523902</c:v>
                </c:pt>
                <c:pt idx="345">
                  <c:v>21.1154023531553</c:v>
                </c:pt>
                <c:pt idx="346">
                  <c:v>21.115421884786802</c:v>
                </c:pt>
                <c:pt idx="347">
                  <c:v>21.1154414164183</c:v>
                </c:pt>
                <c:pt idx="348">
                  <c:v>21.115460948049801</c:v>
                </c:pt>
                <c:pt idx="349">
                  <c:v>21.115480479681199</c:v>
                </c:pt>
                <c:pt idx="350">
                  <c:v>21.115500011312701</c:v>
                </c:pt>
                <c:pt idx="351">
                  <c:v>21.115519542944199</c:v>
                </c:pt>
                <c:pt idx="352">
                  <c:v>21.1155390745757</c:v>
                </c:pt>
                <c:pt idx="353">
                  <c:v>21.115558606207198</c:v>
                </c:pt>
                <c:pt idx="354">
                  <c:v>21.1155781378386</c:v>
                </c:pt>
                <c:pt idx="355">
                  <c:v>21.115597669470102</c:v>
                </c:pt>
                <c:pt idx="356">
                  <c:v>21.1156172011016</c:v>
                </c:pt>
                <c:pt idx="357">
                  <c:v>21.115636732733101</c:v>
                </c:pt>
                <c:pt idx="358">
                  <c:v>21.1156562643645</c:v>
                </c:pt>
                <c:pt idx="359">
                  <c:v>21.115675795996001</c:v>
                </c:pt>
                <c:pt idx="360">
                  <c:v>21.115695327627499</c:v>
                </c:pt>
                <c:pt idx="361">
                  <c:v>21.115714859259</c:v>
                </c:pt>
                <c:pt idx="362">
                  <c:v>21.115734390890498</c:v>
                </c:pt>
                <c:pt idx="363">
                  <c:v>21.1157539225219</c:v>
                </c:pt>
                <c:pt idx="364">
                  <c:v>21.115773454153398</c:v>
                </c:pt>
                <c:pt idx="365">
                  <c:v>21.1157929857849</c:v>
                </c:pt>
                <c:pt idx="366">
                  <c:v>21.115812517416401</c:v>
                </c:pt>
                <c:pt idx="367">
                  <c:v>21.1158320490478</c:v>
                </c:pt>
                <c:pt idx="368">
                  <c:v>21.115851580679301</c:v>
                </c:pt>
                <c:pt idx="369">
                  <c:v>21.115871112310799</c:v>
                </c:pt>
                <c:pt idx="370">
                  <c:v>21.115890643942301</c:v>
                </c:pt>
                <c:pt idx="371">
                  <c:v>21.115910175573699</c:v>
                </c:pt>
                <c:pt idx="372">
                  <c:v>21.115929707205201</c:v>
                </c:pt>
                <c:pt idx="373">
                  <c:v>21.115949238836698</c:v>
                </c:pt>
                <c:pt idx="374">
                  <c:v>21.1159687704682</c:v>
                </c:pt>
                <c:pt idx="375">
                  <c:v>21.115988302099701</c:v>
                </c:pt>
                <c:pt idx="376">
                  <c:v>21.1160078337311</c:v>
                </c:pt>
                <c:pt idx="377">
                  <c:v>21.116027365362601</c:v>
                </c:pt>
                <c:pt idx="378">
                  <c:v>21.116046896994099</c:v>
                </c:pt>
                <c:pt idx="379">
                  <c:v>21.116066428625601</c:v>
                </c:pt>
                <c:pt idx="380">
                  <c:v>21.116085960256999</c:v>
                </c:pt>
                <c:pt idx="381">
                  <c:v>21.116105491888501</c:v>
                </c:pt>
                <c:pt idx="382">
                  <c:v>21.116125023519999</c:v>
                </c:pt>
                <c:pt idx="383">
                  <c:v>21.1161445551515</c:v>
                </c:pt>
                <c:pt idx="384">
                  <c:v>21.116164086782899</c:v>
                </c:pt>
                <c:pt idx="385">
                  <c:v>21.1161836184144</c:v>
                </c:pt>
                <c:pt idx="386">
                  <c:v>21.116203150045902</c:v>
                </c:pt>
                <c:pt idx="387">
                  <c:v>21.116222681677399</c:v>
                </c:pt>
                <c:pt idx="388">
                  <c:v>21.116242213308901</c:v>
                </c:pt>
                <c:pt idx="389">
                  <c:v>21.116261744940299</c:v>
                </c:pt>
              </c:numCache>
            </c:numRef>
          </c:xVal>
          <c:yVal>
            <c:numRef>
              <c:f>EjemploTOF!$C$3:$C$392</c:f>
              <c:numCache>
                <c:formatCode>General</c:formatCode>
                <c:ptCount val="390"/>
                <c:pt idx="0">
                  <c:v>1.63902694E-4</c:v>
                </c:pt>
                <c:pt idx="1">
                  <c:v>1.9197525199999999E-4</c:v>
                </c:pt>
                <c:pt idx="2">
                  <c:v>2.1028344199999999E-4</c:v>
                </c:pt>
                <c:pt idx="3">
                  <c:v>2.7619292600000001E-4</c:v>
                </c:pt>
                <c:pt idx="4">
                  <c:v>2.42017638E-4</c:v>
                </c:pt>
                <c:pt idx="5">
                  <c:v>2.3896627300000001E-4</c:v>
                </c:pt>
                <c:pt idx="6">
                  <c:v>2.5544364399999997E-4</c:v>
                </c:pt>
                <c:pt idx="7">
                  <c:v>1.773287E-4</c:v>
                </c:pt>
                <c:pt idx="8">
                  <c:v>1.9929852799999999E-4</c:v>
                </c:pt>
                <c:pt idx="9">
                  <c:v>2.5727446299999998E-4</c:v>
                </c:pt>
                <c:pt idx="10">
                  <c:v>3.0182439200000002E-4</c:v>
                </c:pt>
                <c:pt idx="11">
                  <c:v>1.88923887E-4</c:v>
                </c:pt>
                <c:pt idx="12">
                  <c:v>2.6764910399999998E-4</c:v>
                </c:pt>
                <c:pt idx="13">
                  <c:v>2.4751009499999999E-4</c:v>
                </c:pt>
                <c:pt idx="14">
                  <c:v>2.5056146000000001E-4</c:v>
                </c:pt>
                <c:pt idx="15">
                  <c:v>2.9206002399999998E-4</c:v>
                </c:pt>
                <c:pt idx="16">
                  <c:v>3.5003595900000002E-4</c:v>
                </c:pt>
                <c:pt idx="17">
                  <c:v>2.6947992299999998E-4</c:v>
                </c:pt>
                <c:pt idx="18">
                  <c:v>2.9999357300000001E-4</c:v>
                </c:pt>
                <c:pt idx="19">
                  <c:v>2.6764910399999998E-4</c:v>
                </c:pt>
                <c:pt idx="20">
                  <c:v>3.0670657599999999E-4</c:v>
                </c:pt>
                <c:pt idx="21">
                  <c:v>2.5056146000000001E-4</c:v>
                </c:pt>
                <c:pt idx="22">
                  <c:v>1.9624716300000001E-4</c:v>
                </c:pt>
                <c:pt idx="23">
                  <c:v>2.37135454E-4</c:v>
                </c:pt>
                <c:pt idx="24">
                  <c:v>3.3538940700000001E-4</c:v>
                </c:pt>
                <c:pt idx="25">
                  <c:v>3.1586067099999998E-4</c:v>
                </c:pt>
                <c:pt idx="26">
                  <c:v>3.1036821400000001E-4</c:v>
                </c:pt>
                <c:pt idx="27">
                  <c:v>8.5656254900000003E-4</c:v>
                </c:pt>
                <c:pt idx="28">
                  <c:v>2.9333215679999999E-3</c:v>
                </c:pt>
                <c:pt idx="29">
                  <c:v>6.6035033900000003E-3</c:v>
                </c:pt>
                <c:pt idx="30">
                  <c:v>1.0894943125999999E-2</c:v>
                </c:pt>
                <c:pt idx="31">
                  <c:v>1.1867108015000001E-2</c:v>
                </c:pt>
                <c:pt idx="32">
                  <c:v>8.3037239680000003E-3</c:v>
                </c:pt>
                <c:pt idx="33">
                  <c:v>3.9414925639999999E-3</c:v>
                </c:pt>
                <c:pt idx="34">
                  <c:v>7.3450794900000002E-4</c:v>
                </c:pt>
                <c:pt idx="35">
                  <c:v>-2.3699508019999998E-3</c:v>
                </c:pt>
                <c:pt idx="36">
                  <c:v>-4.1952773449999998E-3</c:v>
                </c:pt>
                <c:pt idx="37">
                  <c:v>-4.7451333179999999E-3</c:v>
                </c:pt>
                <c:pt idx="38">
                  <c:v>-4.8702392830000003E-3</c:v>
                </c:pt>
                <c:pt idx="39">
                  <c:v>-4.3936160700000001E-3</c:v>
                </c:pt>
                <c:pt idx="40">
                  <c:v>-3.2249432749999998E-3</c:v>
                </c:pt>
                <c:pt idx="41">
                  <c:v>-2.747709789E-3</c:v>
                </c:pt>
                <c:pt idx="42">
                  <c:v>-2.6262654619999999E-3</c:v>
                </c:pt>
                <c:pt idx="43">
                  <c:v>-1.8310797430000001E-3</c:v>
                </c:pt>
                <c:pt idx="44">
                  <c:v>-1.479562495E-3</c:v>
                </c:pt>
                <c:pt idx="45">
                  <c:v>-9.3031679500000001E-4</c:v>
                </c:pt>
                <c:pt idx="46">
                  <c:v>-8.8698741199999998E-4</c:v>
                </c:pt>
                <c:pt idx="47">
                  <c:v>-6.4104739300000001E-4</c:v>
                </c:pt>
                <c:pt idx="48">
                  <c:v>-8.8332577399999996E-4</c:v>
                </c:pt>
                <c:pt idx="49">
                  <c:v>-6.9047950599999996E-4</c:v>
                </c:pt>
                <c:pt idx="50">
                  <c:v>-6.75832954E-4</c:v>
                </c:pt>
                <c:pt idx="51">
                  <c:v>-5.7391736300000003E-4</c:v>
                </c:pt>
                <c:pt idx="52">
                  <c:v>-4.36605938E-4</c:v>
                </c:pt>
                <c:pt idx="53">
                  <c:v>-3.0783833500000002E-4</c:v>
                </c:pt>
                <c:pt idx="54">
                  <c:v>-1.5221871999999999E-4</c:v>
                </c:pt>
                <c:pt idx="55">
                  <c:v>-1.47946809E-4</c:v>
                </c:pt>
                <c:pt idx="56" formatCode="0.00E+00">
                  <c:v>-1.49072949999999E-5</c:v>
                </c:pt>
                <c:pt idx="57" formatCode="0.00E+00">
                  <c:v>4.0111680000001404E-6</c:v>
                </c:pt>
                <c:pt idx="58" formatCode="0.00E+00">
                  <c:v>4.9171369999999999E-5</c:v>
                </c:pt>
                <c:pt idx="59" formatCode="0.00E+00">
                  <c:v>1.9878266000000301E-5</c:v>
                </c:pt>
                <c:pt idx="60" formatCode="0.00E+00">
                  <c:v>2.29296310000002E-5</c:v>
                </c:pt>
                <c:pt idx="61" formatCode="0.00E+00">
                  <c:v>7.0530925000000306E-5</c:v>
                </c:pt>
                <c:pt idx="62" formatCode="0.00E+00">
                  <c:v>-4.6641490999999803E-5</c:v>
                </c:pt>
                <c:pt idx="63" formatCode="0.00E+00">
                  <c:v>6.9310379000000206E-5</c:v>
                </c:pt>
                <c:pt idx="64">
                  <c:v>1.08367851E-4</c:v>
                </c:pt>
                <c:pt idx="65" formatCode="0.00E+00">
                  <c:v>8.4567204000000302E-5</c:v>
                </c:pt>
                <c:pt idx="66" formatCode="0.00E+00">
                  <c:v>9.8603483000000297E-5</c:v>
                </c:pt>
                <c:pt idx="67">
                  <c:v>2.0540125799999999E-4</c:v>
                </c:pt>
                <c:pt idx="68">
                  <c:v>1.0409594E-4</c:v>
                </c:pt>
                <c:pt idx="69">
                  <c:v>1.3155822500000001E-4</c:v>
                </c:pt>
                <c:pt idx="70">
                  <c:v>1.8526224900000001E-4</c:v>
                </c:pt>
                <c:pt idx="71">
                  <c:v>1.6329242099999999E-4</c:v>
                </c:pt>
                <c:pt idx="72">
                  <c:v>1.5902051E-4</c:v>
                </c:pt>
                <c:pt idx="73">
                  <c:v>2.0479098499999999E-4</c:v>
                </c:pt>
                <c:pt idx="74">
                  <c:v>2.6337719300000001E-4</c:v>
                </c:pt>
                <c:pt idx="75">
                  <c:v>2.9206002399999998E-4</c:v>
                </c:pt>
                <c:pt idx="76">
                  <c:v>1.4254313900000001E-4</c:v>
                </c:pt>
                <c:pt idx="77">
                  <c:v>2.0173962E-4</c:v>
                </c:pt>
                <c:pt idx="78">
                  <c:v>2.4628954899999999E-4</c:v>
                </c:pt>
                <c:pt idx="79">
                  <c:v>2.3408408899999999E-4</c:v>
                </c:pt>
                <c:pt idx="80">
                  <c:v>2.0967316900000001E-4</c:v>
                </c:pt>
                <c:pt idx="81">
                  <c:v>2.42627911E-4</c:v>
                </c:pt>
                <c:pt idx="82">
                  <c:v>2.3225327000000001E-4</c:v>
                </c:pt>
                <c:pt idx="83">
                  <c:v>2.0845262300000001E-4</c:v>
                </c:pt>
                <c:pt idx="84">
                  <c:v>2.7436210700000001E-4</c:v>
                </c:pt>
                <c:pt idx="85">
                  <c:v>2.9144975099999997E-4</c:v>
                </c:pt>
                <c:pt idx="86">
                  <c:v>1.4315341200000001E-4</c:v>
                </c:pt>
                <c:pt idx="87">
                  <c:v>2.5361282500000002E-4</c:v>
                </c:pt>
                <c:pt idx="88">
                  <c:v>2.3896627300000001E-4</c:v>
                </c:pt>
                <c:pt idx="89">
                  <c:v>2.4689982199999999E-4</c:v>
                </c:pt>
                <c:pt idx="90">
                  <c:v>1.9380607099999999E-4</c:v>
                </c:pt>
                <c:pt idx="91">
                  <c:v>2.2737108600000001E-4</c:v>
                </c:pt>
                <c:pt idx="92">
                  <c:v>2.3896627300000001E-4</c:v>
                </c:pt>
                <c:pt idx="93">
                  <c:v>2.84736748E-4</c:v>
                </c:pt>
                <c:pt idx="94">
                  <c:v>1.52307507E-4</c:v>
                </c:pt>
                <c:pt idx="95">
                  <c:v>2.2309917499999999E-4</c:v>
                </c:pt>
                <c:pt idx="96">
                  <c:v>2.00519074E-4</c:v>
                </c:pt>
                <c:pt idx="97">
                  <c:v>2.5300255200000002E-4</c:v>
                </c:pt>
                <c:pt idx="98">
                  <c:v>1.3888150099999999E-4</c:v>
                </c:pt>
                <c:pt idx="99">
                  <c:v>2.48120368E-4</c:v>
                </c:pt>
                <c:pt idx="100">
                  <c:v>1.2545549500000001E-4</c:v>
                </c:pt>
                <c:pt idx="101">
                  <c:v>3.3722022600000002E-4</c:v>
                </c:pt>
                <c:pt idx="102" formatCode="0.00E+00">
                  <c:v>6.1376830000000305E-5</c:v>
                </c:pt>
                <c:pt idx="103">
                  <c:v>1.073819737E-3</c:v>
                </c:pt>
                <c:pt idx="104">
                  <c:v>4.8154035E-3</c:v>
                </c:pt>
                <c:pt idx="105">
                  <c:v>5.1260324570000003E-3</c:v>
                </c:pt>
                <c:pt idx="106">
                  <c:v>3.5063679150000001E-3</c:v>
                </c:pt>
                <c:pt idx="107">
                  <c:v>7.5769832300000002E-4</c:v>
                </c:pt>
                <c:pt idx="108">
                  <c:v>-1.5064145069999999E-3</c:v>
                </c:pt>
                <c:pt idx="109">
                  <c:v>-7.6005062799999995E-4</c:v>
                </c:pt>
                <c:pt idx="110">
                  <c:v>1.0958839699999999E-4</c:v>
                </c:pt>
                <c:pt idx="111">
                  <c:v>3.1525039799999997E-4</c:v>
                </c:pt>
                <c:pt idx="112" formatCode="0.00E+00">
                  <c:v>8.4567204000000302E-5</c:v>
                </c:pt>
                <c:pt idx="113">
                  <c:v>-1.89445373E-4</c:v>
                </c:pt>
                <c:pt idx="114">
                  <c:v>-3.8290191399999998E-4</c:v>
                </c:pt>
                <c:pt idx="115">
                  <c:v>-7.1855206399999998E-4</c:v>
                </c:pt>
                <c:pt idx="116">
                  <c:v>4.7025974000000002E-4</c:v>
                </c:pt>
                <c:pt idx="117">
                  <c:v>-7.60660901E-4</c:v>
                </c:pt>
                <c:pt idx="118">
                  <c:v>-5.0556678700000004E-4</c:v>
                </c:pt>
                <c:pt idx="119">
                  <c:v>-7.2648561299999996E-4</c:v>
                </c:pt>
                <c:pt idx="120">
                  <c:v>-7.49065714E-4</c:v>
                </c:pt>
                <c:pt idx="121">
                  <c:v>-6.1419538099999999E-4</c:v>
                </c:pt>
                <c:pt idx="122">
                  <c:v>-3.3652116599999999E-4</c:v>
                </c:pt>
                <c:pt idx="123">
                  <c:v>-3.3285952800000002E-4</c:v>
                </c:pt>
                <c:pt idx="124">
                  <c:v>-1.6320363399999999E-4</c:v>
                </c:pt>
                <c:pt idx="125">
                  <c:v>-1.34520803E-4</c:v>
                </c:pt>
                <c:pt idx="126" formatCode="0.00E+00">
                  <c:v>1.1944716999999999E-5</c:v>
                </c:pt>
                <c:pt idx="127">
                  <c:v>1.01044575E-4</c:v>
                </c:pt>
                <c:pt idx="128">
                  <c:v>1.7244651600000001E-4</c:v>
                </c:pt>
                <c:pt idx="129">
                  <c:v>-1.14381794E-4</c:v>
                </c:pt>
                <c:pt idx="130">
                  <c:v>1.8953416E-4</c:v>
                </c:pt>
                <c:pt idx="131">
                  <c:v>-1.3207971100000001E-4</c:v>
                </c:pt>
                <c:pt idx="132">
                  <c:v>3.9946807199999997E-4</c:v>
                </c:pt>
                <c:pt idx="133" formatCode="0.00E+00">
                  <c:v>1.6826900999999999E-5</c:v>
                </c:pt>
                <c:pt idx="134">
                  <c:v>3.9946807199999997E-4</c:v>
                </c:pt>
                <c:pt idx="135">
                  <c:v>-3.86563552E-4</c:v>
                </c:pt>
                <c:pt idx="136">
                  <c:v>2.9845844999999999E-3</c:v>
                </c:pt>
                <c:pt idx="137">
                  <c:v>2.7001972819999998E-3</c:v>
                </c:pt>
                <c:pt idx="138">
                  <c:v>1.3045029310000001E-3</c:v>
                </c:pt>
                <c:pt idx="139">
                  <c:v>1.53528053E-4</c:v>
                </c:pt>
                <c:pt idx="140">
                  <c:v>2.7619292600000001E-4</c:v>
                </c:pt>
                <c:pt idx="141">
                  <c:v>1.494297834E-3</c:v>
                </c:pt>
                <c:pt idx="142">
                  <c:v>1.591331241E-3</c:v>
                </c:pt>
                <c:pt idx="143">
                  <c:v>1.094569019E-3</c:v>
                </c:pt>
                <c:pt idx="144">
                  <c:v>1.2111311620000001E-3</c:v>
                </c:pt>
                <c:pt idx="145">
                  <c:v>5.4776441100000005E-4</c:v>
                </c:pt>
                <c:pt idx="146">
                  <c:v>1.2587324559999999E-3</c:v>
                </c:pt>
                <c:pt idx="147">
                  <c:v>-6.0504128600000001E-4</c:v>
                </c:pt>
                <c:pt idx="148">
                  <c:v>-5.1350033600000003E-4</c:v>
                </c:pt>
                <c:pt idx="149">
                  <c:v>-1.2177553780000001E-3</c:v>
                </c:pt>
                <c:pt idx="150">
                  <c:v>-1.3038038710000001E-3</c:v>
                </c:pt>
                <c:pt idx="151">
                  <c:v>-3.9144573600000002E-4</c:v>
                </c:pt>
                <c:pt idx="152">
                  <c:v>-1.033452932E-3</c:v>
                </c:pt>
                <c:pt idx="153">
                  <c:v>-2.26061753E-4</c:v>
                </c:pt>
                <c:pt idx="154">
                  <c:v>-8.4487857499999995E-4</c:v>
                </c:pt>
                <c:pt idx="155">
                  <c:v>-1.3391052999999999E-4</c:v>
                </c:pt>
                <c:pt idx="156">
                  <c:v>-2.4009803200000001E-4</c:v>
                </c:pt>
                <c:pt idx="157">
                  <c:v>-1.6137281500000001E-4</c:v>
                </c:pt>
                <c:pt idx="158">
                  <c:v>-2.54744584E-4</c:v>
                </c:pt>
                <c:pt idx="159" formatCode="0.00E+00">
                  <c:v>-2.8943573999999899E-5</c:v>
                </c:pt>
                <c:pt idx="160">
                  <c:v>-2.2240011500000001E-4</c:v>
                </c:pt>
                <c:pt idx="161">
                  <c:v>4.8734738399999999E-4</c:v>
                </c:pt>
                <c:pt idx="162">
                  <c:v>7.6746269099999995E-4</c:v>
                </c:pt>
                <c:pt idx="163">
                  <c:v>8.7792210399999997E-4</c:v>
                </c:pt>
                <c:pt idx="164">
                  <c:v>7.2596412699999998E-4</c:v>
                </c:pt>
                <c:pt idx="165">
                  <c:v>1.58410237E-4</c:v>
                </c:pt>
                <c:pt idx="166" formatCode="0.00E+00">
                  <c:v>8.5177477000000304E-5</c:v>
                </c:pt>
                <c:pt idx="167">
                  <c:v>-1.7540909399999999E-4</c:v>
                </c:pt>
                <c:pt idx="168">
                  <c:v>1.0043430199999999E-4</c:v>
                </c:pt>
                <c:pt idx="169" formatCode="0.00E+00">
                  <c:v>-3.01641199999996E-5</c:v>
                </c:pt>
                <c:pt idx="170">
                  <c:v>-1.7418854800000001E-4</c:v>
                </c:pt>
                <c:pt idx="171">
                  <c:v>-1.11940702E-4</c:v>
                </c:pt>
                <c:pt idx="172">
                  <c:v>2.5849500899999999E-4</c:v>
                </c:pt>
                <c:pt idx="173" formatCode="0.00E+00">
                  <c:v>-4.9082582999999597E-5</c:v>
                </c:pt>
                <c:pt idx="174">
                  <c:v>3.7993933599999999E-4</c:v>
                </c:pt>
                <c:pt idx="175" formatCode="0.00E+00">
                  <c:v>-4.1149033999999697E-5</c:v>
                </c:pt>
                <c:pt idx="176">
                  <c:v>4.7148028599999997E-4</c:v>
                </c:pt>
                <c:pt idx="177">
                  <c:v>2.36525181E-4</c:v>
                </c:pt>
                <c:pt idx="178">
                  <c:v>1.64512967E-4</c:v>
                </c:pt>
                <c:pt idx="179" formatCode="0.00E+00">
                  <c:v>-4.5326539999997898E-6</c:v>
                </c:pt>
                <c:pt idx="180">
                  <c:v>1.399095246E-3</c:v>
                </c:pt>
                <c:pt idx="181">
                  <c:v>9.2674394399999997E-4</c:v>
                </c:pt>
                <c:pt idx="182">
                  <c:v>1.024387624E-3</c:v>
                </c:pt>
                <c:pt idx="183">
                  <c:v>-2.5230349199999999E-4</c:v>
                </c:pt>
                <c:pt idx="184">
                  <c:v>2.9450111599999999E-4</c:v>
                </c:pt>
                <c:pt idx="185">
                  <c:v>-1.9188646500000001E-4</c:v>
                </c:pt>
                <c:pt idx="186" formatCode="0.00E+00">
                  <c:v>-2.7723027999999799E-5</c:v>
                </c:pt>
                <c:pt idx="187" formatCode="0.00E+00">
                  <c:v>6.8700106000000094E-5</c:v>
                </c:pt>
                <c:pt idx="188" formatCode="0.00E+00">
                  <c:v>-2.7723027999999799E-5</c:v>
                </c:pt>
                <c:pt idx="189">
                  <c:v>2.4445872999999998E-4</c:v>
                </c:pt>
                <c:pt idx="190">
                  <c:v>-1.0400715299999999E-4</c:v>
                </c:pt>
                <c:pt idx="191">
                  <c:v>1.2118358400000001E-4</c:v>
                </c:pt>
                <c:pt idx="192" formatCode="0.00E+00">
                  <c:v>-6.8001045999999601E-5</c:v>
                </c:pt>
                <c:pt idx="193">
                  <c:v>1.1019867E-4</c:v>
                </c:pt>
                <c:pt idx="194" formatCode="0.00E+00">
                  <c:v>-2.9553847E-5</c:v>
                </c:pt>
                <c:pt idx="195" formatCode="0.00E+00">
                  <c:v>-1.49072949999999E-5</c:v>
                </c:pt>
                <c:pt idx="196" formatCode="0.00E+00">
                  <c:v>-7.58401899999964E-6</c:v>
                </c:pt>
                <c:pt idx="197" formatCode="0.00E+00">
                  <c:v>5.95460110000001E-5</c:v>
                </c:pt>
                <c:pt idx="198" formatCode="0.00E+00">
                  <c:v>7.7243927999999997E-5</c:v>
                </c:pt>
                <c:pt idx="199">
                  <c:v>2.18216991E-4</c:v>
                </c:pt>
                <c:pt idx="200">
                  <c:v>2.6886964999999998E-4</c:v>
                </c:pt>
                <c:pt idx="201">
                  <c:v>2.8778811300000001E-4</c:v>
                </c:pt>
                <c:pt idx="202">
                  <c:v>3.1891203599999999E-4</c:v>
                </c:pt>
                <c:pt idx="203">
                  <c:v>1.4925614200000001E-4</c:v>
                </c:pt>
                <c:pt idx="204">
                  <c:v>6.0940198399999995E-4</c:v>
                </c:pt>
                <c:pt idx="205">
                  <c:v>1.1586476839999999E-3</c:v>
                </c:pt>
                <c:pt idx="206">
                  <c:v>1.106164206E-3</c:v>
                </c:pt>
                <c:pt idx="207">
                  <c:v>8.7792210399999997E-4</c:v>
                </c:pt>
                <c:pt idx="208">
                  <c:v>4.9222956799999996E-4</c:v>
                </c:pt>
                <c:pt idx="209">
                  <c:v>3.5125650499999997E-4</c:v>
                </c:pt>
                <c:pt idx="210" formatCode="0.00E+00">
                  <c:v>4.7950824000000299E-5</c:v>
                </c:pt>
                <c:pt idx="211" formatCode="0.00E+00">
                  <c:v>5.8325465E-5</c:v>
                </c:pt>
                <c:pt idx="212">
                  <c:v>-2.0531247099999999E-4</c:v>
                </c:pt>
                <c:pt idx="213">
                  <c:v>-1.8090155099999999E-4</c:v>
                </c:pt>
                <c:pt idx="214">
                  <c:v>-2.79765777E-4</c:v>
                </c:pt>
                <c:pt idx="215">
                  <c:v>-1.02786607E-4</c:v>
                </c:pt>
                <c:pt idx="216">
                  <c:v>-1.6259336099999999E-4</c:v>
                </c:pt>
                <c:pt idx="217" formatCode="0.00E+00">
                  <c:v>-8.8750327999999803E-5</c:v>
                </c:pt>
                <c:pt idx="218">
                  <c:v>-1.2658725399999999E-4</c:v>
                </c:pt>
                <c:pt idx="219" formatCode="0.00E+00">
                  <c:v>-8.1942919999997004E-6</c:v>
                </c:pt>
                <c:pt idx="220" formatCode="0.00E+00">
                  <c:v>-4.2369579999999899E-5</c:v>
                </c:pt>
                <c:pt idx="221" formatCode="0.00E+00">
                  <c:v>3.87967290000004E-5</c:v>
                </c:pt>
                <c:pt idx="222" formatCode="0.00E+00">
                  <c:v>6.8089833000000105E-5</c:v>
                </c:pt>
                <c:pt idx="223" formatCode="0.00E+00">
                  <c:v>8.4567204000000302E-5</c:v>
                </c:pt>
                <c:pt idx="224">
                  <c:v>1.1569112699999999E-4</c:v>
                </c:pt>
                <c:pt idx="225">
                  <c:v>1.20573311E-4</c:v>
                </c:pt>
                <c:pt idx="226">
                  <c:v>1.3644040900000001E-4</c:v>
                </c:pt>
                <c:pt idx="227">
                  <c:v>2.3347381600000001E-4</c:v>
                </c:pt>
                <c:pt idx="228">
                  <c:v>2.0479098499999999E-4</c:v>
                </c:pt>
                <c:pt idx="229">
                  <c:v>1.71836243E-4</c:v>
                </c:pt>
                <c:pt idx="230">
                  <c:v>2.07232077E-4</c:v>
                </c:pt>
                <c:pt idx="231">
                  <c:v>1.4864586900000001E-4</c:v>
                </c:pt>
                <c:pt idx="232">
                  <c:v>2.5422309800000002E-4</c:v>
                </c:pt>
                <c:pt idx="233">
                  <c:v>2.6276692000000001E-4</c:v>
                </c:pt>
                <c:pt idx="234">
                  <c:v>2.0234989300000001E-4</c:v>
                </c:pt>
                <c:pt idx="235">
                  <c:v>2.5666418999999998E-4</c:v>
                </c:pt>
                <c:pt idx="236">
                  <c:v>2.73141561E-4</c:v>
                </c:pt>
                <c:pt idx="237">
                  <c:v>6.0818143800000005E-4</c:v>
                </c:pt>
                <c:pt idx="238">
                  <c:v>4.9528093300000003E-4</c:v>
                </c:pt>
                <c:pt idx="239">
                  <c:v>5.1847130700000002E-4</c:v>
                </c:pt>
                <c:pt idx="240">
                  <c:v>6.6737791900000005E-4</c:v>
                </c:pt>
                <c:pt idx="241">
                  <c:v>3.8299070100000001E-4</c:v>
                </c:pt>
                <c:pt idx="242">
                  <c:v>5.4715413799999999E-4</c:v>
                </c:pt>
                <c:pt idx="243">
                  <c:v>3.8421124700000001E-4</c:v>
                </c:pt>
                <c:pt idx="244">
                  <c:v>3.8909343099999998E-4</c:v>
                </c:pt>
                <c:pt idx="245">
                  <c:v>-1.0095578799999999E-4</c:v>
                </c:pt>
                <c:pt idx="246">
                  <c:v>3.45153775E-4</c:v>
                </c:pt>
                <c:pt idx="247" formatCode="0.00E+00">
                  <c:v>8.3956931000000204E-5</c:v>
                </c:pt>
                <c:pt idx="248">
                  <c:v>1.5657941799999999E-4</c:v>
                </c:pt>
                <c:pt idx="249">
                  <c:v>3.57969508E-4</c:v>
                </c:pt>
                <c:pt idx="250">
                  <c:v>6.1306362199999996E-4</c:v>
                </c:pt>
                <c:pt idx="251">
                  <c:v>1.452188997E-3</c:v>
                </c:pt>
                <c:pt idx="252">
                  <c:v>1.4015363380000001E-3</c:v>
                </c:pt>
                <c:pt idx="253">
                  <c:v>1.579736054E-3</c:v>
                </c:pt>
                <c:pt idx="254">
                  <c:v>8.2665917199999995E-4</c:v>
                </c:pt>
                <c:pt idx="255">
                  <c:v>3.7444687900000002E-4</c:v>
                </c:pt>
                <c:pt idx="256">
                  <c:v>-1.4855708200000001E-4</c:v>
                </c:pt>
                <c:pt idx="257">
                  <c:v>-1.3207971100000001E-4</c:v>
                </c:pt>
                <c:pt idx="258">
                  <c:v>-3.9266628200000002E-4</c:v>
                </c:pt>
                <c:pt idx="259">
                  <c:v>-4.5186276300000002E-4</c:v>
                </c:pt>
                <c:pt idx="260">
                  <c:v>-3.7313754599999999E-4</c:v>
                </c:pt>
                <c:pt idx="261">
                  <c:v>-1.29638619E-4</c:v>
                </c:pt>
                <c:pt idx="262">
                  <c:v>-1.01566061E-4</c:v>
                </c:pt>
                <c:pt idx="263" formatCode="0.00E+00">
                  <c:v>-6.3634729999999598E-6</c:v>
                </c:pt>
                <c:pt idx="264">
                  <c:v>1.05926759E-4</c:v>
                </c:pt>
                <c:pt idx="265" formatCode="0.00E+00">
                  <c:v>4.8561097000000403E-5</c:v>
                </c:pt>
                <c:pt idx="266" formatCode="0.00E+00">
                  <c:v>-3.5046303999999601E-5</c:v>
                </c:pt>
                <c:pt idx="267" formatCode="0.00E+00">
                  <c:v>7.9685020000000307E-5</c:v>
                </c:pt>
                <c:pt idx="268">
                  <c:v>1.10808943E-4</c:v>
                </c:pt>
                <c:pt idx="269">
                  <c:v>1.21793857E-4</c:v>
                </c:pt>
                <c:pt idx="270">
                  <c:v>1.3766095500000001E-4</c:v>
                </c:pt>
                <c:pt idx="271" formatCode="0.00E+00">
                  <c:v>9.7382937000000197E-5</c:v>
                </c:pt>
                <c:pt idx="272" formatCode="0.00E+00">
                  <c:v>4.8561097000000403E-5</c:v>
                </c:pt>
                <c:pt idx="273">
                  <c:v>1.1874249199999999E-4</c:v>
                </c:pt>
                <c:pt idx="274" formatCode="0.00E+00">
                  <c:v>4.9171369999999999E-5</c:v>
                </c:pt>
                <c:pt idx="275" formatCode="0.00E+00">
                  <c:v>9.1890480000000104E-5</c:v>
                </c:pt>
                <c:pt idx="276" formatCode="0.00E+00">
                  <c:v>5.1002189000000197E-5</c:v>
                </c:pt>
                <c:pt idx="277">
                  <c:v>1.6756433200000001E-4</c:v>
                </c:pt>
                <c:pt idx="278">
                  <c:v>1.3094795200000001E-4</c:v>
                </c:pt>
                <c:pt idx="279">
                  <c:v>1.0653703199999999E-4</c:v>
                </c:pt>
                <c:pt idx="280">
                  <c:v>2.2309917499999999E-4</c:v>
                </c:pt>
                <c:pt idx="281">
                  <c:v>2.4628954899999999E-4</c:v>
                </c:pt>
                <c:pt idx="282">
                  <c:v>5.1297885000000005E-4</c:v>
                </c:pt>
                <c:pt idx="283">
                  <c:v>9.0111247799999996E-4</c:v>
                </c:pt>
                <c:pt idx="284">
                  <c:v>8.9745084000000005E-4</c:v>
                </c:pt>
                <c:pt idx="285">
                  <c:v>7.7417569400000004E-4</c:v>
                </c:pt>
                <c:pt idx="286">
                  <c:v>5.5874932499999999E-4</c:v>
                </c:pt>
                <c:pt idx="287">
                  <c:v>1.02265121E-4</c:v>
                </c:pt>
                <c:pt idx="288">
                  <c:v>1.9319579799999999E-4</c:v>
                </c:pt>
                <c:pt idx="289">
                  <c:v>-1.1316124799999999E-4</c:v>
                </c:pt>
                <c:pt idx="290" formatCode="0.00E+00">
                  <c:v>4.6120005000000203E-5</c:v>
                </c:pt>
                <c:pt idx="291" formatCode="0.00E+00">
                  <c:v>4.7950824000000299E-5</c:v>
                </c:pt>
                <c:pt idx="292">
                  <c:v>1.10808943E-4</c:v>
                </c:pt>
                <c:pt idx="293">
                  <c:v>1.04706213E-4</c:v>
                </c:pt>
                <c:pt idx="294" formatCode="0.00E+00">
                  <c:v>-3.7487395999999802E-5</c:v>
                </c:pt>
                <c:pt idx="295" formatCode="0.00E+00">
                  <c:v>7.9074747000000195E-5</c:v>
                </c:pt>
                <c:pt idx="296" formatCode="0.00E+00">
                  <c:v>-4.8472310000000001E-5</c:v>
                </c:pt>
                <c:pt idx="297" formatCode="0.00E+00">
                  <c:v>2.53707230000004E-5</c:v>
                </c:pt>
                <c:pt idx="298">
                  <c:v>1.1019867E-4</c:v>
                </c:pt>
                <c:pt idx="299">
                  <c:v>1.41322593E-4</c:v>
                </c:pt>
                <c:pt idx="300" formatCode="0.00E+00">
                  <c:v>9.4941845000000403E-5</c:v>
                </c:pt>
                <c:pt idx="301" formatCode="0.00E+00">
                  <c:v>9.5552117999999999E-5</c:v>
                </c:pt>
                <c:pt idx="302">
                  <c:v>1.6329242099999999E-4</c:v>
                </c:pt>
                <c:pt idx="303">
                  <c:v>1.23624676E-4</c:v>
                </c:pt>
                <c:pt idx="304">
                  <c:v>1.70005424E-4</c:v>
                </c:pt>
                <c:pt idx="305">
                  <c:v>2.01129347E-4</c:v>
                </c:pt>
                <c:pt idx="306">
                  <c:v>1.0348566699999999E-4</c:v>
                </c:pt>
                <c:pt idx="307">
                  <c:v>2.2859163199999999E-4</c:v>
                </c:pt>
                <c:pt idx="308">
                  <c:v>2.1638617199999999E-4</c:v>
                </c:pt>
                <c:pt idx="309">
                  <c:v>2.18827264E-4</c:v>
                </c:pt>
                <c:pt idx="310">
                  <c:v>2.5361282500000002E-4</c:v>
                </c:pt>
                <c:pt idx="311">
                  <c:v>1.6268214799999999E-4</c:v>
                </c:pt>
                <c:pt idx="312">
                  <c:v>2.0906289600000001E-4</c:v>
                </c:pt>
                <c:pt idx="313">
                  <c:v>4.28761176E-4</c:v>
                </c:pt>
                <c:pt idx="314">
                  <c:v>4.16555716E-4</c:v>
                </c:pt>
                <c:pt idx="315">
                  <c:v>2.9450111599999999E-4</c:v>
                </c:pt>
                <c:pt idx="316">
                  <c:v>2.4628954899999999E-4</c:v>
                </c:pt>
                <c:pt idx="317">
                  <c:v>1.47425323E-4</c:v>
                </c:pt>
                <c:pt idx="318" formatCode="0.00E+00">
                  <c:v>5.3443281000000398E-5</c:v>
                </c:pt>
                <c:pt idx="319">
                  <c:v>1.2545549500000001E-4</c:v>
                </c:pt>
                <c:pt idx="320">
                  <c:v>2.1028344199999999E-4</c:v>
                </c:pt>
                <c:pt idx="321">
                  <c:v>3.1769148999999998E-4</c:v>
                </c:pt>
                <c:pt idx="322">
                  <c:v>2.3530463499999999E-4</c:v>
                </c:pt>
                <c:pt idx="323">
                  <c:v>1.6146160200000001E-4</c:v>
                </c:pt>
                <c:pt idx="324">
                  <c:v>2.24929994E-4</c:v>
                </c:pt>
                <c:pt idx="325">
                  <c:v>2.3469436199999999E-4</c:v>
                </c:pt>
                <c:pt idx="326">
                  <c:v>2.9999357300000001E-4</c:v>
                </c:pt>
                <c:pt idx="327">
                  <c:v>2.18827264E-4</c:v>
                </c:pt>
                <c:pt idx="328">
                  <c:v>1.95026617E-4</c:v>
                </c:pt>
                <c:pt idx="329">
                  <c:v>2.5727446299999998E-4</c:v>
                </c:pt>
                <c:pt idx="330">
                  <c:v>2.5727446299999998E-4</c:v>
                </c:pt>
                <c:pt idx="331">
                  <c:v>2.3347381600000001E-4</c:v>
                </c:pt>
                <c:pt idx="332">
                  <c:v>2.0845262300000001E-4</c:v>
                </c:pt>
                <c:pt idx="333">
                  <c:v>2.60936101E-4</c:v>
                </c:pt>
                <c:pt idx="334">
                  <c:v>2.9511138899999999E-4</c:v>
                </c:pt>
                <c:pt idx="335">
                  <c:v>2.4079709199999999E-4</c:v>
                </c:pt>
                <c:pt idx="336">
                  <c:v>3.32948315E-4</c:v>
                </c:pt>
                <c:pt idx="337">
                  <c:v>3.7688797099999998E-4</c:v>
                </c:pt>
                <c:pt idx="338">
                  <c:v>4.7209055899999998E-4</c:v>
                </c:pt>
                <c:pt idx="339">
                  <c:v>4.04350256E-4</c:v>
                </c:pt>
                <c:pt idx="340">
                  <c:v>4.7331110499999998E-4</c:v>
                </c:pt>
                <c:pt idx="341">
                  <c:v>2.6642855800000002E-4</c:v>
                </c:pt>
                <c:pt idx="342">
                  <c:v>7.8516060799999998E-4</c:v>
                </c:pt>
                <c:pt idx="343">
                  <c:v>1.568140867E-3</c:v>
                </c:pt>
                <c:pt idx="344">
                  <c:v>1.2721584619999999E-3</c:v>
                </c:pt>
                <c:pt idx="345">
                  <c:v>1.2300496250000001E-3</c:v>
                </c:pt>
                <c:pt idx="346">
                  <c:v>3.6529278399999998E-4</c:v>
                </c:pt>
                <c:pt idx="347">
                  <c:v>1.6512324E-4</c:v>
                </c:pt>
                <c:pt idx="348">
                  <c:v>-1.7418854800000001E-4</c:v>
                </c:pt>
                <c:pt idx="349" formatCode="0.00E+00">
                  <c:v>-6.0677769999999798E-5</c:v>
                </c:pt>
                <c:pt idx="350">
                  <c:v>-2.2789257200000001E-4</c:v>
                </c:pt>
                <c:pt idx="351">
                  <c:v>-1.5465981200000001E-4</c:v>
                </c:pt>
                <c:pt idx="352">
                  <c:v>-2.3277475600000001E-4</c:v>
                </c:pt>
                <c:pt idx="353">
                  <c:v>-1.3818244100000001E-4</c:v>
                </c:pt>
                <c:pt idx="354" formatCode="0.00E+00">
                  <c:v>-9.6073603999999701E-5</c:v>
                </c:pt>
                <c:pt idx="355" formatCode="0.00E+00">
                  <c:v>8.0295293000000296E-5</c:v>
                </c:pt>
                <c:pt idx="356" formatCode="0.00E+00">
                  <c:v>6.5648741000000297E-5</c:v>
                </c:pt>
                <c:pt idx="357" formatCode="0.00E+00">
                  <c:v>6.3817922000000099E-5</c:v>
                </c:pt>
                <c:pt idx="358" formatCode="0.00E+00">
                  <c:v>6.0766557000000201E-5</c:v>
                </c:pt>
                <c:pt idx="359" formatCode="0.00E+00">
                  <c:v>8.2126112000000101E-5</c:v>
                </c:pt>
                <c:pt idx="360" formatCode="0.00E+00">
                  <c:v>3.2693999000000203E-5</c:v>
                </c:pt>
                <c:pt idx="361">
                  <c:v>1.59630783E-4</c:v>
                </c:pt>
                <c:pt idx="362" formatCode="0.00E+00">
                  <c:v>9.4331572000000305E-5</c:v>
                </c:pt>
                <c:pt idx="363">
                  <c:v>1.14470581E-4</c:v>
                </c:pt>
                <c:pt idx="364">
                  <c:v>1.33999317E-4</c:v>
                </c:pt>
                <c:pt idx="365">
                  <c:v>3.5430786999999999E-4</c:v>
                </c:pt>
                <c:pt idx="366">
                  <c:v>4.3547417899999997E-4</c:v>
                </c:pt>
                <c:pt idx="367">
                  <c:v>4.8124465400000002E-4</c:v>
                </c:pt>
                <c:pt idx="368">
                  <c:v>6.4968000200000002E-4</c:v>
                </c:pt>
                <c:pt idx="369">
                  <c:v>5.7949860699999997E-4</c:v>
                </c:pt>
                <c:pt idx="370">
                  <c:v>5.72785604E-4</c:v>
                </c:pt>
                <c:pt idx="371">
                  <c:v>5.4227195399999997E-4</c:v>
                </c:pt>
                <c:pt idx="372">
                  <c:v>3.0121411900000002E-4</c:v>
                </c:pt>
                <c:pt idx="373">
                  <c:v>3.2684558500000003E-4</c:v>
                </c:pt>
                <c:pt idx="374" formatCode="0.00E+00">
                  <c:v>7.5413109000000301E-5</c:v>
                </c:pt>
                <c:pt idx="375" formatCode="0.00E+00">
                  <c:v>5.1612462000000302E-5</c:v>
                </c:pt>
                <c:pt idx="376">
                  <c:v>2.0540125799999999E-4</c:v>
                </c:pt>
                <c:pt idx="377">
                  <c:v>-1.05227699E-4</c:v>
                </c:pt>
                <c:pt idx="378">
                  <c:v>1.71836243E-4</c:v>
                </c:pt>
                <c:pt idx="379">
                  <c:v>1.4315341200000001E-4</c:v>
                </c:pt>
                <c:pt idx="380" formatCode="0.00E+00">
                  <c:v>3.7576183000000198E-5</c:v>
                </c:pt>
                <c:pt idx="381">
                  <c:v>1.23624676E-4</c:v>
                </c:pt>
                <c:pt idx="382" formatCode="0.00E+00">
                  <c:v>8.6398022999999998E-5</c:v>
                </c:pt>
                <c:pt idx="383">
                  <c:v>2.13334807E-4</c:v>
                </c:pt>
                <c:pt idx="384" formatCode="0.00E+00">
                  <c:v>7.8464474000000206E-5</c:v>
                </c:pt>
                <c:pt idx="385" formatCode="0.00E+00">
                  <c:v>6.1376830000000305E-5</c:v>
                </c:pt>
                <c:pt idx="386">
                  <c:v>1.88313614E-4</c:v>
                </c:pt>
                <c:pt idx="387">
                  <c:v>3.3599968000000001E-4</c:v>
                </c:pt>
                <c:pt idx="388">
                  <c:v>7.16810032E-4</c:v>
                </c:pt>
                <c:pt idx="389">
                  <c:v>5.6546232799999996E-4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59-4C64-9666-FF33E13A75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9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EjemploTOF!$I$24</c:f>
              <c:numCache>
                <c:formatCode>General</c:formatCode>
                <c:ptCount val="1"/>
                <c:pt idx="0">
                  <c:v>21.10926942</c:v>
                </c:pt>
              </c:numCache>
            </c:numRef>
          </c:xVal>
          <c:yVal>
            <c:numRef>
              <c:f>EjemploTOF!$J$24</c:f>
              <c:numCache>
                <c:formatCode>General</c:formatCode>
                <c:ptCount val="1"/>
                <c:pt idx="0">
                  <c:v>1.2E-2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59-4C64-9666-FF33E13A759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8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EjemploTOF!$I$25</c:f>
              <c:numCache>
                <c:formatCode>General</c:formatCode>
                <c:ptCount val="1"/>
                <c:pt idx="0">
                  <c:v>21.110695230000001</c:v>
                </c:pt>
              </c:numCache>
            </c:numRef>
          </c:xVal>
          <c:yVal>
            <c:numRef>
              <c:f>EjemploTOF!$J$25</c:f>
              <c:numCache>
                <c:formatCode>General</c:formatCode>
                <c:ptCount val="1"/>
                <c:pt idx="0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59-4C64-9666-FF33E13A7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733327"/>
        <c:axId val="1673731887"/>
      </c:scatterChart>
      <c:valAx>
        <c:axId val="167373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731887"/>
        <c:crosses val="autoZero"/>
        <c:crossBetween val="midCat"/>
      </c:valAx>
      <c:valAx>
        <c:axId val="167373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73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2.xml"/><Relationship Id="rId7" Type="http://schemas.openxmlformats.org/officeDocument/2006/relationships/chart" Target="../charts/chart15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5" Type="http://schemas.openxmlformats.org/officeDocument/2006/relationships/image" Target="../media/image2.png"/><Relationship Id="rId10" Type="http://schemas.openxmlformats.org/officeDocument/2006/relationships/chart" Target="../charts/chart18.xml"/><Relationship Id="rId4" Type="http://schemas.openxmlformats.org/officeDocument/2006/relationships/chart" Target="../charts/chart13.xml"/><Relationship Id="rId9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1.xml"/><Relationship Id="rId7" Type="http://schemas.openxmlformats.org/officeDocument/2006/relationships/chart" Target="../charts/chart24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10" Type="http://schemas.openxmlformats.org/officeDocument/2006/relationships/chart" Target="../charts/chart27.xml"/><Relationship Id="rId4" Type="http://schemas.openxmlformats.org/officeDocument/2006/relationships/image" Target="../media/image3.png"/><Relationship Id="rId9" Type="http://schemas.openxmlformats.org/officeDocument/2006/relationships/chart" Target="../charts/chart2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30.xml"/><Relationship Id="rId7" Type="http://schemas.openxmlformats.org/officeDocument/2006/relationships/chart" Target="../charts/chart33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image" Target="../media/image4.png"/><Relationship Id="rId9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547087</xdr:colOff>
      <xdr:row>2</xdr:row>
      <xdr:rowOff>3069</xdr:rowOff>
    </xdr:from>
    <xdr:to>
      <xdr:col>26</xdr:col>
      <xdr:colOff>342712</xdr:colOff>
      <xdr:row>9</xdr:row>
      <xdr:rowOff>361744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B325C-4386-9281-0F3F-2D7BD2FA2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547087</xdr:colOff>
      <xdr:row>9</xdr:row>
      <xdr:rowOff>501861</xdr:rowOff>
    </xdr:from>
    <xdr:to>
      <xdr:col>26</xdr:col>
      <xdr:colOff>342712</xdr:colOff>
      <xdr:row>14</xdr:row>
      <xdr:rowOff>406771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CA7AE-6847-410C-8BA6-903DF2EBB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560850</xdr:colOff>
      <xdr:row>14</xdr:row>
      <xdr:rowOff>578796</xdr:rowOff>
    </xdr:from>
    <xdr:to>
      <xdr:col>26</xdr:col>
      <xdr:colOff>356475</xdr:colOff>
      <xdr:row>21</xdr:row>
      <xdr:rowOff>116315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67CE2-6E77-4488-AFDA-C4EDB33BD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287467</xdr:colOff>
      <xdr:row>1</xdr:row>
      <xdr:rowOff>163379</xdr:rowOff>
    </xdr:from>
    <xdr:to>
      <xdr:col>58</xdr:col>
      <xdr:colOff>86354</xdr:colOff>
      <xdr:row>9</xdr:row>
      <xdr:rowOff>980116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900A42-9F97-F904-23CB-9FF97B4DF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233858</xdr:colOff>
      <xdr:row>10</xdr:row>
      <xdr:rowOff>132110</xdr:rowOff>
    </xdr:from>
    <xdr:to>
      <xdr:col>58</xdr:col>
      <xdr:colOff>32745</xdr:colOff>
      <xdr:row>17</xdr:row>
      <xdr:rowOff>203602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73737F-C591-4D05-A556-95C7EC222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36</xdr:col>
      <xdr:colOff>607583</xdr:colOff>
      <xdr:row>21</xdr:row>
      <xdr:rowOff>147118</xdr:rowOff>
    </xdr:from>
    <xdr:to>
      <xdr:col>42</xdr:col>
      <xdr:colOff>349632</xdr:colOff>
      <xdr:row>35</xdr:row>
      <xdr:rowOff>109820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B3AA31-9AD9-77D3-3017-909BF8060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49805" y="6647049"/>
          <a:ext cx="3604966" cy="2555619"/>
        </a:xfrm>
        <a:prstGeom prst="rect">
          <a:avLst/>
        </a:prstGeom>
      </xdr:spPr>
    </xdr:pic>
    <xdr:clientData/>
  </xdr:twoCellAnchor>
  <xdr:twoCellAnchor>
    <xdr:from>
      <xdr:col>43</xdr:col>
      <xdr:colOff>469143</xdr:colOff>
      <xdr:row>2</xdr:row>
      <xdr:rowOff>120841</xdr:rowOff>
    </xdr:from>
    <xdr:to>
      <xdr:col>50</xdr:col>
      <xdr:colOff>264767</xdr:colOff>
      <xdr:row>9</xdr:row>
      <xdr:rowOff>475599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8CB6B3-0467-4BD8-AC4B-FFF8AB9A1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454926</xdr:colOff>
      <xdr:row>9</xdr:row>
      <xdr:rowOff>632630</xdr:rowOff>
    </xdr:from>
    <xdr:to>
      <xdr:col>50</xdr:col>
      <xdr:colOff>250550</xdr:colOff>
      <xdr:row>14</xdr:row>
      <xdr:rowOff>537540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B378A8-B88B-4302-8864-CEA5049B5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440709</xdr:colOff>
      <xdr:row>14</xdr:row>
      <xdr:rowOff>682388</xdr:rowOff>
    </xdr:from>
    <xdr:to>
      <xdr:col>50</xdr:col>
      <xdr:colOff>236333</xdr:colOff>
      <xdr:row>22</xdr:row>
      <xdr:rowOff>42201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9D1B06-2808-415E-809A-798A45C12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51</xdr:col>
      <xdr:colOff>445940</xdr:colOff>
      <xdr:row>20</xdr:row>
      <xdr:rowOff>158562</xdr:rowOff>
    </xdr:from>
    <xdr:to>
      <xdr:col>58</xdr:col>
      <xdr:colOff>534621</xdr:colOff>
      <xdr:row>36</xdr:row>
      <xdr:rowOff>14357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B12AD1F-C5A8-317A-E5C3-C6F33946F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404211</xdr:colOff>
      <xdr:row>1</xdr:row>
      <xdr:rowOff>3986</xdr:rowOff>
    </xdr:from>
    <xdr:to>
      <xdr:col>26</xdr:col>
      <xdr:colOff>199837</xdr:colOff>
      <xdr:row>8</xdr:row>
      <xdr:rowOff>453183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F5779-D814-4C40-A67B-FD9B2106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399881</xdr:colOff>
      <xdr:row>8</xdr:row>
      <xdr:rowOff>597115</xdr:rowOff>
    </xdr:from>
    <xdr:to>
      <xdr:col>26</xdr:col>
      <xdr:colOff>195506</xdr:colOff>
      <xdr:row>14</xdr:row>
      <xdr:rowOff>488418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5CB8B-5339-4238-B423-F14E3921F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397562</xdr:colOff>
      <xdr:row>14</xdr:row>
      <xdr:rowOff>633224</xdr:rowOff>
    </xdr:from>
    <xdr:to>
      <xdr:col>26</xdr:col>
      <xdr:colOff>193187</xdr:colOff>
      <xdr:row>23</xdr:row>
      <xdr:rowOff>34671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3C8306-1917-4B65-AA9C-0CFCBAA02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496288</xdr:colOff>
      <xdr:row>2</xdr:row>
      <xdr:rowOff>65754</xdr:rowOff>
    </xdr:from>
    <xdr:to>
      <xdr:col>57</xdr:col>
      <xdr:colOff>330779</xdr:colOff>
      <xdr:row>10</xdr:row>
      <xdr:rowOff>233699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E2C476-8B11-409F-9708-11BDE0334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37</xdr:col>
      <xdr:colOff>173182</xdr:colOff>
      <xdr:row>20</xdr:row>
      <xdr:rowOff>84636</xdr:rowOff>
    </xdr:from>
    <xdr:to>
      <xdr:col>41</xdr:col>
      <xdr:colOff>519545</xdr:colOff>
      <xdr:row>33</xdr:row>
      <xdr:rowOff>25041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10E9C4-421E-DFD9-5514-D48CC3A68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556933" y="5877569"/>
          <a:ext cx="3013363" cy="2304336"/>
        </a:xfrm>
        <a:prstGeom prst="rect">
          <a:avLst/>
        </a:prstGeom>
      </xdr:spPr>
    </xdr:pic>
    <xdr:clientData/>
  </xdr:twoCellAnchor>
  <xdr:twoCellAnchor>
    <xdr:from>
      <xdr:col>43</xdr:col>
      <xdr:colOff>244929</xdr:colOff>
      <xdr:row>1</xdr:row>
      <xdr:rowOff>68036</xdr:rowOff>
    </xdr:from>
    <xdr:to>
      <xdr:col>50</xdr:col>
      <xdr:colOff>40555</xdr:colOff>
      <xdr:row>8</xdr:row>
      <xdr:rowOff>517233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826F69-FD73-42DC-ACD7-B8A2F5F24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224518</xdr:colOff>
      <xdr:row>8</xdr:row>
      <xdr:rowOff>632733</xdr:rowOff>
    </xdr:from>
    <xdr:to>
      <xdr:col>50</xdr:col>
      <xdr:colOff>20143</xdr:colOff>
      <xdr:row>14</xdr:row>
      <xdr:rowOff>524036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19DB00-503D-4729-8751-87A0C352D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258535</xdr:colOff>
      <xdr:row>14</xdr:row>
      <xdr:rowOff>653142</xdr:rowOff>
    </xdr:from>
    <xdr:to>
      <xdr:col>50</xdr:col>
      <xdr:colOff>54160</xdr:colOff>
      <xdr:row>23</xdr:row>
      <xdr:rowOff>54589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577FFA-9A72-420C-8A2E-1C4637215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517071</xdr:colOff>
      <xdr:row>11</xdr:row>
      <xdr:rowOff>156482</xdr:rowOff>
    </xdr:from>
    <xdr:to>
      <xdr:col>57</xdr:col>
      <xdr:colOff>351562</xdr:colOff>
      <xdr:row>20</xdr:row>
      <xdr:rowOff>18267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98C248-899C-4E83-99CC-389FF5C30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449036</xdr:colOff>
      <xdr:row>24</xdr:row>
      <xdr:rowOff>87209</xdr:rowOff>
    </xdr:from>
    <xdr:to>
      <xdr:col>50</xdr:col>
      <xdr:colOff>537716</xdr:colOff>
      <xdr:row>39</xdr:row>
      <xdr:rowOff>124845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978013-4821-437B-9734-B9F61C35B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201590</xdr:colOff>
      <xdr:row>1</xdr:row>
      <xdr:rowOff>38689</xdr:rowOff>
    </xdr:from>
    <xdr:to>
      <xdr:col>25</xdr:col>
      <xdr:colOff>643555</xdr:colOff>
      <xdr:row>9</xdr:row>
      <xdr:rowOff>379029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91866-3268-458A-BC8D-79F7A61A6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208305</xdr:colOff>
      <xdr:row>9</xdr:row>
      <xdr:rowOff>496460</xdr:rowOff>
    </xdr:from>
    <xdr:to>
      <xdr:col>26</xdr:col>
      <xdr:colOff>3930</xdr:colOff>
      <xdr:row>14</xdr:row>
      <xdr:rowOff>564656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22619-AFF8-4CD6-9393-C9A7DF54F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211854</xdr:colOff>
      <xdr:row>14</xdr:row>
      <xdr:rowOff>655998</xdr:rowOff>
    </xdr:from>
    <xdr:to>
      <xdr:col>26</xdr:col>
      <xdr:colOff>7479</xdr:colOff>
      <xdr:row>23</xdr:row>
      <xdr:rowOff>64248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6952CC-D1CE-49A1-8C3F-E10E13386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25</xdr:row>
      <xdr:rowOff>0</xdr:rowOff>
    </xdr:from>
    <xdr:to>
      <xdr:col>25</xdr:col>
      <xdr:colOff>531959</xdr:colOff>
      <xdr:row>39</xdr:row>
      <xdr:rowOff>74839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1609C0-D24B-DB93-3460-AB6604E4F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7769" y="6674304"/>
          <a:ext cx="3763656" cy="2646589"/>
        </a:xfrm>
        <a:prstGeom prst="rect">
          <a:avLst/>
        </a:prstGeom>
      </xdr:spPr>
    </xdr:pic>
    <xdr:clientData/>
  </xdr:twoCellAnchor>
  <xdr:twoCellAnchor>
    <xdr:from>
      <xdr:col>43</xdr:col>
      <xdr:colOff>254551</xdr:colOff>
      <xdr:row>25</xdr:row>
      <xdr:rowOff>52934</xdr:rowOff>
    </xdr:from>
    <xdr:to>
      <xdr:col>50</xdr:col>
      <xdr:colOff>354849</xdr:colOff>
      <xdr:row>40</xdr:row>
      <xdr:rowOff>148982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8E4C43-65AD-4942-AD73-E14A5E8B3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203277</xdr:colOff>
      <xdr:row>26</xdr:row>
      <xdr:rowOff>34847</xdr:rowOff>
    </xdr:from>
    <xdr:to>
      <xdr:col>25</xdr:col>
      <xdr:colOff>540136</xdr:colOff>
      <xdr:row>26</xdr:row>
      <xdr:rowOff>34847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E8650F1-064F-C802-24CD-01CABB03D4D3}"/>
            </a:ext>
          </a:extLst>
        </xdr:cNvPr>
        <xdr:cNvCxnSpPr/>
      </xdr:nvCxnSpPr>
      <xdr:spPr>
        <a:xfrm flipH="1">
          <a:off x="12277957" y="6899817"/>
          <a:ext cx="420493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389139</xdr:colOff>
      <xdr:row>24</xdr:row>
      <xdr:rowOff>133582</xdr:rowOff>
    </xdr:from>
    <xdr:to>
      <xdr:col>24</xdr:col>
      <xdr:colOff>389139</xdr:colOff>
      <xdr:row>38</xdr:row>
      <xdr:rowOff>121967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CAD092D-9D96-2E09-9F83-6399C3200A24}"/>
            </a:ext>
          </a:extLst>
        </xdr:cNvPr>
        <xdr:cNvCxnSpPr/>
      </xdr:nvCxnSpPr>
      <xdr:spPr>
        <a:xfrm flipH="1">
          <a:off x="15687218" y="6638460"/>
          <a:ext cx="0" cy="2509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401410</xdr:colOff>
      <xdr:row>1</xdr:row>
      <xdr:rowOff>61232</xdr:rowOff>
    </xdr:from>
    <xdr:to>
      <xdr:col>50</xdr:col>
      <xdr:colOff>197037</xdr:colOff>
      <xdr:row>9</xdr:row>
      <xdr:rowOff>401572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13FC1BA-72D6-4CB8-80F7-5C737D26A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380999</xdr:colOff>
      <xdr:row>9</xdr:row>
      <xdr:rowOff>503465</xdr:rowOff>
    </xdr:from>
    <xdr:to>
      <xdr:col>50</xdr:col>
      <xdr:colOff>176624</xdr:colOff>
      <xdr:row>14</xdr:row>
      <xdr:rowOff>571661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74CE2DD-7E93-4FB5-B91E-B4DF1FD7B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367392</xdr:colOff>
      <xdr:row>14</xdr:row>
      <xdr:rowOff>687161</xdr:rowOff>
    </xdr:from>
    <xdr:to>
      <xdr:col>50</xdr:col>
      <xdr:colOff>163017</xdr:colOff>
      <xdr:row>23</xdr:row>
      <xdr:rowOff>95411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CC36BD0-D11E-46C1-B327-C36A62563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605519</xdr:colOff>
      <xdr:row>0</xdr:row>
      <xdr:rowOff>129268</xdr:rowOff>
    </xdr:from>
    <xdr:to>
      <xdr:col>57</xdr:col>
      <xdr:colOff>440008</xdr:colOff>
      <xdr:row>9</xdr:row>
      <xdr:rowOff>929946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9182319-F554-4105-8FE3-91DF55AD1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51</xdr:col>
      <xdr:colOff>27214</xdr:colOff>
      <xdr:row>11</xdr:row>
      <xdr:rowOff>0</xdr:rowOff>
    </xdr:from>
    <xdr:to>
      <xdr:col>57</xdr:col>
      <xdr:colOff>508043</xdr:colOff>
      <xdr:row>19</xdr:row>
      <xdr:rowOff>167947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7F2371E-8363-426F-9F78-BE0F14E24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307504</xdr:colOff>
      <xdr:row>2</xdr:row>
      <xdr:rowOff>29312</xdr:rowOff>
    </xdr:from>
    <xdr:to>
      <xdr:col>26</xdr:col>
      <xdr:colOff>103130</xdr:colOff>
      <xdr:row>9</xdr:row>
      <xdr:rowOff>247186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899C8-C565-4757-8047-0712D2C57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289874</xdr:colOff>
      <xdr:row>9</xdr:row>
      <xdr:rowOff>479229</xdr:rowOff>
    </xdr:from>
    <xdr:to>
      <xdr:col>26</xdr:col>
      <xdr:colOff>85500</xdr:colOff>
      <xdr:row>15</xdr:row>
      <xdr:rowOff>241265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C05FC-8A32-4336-849D-01E12166C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271823</xdr:colOff>
      <xdr:row>15</xdr:row>
      <xdr:rowOff>480376</xdr:rowOff>
    </xdr:from>
    <xdr:to>
      <xdr:col>26</xdr:col>
      <xdr:colOff>67449</xdr:colOff>
      <xdr:row>21</xdr:row>
      <xdr:rowOff>153965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79091C-1B90-4815-ADA4-76188922D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38</xdr:col>
      <xdr:colOff>227772</xdr:colOff>
      <xdr:row>21</xdr:row>
      <xdr:rowOff>131141</xdr:rowOff>
    </xdr:from>
    <xdr:to>
      <xdr:col>42</xdr:col>
      <xdr:colOff>193260</xdr:colOff>
      <xdr:row>31</xdr:row>
      <xdr:rowOff>149180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FA66F0-8375-41DC-95B1-C83FEA3CD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861631" y="6771032"/>
          <a:ext cx="2533097" cy="1812605"/>
        </a:xfrm>
        <a:prstGeom prst="rect">
          <a:avLst/>
        </a:prstGeom>
      </xdr:spPr>
    </xdr:pic>
    <xdr:clientData/>
  </xdr:twoCellAnchor>
  <xdr:twoCellAnchor>
    <xdr:from>
      <xdr:col>43</xdr:col>
      <xdr:colOff>259225</xdr:colOff>
      <xdr:row>26</xdr:row>
      <xdr:rowOff>41709</xdr:rowOff>
    </xdr:from>
    <xdr:to>
      <xdr:col>50</xdr:col>
      <xdr:colOff>383403</xdr:colOff>
      <xdr:row>41</xdr:row>
      <xdr:rowOff>142943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16D84A-75FF-48C8-ADAE-61B19D2F3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139211</xdr:colOff>
      <xdr:row>24</xdr:row>
      <xdr:rowOff>146529</xdr:rowOff>
    </xdr:from>
    <xdr:to>
      <xdr:col>42</xdr:col>
      <xdr:colOff>289413</xdr:colOff>
      <xdr:row>24</xdr:row>
      <xdr:rowOff>146529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A5F5BE6-A0D6-16FF-7172-CDDC15C7D803}"/>
            </a:ext>
          </a:extLst>
        </xdr:cNvPr>
        <xdr:cNvCxnSpPr/>
      </xdr:nvCxnSpPr>
      <xdr:spPr>
        <a:xfrm flipV="1">
          <a:off x="24812625" y="7312260"/>
          <a:ext cx="272927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153868</xdr:colOff>
      <xdr:row>21</xdr:row>
      <xdr:rowOff>172183</xdr:rowOff>
    </xdr:from>
    <xdr:to>
      <xdr:col>40</xdr:col>
      <xdr:colOff>153868</xdr:colOff>
      <xdr:row>32</xdr:row>
      <xdr:rowOff>135548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14D7F0B-7962-E997-FEA9-6FF49102537A}"/>
            </a:ext>
          </a:extLst>
        </xdr:cNvPr>
        <xdr:cNvCxnSpPr/>
      </xdr:nvCxnSpPr>
      <xdr:spPr>
        <a:xfrm flipH="1" flipV="1">
          <a:off x="26116820" y="6799385"/>
          <a:ext cx="0" cy="193797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265341</xdr:colOff>
      <xdr:row>2</xdr:row>
      <xdr:rowOff>142873</xdr:rowOff>
    </xdr:from>
    <xdr:to>
      <xdr:col>50</xdr:col>
      <xdr:colOff>60967</xdr:colOff>
      <xdr:row>9</xdr:row>
      <xdr:rowOff>360747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A9881AF-F774-4AA0-8327-C30A7154D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256495</xdr:colOff>
      <xdr:row>9</xdr:row>
      <xdr:rowOff>653142</xdr:rowOff>
    </xdr:from>
    <xdr:to>
      <xdr:col>50</xdr:col>
      <xdr:colOff>0</xdr:colOff>
      <xdr:row>15</xdr:row>
      <xdr:rowOff>283869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2C2B22B-5940-468A-A870-BFB3F2B0C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306161</xdr:colOff>
      <xdr:row>15</xdr:row>
      <xdr:rowOff>469446</xdr:rowOff>
    </xdr:from>
    <xdr:to>
      <xdr:col>50</xdr:col>
      <xdr:colOff>101787</xdr:colOff>
      <xdr:row>21</xdr:row>
      <xdr:rowOff>143035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C14019-654B-4898-8968-77A580164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591911</xdr:colOff>
      <xdr:row>4</xdr:row>
      <xdr:rowOff>13607</xdr:rowOff>
    </xdr:from>
    <xdr:to>
      <xdr:col>57</xdr:col>
      <xdr:colOff>390800</xdr:colOff>
      <xdr:row>11</xdr:row>
      <xdr:rowOff>136380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1577421-284F-4437-94C4-B3E3B84B7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50</xdr:col>
      <xdr:colOff>601807</xdr:colOff>
      <xdr:row>12</xdr:row>
      <xdr:rowOff>207199</xdr:rowOff>
    </xdr:from>
    <xdr:to>
      <xdr:col>57</xdr:col>
      <xdr:colOff>406263</xdr:colOff>
      <xdr:row>19</xdr:row>
      <xdr:rowOff>139470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819712D-EDD1-417F-B366-BAB791214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6</xdr:row>
      <xdr:rowOff>42863</xdr:rowOff>
    </xdr:from>
    <xdr:to>
      <xdr:col>13</xdr:col>
      <xdr:colOff>440530</xdr:colOff>
      <xdr:row>22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527C7-8614-D869-F4C8-662FF49D9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165229</xdr:colOff>
      <xdr:row>12</xdr:row>
      <xdr:rowOff>29158</xdr:rowOff>
    </xdr:from>
    <xdr:to>
      <xdr:col>8</xdr:col>
      <xdr:colOff>281863</xdr:colOff>
      <xdr:row>12</xdr:row>
      <xdr:rowOff>48597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1717C71-A34C-56A5-AF65-CE76C3E4BDA4}"/>
            </a:ext>
          </a:extLst>
        </xdr:cNvPr>
        <xdr:cNvCxnSpPr/>
      </xdr:nvCxnSpPr>
      <xdr:spPr>
        <a:xfrm>
          <a:off x="4689605" y="2186862"/>
          <a:ext cx="762972" cy="1943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3272-A650-401E-8B43-681B2EF1EDC7}">
  <dimension ref="B2:AQ46"/>
  <sheetViews>
    <sheetView tabSelected="1" zoomScale="70" zoomScaleNormal="70" workbookViewId="0">
      <selection activeCell="F10" sqref="F10"/>
    </sheetView>
  </sheetViews>
  <sheetFormatPr defaultColWidth="9" defaultRowHeight="14.25" x14ac:dyDescent="0.45"/>
  <cols>
    <col min="1" max="1" width="9" style="1"/>
    <col min="2" max="2" width="4.59765625" style="1" customWidth="1"/>
    <col min="3" max="3" width="10.1328125" style="1" customWidth="1"/>
    <col min="4" max="6" width="9" style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10.265625" style="1" customWidth="1"/>
    <col min="15" max="15" width="4" style="1" customWidth="1"/>
    <col min="16" max="16" width="8.1328125" style="1" customWidth="1"/>
    <col min="17" max="17" width="12.1328125" style="1" customWidth="1"/>
    <col min="18" max="18" width="11.1328125" style="1" customWidth="1"/>
    <col min="19" max="27" width="9" style="1"/>
    <col min="28" max="28" width="10.73046875" style="1" customWidth="1"/>
    <col min="29" max="29" width="13.53125" style="1" customWidth="1"/>
    <col min="30" max="16384" width="9" style="1"/>
  </cols>
  <sheetData>
    <row r="2" spans="2:43" x14ac:dyDescent="0.45">
      <c r="C2" s="61" t="s">
        <v>57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2"/>
      <c r="P2" s="61" t="s">
        <v>11</v>
      </c>
      <c r="Q2" s="61"/>
      <c r="R2" s="61"/>
      <c r="S2" s="61"/>
      <c r="AE2" s="61" t="s">
        <v>34</v>
      </c>
      <c r="AF2" s="61"/>
      <c r="AG2" s="61"/>
      <c r="AH2" s="61"/>
      <c r="AI2" s="61"/>
      <c r="AJ2" s="61"/>
      <c r="AL2" s="61" t="s">
        <v>55</v>
      </c>
      <c r="AM2" s="61"/>
      <c r="AN2" s="61"/>
      <c r="AO2" s="61"/>
      <c r="AP2" s="61"/>
      <c r="AQ2" s="61"/>
    </row>
    <row r="3" spans="2:43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7" t="s">
        <v>47</v>
      </c>
      <c r="M3" s="7" t="s">
        <v>48</v>
      </c>
      <c r="N3" s="7" t="s">
        <v>49</v>
      </c>
      <c r="O3" s="2"/>
      <c r="P3" s="6" t="s">
        <v>18</v>
      </c>
      <c r="Q3" s="6" t="s">
        <v>24</v>
      </c>
      <c r="R3" s="6" t="s">
        <v>25</v>
      </c>
      <c r="S3" s="6" t="s">
        <v>11</v>
      </c>
      <c r="AE3" s="6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L3" s="7" t="s">
        <v>13</v>
      </c>
      <c r="AM3" s="6" t="s">
        <v>11</v>
      </c>
      <c r="AN3" s="6" t="s">
        <v>40</v>
      </c>
      <c r="AO3" s="6" t="s">
        <v>49</v>
      </c>
      <c r="AP3" s="6" t="s">
        <v>54</v>
      </c>
      <c r="AQ3" s="6" t="s">
        <v>52</v>
      </c>
    </row>
    <row r="4" spans="2:43" ht="22.15" customHeight="1" x14ac:dyDescent="0.45">
      <c r="C4" s="19" t="s">
        <v>14</v>
      </c>
      <c r="D4" s="19" t="s">
        <v>14</v>
      </c>
      <c r="E4" s="19" t="s">
        <v>8</v>
      </c>
      <c r="F4" s="19" t="s">
        <v>21</v>
      </c>
      <c r="G4" s="19" t="s">
        <v>8</v>
      </c>
      <c r="H4" s="19" t="s">
        <v>8</v>
      </c>
      <c r="I4" s="19" t="s">
        <v>17</v>
      </c>
      <c r="J4" s="24" t="s">
        <v>15</v>
      </c>
      <c r="K4" s="24" t="s">
        <v>15</v>
      </c>
      <c r="L4" s="24" t="s">
        <v>50</v>
      </c>
      <c r="M4" s="24" t="s">
        <v>50</v>
      </c>
      <c r="N4" s="24" t="s">
        <v>51</v>
      </c>
      <c r="O4" s="19"/>
      <c r="P4" s="19" t="s">
        <v>8</v>
      </c>
      <c r="Q4" s="19" t="s">
        <v>8</v>
      </c>
      <c r="R4" s="19" t="s">
        <v>8</v>
      </c>
      <c r="S4" s="19" t="s">
        <v>17</v>
      </c>
      <c r="AE4" s="19" t="s">
        <v>41</v>
      </c>
      <c r="AF4" s="19" t="s">
        <v>41</v>
      </c>
      <c r="AG4" s="19" t="s">
        <v>41</v>
      </c>
      <c r="AH4" s="19" t="s">
        <v>41</v>
      </c>
      <c r="AI4" s="19" t="s">
        <v>41</v>
      </c>
      <c r="AJ4" s="19" t="s">
        <v>41</v>
      </c>
      <c r="AK4" s="45"/>
      <c r="AL4" s="24" t="s">
        <v>15</v>
      </c>
      <c r="AM4" s="19" t="s">
        <v>17</v>
      </c>
      <c r="AN4" s="19" t="s">
        <v>41</v>
      </c>
      <c r="AO4" s="19" t="s">
        <v>17</v>
      </c>
      <c r="AP4" s="19" t="s">
        <v>14</v>
      </c>
      <c r="AQ4" s="19" t="s">
        <v>53</v>
      </c>
    </row>
    <row r="5" spans="2:43" ht="18.399999999999999" customHeight="1" x14ac:dyDescent="0.45">
      <c r="B5" s="62" t="s">
        <v>29</v>
      </c>
      <c r="C5" s="17" t="s">
        <v>10</v>
      </c>
      <c r="D5" s="17" t="s">
        <v>1</v>
      </c>
      <c r="E5" s="17">
        <v>3579</v>
      </c>
      <c r="F5" s="17">
        <v>939.61803067669177</v>
      </c>
      <c r="G5" s="17">
        <v>5013.2</v>
      </c>
      <c r="H5" s="17">
        <f>G5-E5</f>
        <v>1434.1999999999998</v>
      </c>
      <c r="I5" s="18">
        <f>S5</f>
        <v>0.11302982731554165</v>
      </c>
      <c r="J5" s="17">
        <f>H5/F5</f>
        <v>1.5263649197611941</v>
      </c>
      <c r="K5" s="17">
        <f>J5/(1+I5)</f>
        <v>1.371360301675431</v>
      </c>
      <c r="L5" s="17">
        <v>2.65</v>
      </c>
      <c r="M5" s="17">
        <f>L5/K5-1</f>
        <v>0.93238786098913429</v>
      </c>
      <c r="N5" s="20">
        <f>I5*(L5/M5)</f>
        <v>0.3212494015831851</v>
      </c>
      <c r="O5" s="19"/>
      <c r="P5" s="17">
        <v>18.79</v>
      </c>
      <c r="Q5" s="17">
        <v>54.24</v>
      </c>
      <c r="R5" s="17">
        <v>50.64</v>
      </c>
      <c r="S5" s="20">
        <f>((Q5-P5)-(R5-P5))/(R5-P5)</f>
        <v>0.11302982731554165</v>
      </c>
      <c r="AB5" s="63" t="s">
        <v>33</v>
      </c>
      <c r="AC5" s="63"/>
      <c r="AE5" s="26">
        <v>1.9531631477178735E-3</v>
      </c>
      <c r="AF5" s="26">
        <v>1.8555049903312693E-3</v>
      </c>
      <c r="AG5" s="26">
        <v>1.8164417273780487E-3</v>
      </c>
      <c r="AH5" s="26">
        <v>1.8164417273780487E-3</v>
      </c>
      <c r="AI5" s="26">
        <v>1.7969100958978856E-3</v>
      </c>
      <c r="AJ5" s="40">
        <f>AVERAGE(AE5:AI5)</f>
        <v>1.8476923377406251E-3</v>
      </c>
      <c r="AL5" s="3">
        <f>K5</f>
        <v>1.371360301675431</v>
      </c>
      <c r="AM5" s="27">
        <f>S5</f>
        <v>0.11302982731554165</v>
      </c>
      <c r="AN5" s="36">
        <f>AJ5</f>
        <v>1.8476923377406251E-3</v>
      </c>
      <c r="AO5" s="46">
        <f>N5</f>
        <v>0.3212494015831851</v>
      </c>
      <c r="AP5" s="36">
        <v>0.19</v>
      </c>
      <c r="AQ5" s="47">
        <v>32.625908938905432</v>
      </c>
    </row>
    <row r="6" spans="2:43" ht="18.399999999999999" customHeight="1" x14ac:dyDescent="0.45">
      <c r="B6" s="62"/>
      <c r="C6" s="17" t="s">
        <v>10</v>
      </c>
      <c r="D6" s="17" t="s">
        <v>2</v>
      </c>
      <c r="E6" s="17">
        <v>3573.4</v>
      </c>
      <c r="F6" s="17">
        <v>939.61803067669177</v>
      </c>
      <c r="G6" s="17">
        <v>5134.2</v>
      </c>
      <c r="H6" s="17">
        <f>G6-E6</f>
        <v>1560.7999999999997</v>
      </c>
      <c r="I6" s="18">
        <f t="shared" ref="I6:I19" si="0">S6</f>
        <v>0.14261363636363625</v>
      </c>
      <c r="J6" s="17">
        <f t="shared" ref="J6:J19" si="1">H6/F6</f>
        <v>1.6611005206827998</v>
      </c>
      <c r="K6" s="17">
        <f t="shared" ref="K6:K19" si="2">J6/(1+I6)</f>
        <v>1.4537727083051852</v>
      </c>
      <c r="L6" s="17">
        <v>2.65</v>
      </c>
      <c r="M6" s="17">
        <f t="shared" ref="M6:M9" si="3">L6/K6-1</f>
        <v>0.82284340933142275</v>
      </c>
      <c r="N6" s="20">
        <f t="shared" ref="N6:N9" si="4">I6*(L6/M6)</f>
        <v>0.45929290078498514</v>
      </c>
      <c r="O6" s="19"/>
      <c r="P6" s="17">
        <v>18.329999999999998</v>
      </c>
      <c r="Q6" s="17">
        <v>38.44</v>
      </c>
      <c r="R6" s="17">
        <v>35.93</v>
      </c>
      <c r="S6" s="20">
        <f>((Q6-P6)-(R6-P6))/(R6-P6)</f>
        <v>0.14261363636363625</v>
      </c>
      <c r="AB6" s="6" t="s">
        <v>31</v>
      </c>
      <c r="AC6" s="6" t="s">
        <v>32</v>
      </c>
      <c r="AE6" s="26">
        <v>1.796910095899662E-3</v>
      </c>
      <c r="AF6" s="26">
        <v>1.7773784644248281E-3</v>
      </c>
      <c r="AG6" s="26">
        <v>1.6015937811246772E-3</v>
      </c>
      <c r="AH6" s="26">
        <v>1.6211254125977348E-3</v>
      </c>
      <c r="AI6" s="26">
        <v>1.5625305181714566E-3</v>
      </c>
      <c r="AJ6" s="40">
        <f>AVERAGE(AE6,AF6,AH6)</f>
        <v>1.7318046576407415E-3</v>
      </c>
      <c r="AL6" s="3">
        <f>K6</f>
        <v>1.4537727083051852</v>
      </c>
      <c r="AM6" s="27">
        <f>S6</f>
        <v>0.14261363636363625</v>
      </c>
      <c r="AN6" s="36">
        <f>AJ6</f>
        <v>1.7318046576407415E-3</v>
      </c>
      <c r="AO6" s="46">
        <f t="shared" ref="AO6:AO9" si="5">N6</f>
        <v>0.45929290078498514</v>
      </c>
      <c r="AP6" s="36">
        <v>0.19</v>
      </c>
      <c r="AQ6" s="47">
        <v>50.23345741286181</v>
      </c>
    </row>
    <row r="7" spans="2:43" ht="18.399999999999999" customHeight="1" x14ac:dyDescent="0.45">
      <c r="B7" s="62"/>
      <c r="C7" s="17" t="s">
        <v>10</v>
      </c>
      <c r="D7" s="17" t="s">
        <v>3</v>
      </c>
      <c r="E7" s="17">
        <v>3525.8</v>
      </c>
      <c r="F7" s="17">
        <v>939.61803067669177</v>
      </c>
      <c r="G7" s="17">
        <v>5224</v>
      </c>
      <c r="H7" s="17">
        <f>G7-E7</f>
        <v>1698.1999999999998</v>
      </c>
      <c r="I7" s="18">
        <f t="shared" si="0"/>
        <v>0.19204244031830223</v>
      </c>
      <c r="J7" s="17">
        <f t="shared" si="1"/>
        <v>1.8073301539105144</v>
      </c>
      <c r="K7" s="17">
        <f t="shared" si="2"/>
        <v>1.5161625901741522</v>
      </c>
      <c r="L7" s="17">
        <v>2.65</v>
      </c>
      <c r="M7" s="17">
        <f t="shared" si="3"/>
        <v>0.74783365397217105</v>
      </c>
      <c r="N7" s="20">
        <f t="shared" si="4"/>
        <v>0.68051559881047952</v>
      </c>
      <c r="O7" s="19"/>
      <c r="P7" s="17">
        <v>18.71</v>
      </c>
      <c r="Q7" s="17">
        <v>41.18</v>
      </c>
      <c r="R7" s="17">
        <v>37.56</v>
      </c>
      <c r="S7" s="20">
        <f>((Q7-P7)-(R7-P7))/(R7-P7)</f>
        <v>0.19204244031830223</v>
      </c>
      <c r="AB7" s="20">
        <v>0.21</v>
      </c>
      <c r="AC7" s="25">
        <v>1.54</v>
      </c>
      <c r="AE7" s="26">
        <v>1.6992519385183869E-3</v>
      </c>
      <c r="AF7" s="26">
        <v>1.8359733588511062E-3</v>
      </c>
      <c r="AG7" s="26">
        <v>1.6601886755722717E-3</v>
      </c>
      <c r="AH7" s="26">
        <v>1.6797203070382238E-3</v>
      </c>
      <c r="AI7" s="26">
        <v>1.6601886755722717E-3</v>
      </c>
      <c r="AJ7" s="40">
        <f>AI7</f>
        <v>1.6601886755722717E-3</v>
      </c>
      <c r="AL7" s="3">
        <f>K7</f>
        <v>1.5161625901741522</v>
      </c>
      <c r="AM7" s="27">
        <f>S7</f>
        <v>0.19204244031830223</v>
      </c>
      <c r="AN7" s="36">
        <f>AJ7</f>
        <v>1.6601886755722717E-3</v>
      </c>
      <c r="AO7" s="46">
        <f t="shared" si="5"/>
        <v>0.68051559881047952</v>
      </c>
      <c r="AP7" s="36">
        <v>0.19</v>
      </c>
      <c r="AQ7" s="47">
        <v>65.587469744581185</v>
      </c>
    </row>
    <row r="8" spans="2:43" ht="18.399999999999999" customHeight="1" x14ac:dyDescent="0.45">
      <c r="B8" s="62"/>
      <c r="C8" s="17" t="s">
        <v>10</v>
      </c>
      <c r="D8" s="17" t="s">
        <v>4</v>
      </c>
      <c r="E8" s="17">
        <v>3981.6</v>
      </c>
      <c r="F8" s="17">
        <v>939.61803067669177</v>
      </c>
      <c r="G8" s="17">
        <v>5768.8</v>
      </c>
      <c r="H8" s="17">
        <f>G8-E8</f>
        <v>1787.2000000000003</v>
      </c>
      <c r="I8" s="18">
        <f t="shared" si="0"/>
        <v>0.24606215410813118</v>
      </c>
      <c r="J8" s="17">
        <f t="shared" si="1"/>
        <v>1.9020494942108539</v>
      </c>
      <c r="K8" s="17">
        <f t="shared" si="2"/>
        <v>1.5264483299970262</v>
      </c>
      <c r="L8" s="17">
        <v>2.65</v>
      </c>
      <c r="M8" s="17">
        <f t="shared" si="3"/>
        <v>0.73605614282742393</v>
      </c>
      <c r="N8" s="20">
        <f t="shared" si="4"/>
        <v>0.88588990763905762</v>
      </c>
      <c r="O8" s="19"/>
      <c r="P8" s="17">
        <v>18.87</v>
      </c>
      <c r="Q8" s="17">
        <v>48.14</v>
      </c>
      <c r="R8" s="17">
        <v>42.36</v>
      </c>
      <c r="S8" s="20">
        <f>((Q8-P8)-(R8-P8))/(R8-P8)</f>
        <v>0.24606215410813118</v>
      </c>
      <c r="AE8" s="26">
        <v>2.7344284068036018E-3</v>
      </c>
      <c r="AF8" s="26">
        <v>2.5391120920339461E-3</v>
      </c>
      <c r="AG8" s="26">
        <v>2.7148967753305442E-3</v>
      </c>
      <c r="AH8" s="26">
        <v>2.6367702494169976E-3</v>
      </c>
      <c r="AI8" s="26">
        <v>2.6563018808900551E-3</v>
      </c>
      <c r="AJ8" s="40">
        <f t="shared" ref="AJ8:AJ9" si="6">AVERAGE(AE8:AI8)</f>
        <v>2.656301880895029E-3</v>
      </c>
      <c r="AL8" s="3">
        <f>K8</f>
        <v>1.5264483299970262</v>
      </c>
      <c r="AM8" s="27">
        <f>S8</f>
        <v>0.24606215410813118</v>
      </c>
      <c r="AN8" s="36">
        <f>AJ8</f>
        <v>2.656301880895029E-3</v>
      </c>
      <c r="AO8" s="46">
        <f t="shared" si="5"/>
        <v>0.88588990763905762</v>
      </c>
      <c r="AP8" s="36">
        <v>0.19</v>
      </c>
      <c r="AQ8" s="47">
        <v>1.606058593920398</v>
      </c>
    </row>
    <row r="9" spans="2:43" ht="18.399999999999999" customHeight="1" x14ac:dyDescent="0.45">
      <c r="B9" s="62"/>
      <c r="C9" s="17" t="s">
        <v>10</v>
      </c>
      <c r="D9" s="17" t="s">
        <v>5</v>
      </c>
      <c r="E9" s="17">
        <v>3577</v>
      </c>
      <c r="F9" s="17">
        <v>939.61803067669177</v>
      </c>
      <c r="G9" s="17">
        <v>5247</v>
      </c>
      <c r="H9" s="17">
        <f>G9-E9</f>
        <v>1670</v>
      </c>
      <c r="I9" s="18">
        <f>S9</f>
        <v>0.29512735326688799</v>
      </c>
      <c r="J9" s="17">
        <f>H9/F9</f>
        <v>1.7773179584445644</v>
      </c>
      <c r="K9" s="17">
        <f>J9/(1+I9)</f>
        <v>1.3723113437156407</v>
      </c>
      <c r="L9" s="17">
        <v>2.65</v>
      </c>
      <c r="M9" s="17">
        <f t="shared" si="3"/>
        <v>0.93104867356478804</v>
      </c>
      <c r="N9" s="20">
        <f t="shared" si="4"/>
        <v>0.84000708917054345</v>
      </c>
      <c r="O9" s="19"/>
      <c r="P9" s="17">
        <v>17.87</v>
      </c>
      <c r="Q9" s="17">
        <v>64.650000000000006</v>
      </c>
      <c r="R9" s="17">
        <v>53.99</v>
      </c>
      <c r="S9" s="20">
        <f>((Q9-P9)-(R9-P9))/(R9-P9)</f>
        <v>0.29512735326688799</v>
      </c>
      <c r="AE9" s="26">
        <v>3.3008457196430641E-3</v>
      </c>
      <c r="AF9" s="26">
        <v>2.8711498271434266E-3</v>
      </c>
      <c r="AG9" s="26">
        <v>3.1250610363500186E-3</v>
      </c>
      <c r="AH9" s="26">
        <v>3.1055294048769611E-3</v>
      </c>
      <c r="AI9" s="26">
        <v>3.066466141916635E-3</v>
      </c>
      <c r="AJ9" s="40">
        <f t="shared" si="6"/>
        <v>3.093810425986021E-3</v>
      </c>
      <c r="AL9" s="3">
        <f>K9</f>
        <v>1.3723113437156407</v>
      </c>
      <c r="AM9" s="27">
        <f>S9</f>
        <v>0.29512735326688799</v>
      </c>
      <c r="AN9" s="36">
        <f>AJ9</f>
        <v>3.093810425986021E-3</v>
      </c>
      <c r="AO9" s="46">
        <f t="shared" si="5"/>
        <v>0.84000708917054345</v>
      </c>
      <c r="AP9" s="36">
        <v>0.19</v>
      </c>
      <c r="AQ9" s="47">
        <v>0.31488993954243338</v>
      </c>
    </row>
    <row r="10" spans="2:43" ht="90.85" customHeight="1" x14ac:dyDescent="0.45">
      <c r="C10" s="19"/>
      <c r="D10" s="19"/>
      <c r="E10" s="19"/>
      <c r="F10" s="19"/>
      <c r="G10" s="19"/>
      <c r="H10" s="19"/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22"/>
      <c r="AJ10" s="41"/>
      <c r="AM10" s="15"/>
      <c r="AN10" s="41"/>
      <c r="AO10" s="14"/>
      <c r="AP10" s="41"/>
      <c r="AQ10" s="48"/>
    </row>
    <row r="11" spans="2:43" ht="18.399999999999999" customHeight="1" x14ac:dyDescent="0.45">
      <c r="B11" s="62" t="s">
        <v>26</v>
      </c>
      <c r="C11" s="17" t="s">
        <v>26</v>
      </c>
      <c r="D11" s="17" t="s">
        <v>5</v>
      </c>
      <c r="E11" s="17">
        <v>3577</v>
      </c>
      <c r="F11" s="17">
        <v>939.61803067669177</v>
      </c>
      <c r="G11" s="17">
        <v>5207.3999999999996</v>
      </c>
      <c r="H11" s="17">
        <f>G11-E11</f>
        <v>1630.3999999999996</v>
      </c>
      <c r="I11" s="18">
        <f>S11</f>
        <v>0.11079723791588189</v>
      </c>
      <c r="J11" s="17">
        <f>H11/F11</f>
        <v>1.735173173322166</v>
      </c>
      <c r="K11" s="17">
        <f>J11/(1+I11)</f>
        <v>1.5620971263646288</v>
      </c>
      <c r="L11" s="17">
        <v>2.65</v>
      </c>
      <c r="M11" s="17">
        <f>L11/K11-1</f>
        <v>0.69643740793965847</v>
      </c>
      <c r="N11" s="20">
        <f>I11*(L11/M11)</f>
        <v>0.42159234574390719</v>
      </c>
      <c r="O11" s="19"/>
      <c r="P11" s="17">
        <v>18.989999999999998</v>
      </c>
      <c r="Q11" s="17">
        <v>54.38</v>
      </c>
      <c r="R11" s="17">
        <v>50.85</v>
      </c>
      <c r="S11" s="23">
        <f>((Q11-P11)-(R11-P11))/(R11-P11)</f>
        <v>0.11079723791588189</v>
      </c>
      <c r="AB11" s="63" t="s">
        <v>33</v>
      </c>
      <c r="AC11" s="63"/>
      <c r="AE11" s="26">
        <v>1.4453407293117948E-3</v>
      </c>
      <c r="AF11" s="26">
        <v>1.4062774663585742E-3</v>
      </c>
      <c r="AG11" s="26">
        <v>1.6797203070373357E-3</v>
      </c>
      <c r="AH11" s="26">
        <v>1.6015937811246772E-3</v>
      </c>
      <c r="AI11" s="26">
        <v>1.5820621496516196E-3</v>
      </c>
      <c r="AJ11" s="40">
        <f>AVERAGE(AG11:AI11)</f>
        <v>1.6211254126045442E-3</v>
      </c>
      <c r="AL11" s="3">
        <f>K11</f>
        <v>1.5620971263646288</v>
      </c>
      <c r="AM11" s="27">
        <f>S11</f>
        <v>0.11079723791588189</v>
      </c>
      <c r="AN11" s="36">
        <f>AJ11</f>
        <v>1.6211254126045442E-3</v>
      </c>
      <c r="AO11" s="46">
        <f>N11</f>
        <v>0.42159234574390719</v>
      </c>
      <c r="AP11" s="36">
        <v>0.19</v>
      </c>
      <c r="AQ11" s="47">
        <v>75.857701690571744</v>
      </c>
    </row>
    <row r="12" spans="2:43" ht="18.399999999999999" customHeight="1" x14ac:dyDescent="0.45">
      <c r="B12" s="62"/>
      <c r="C12" s="17" t="s">
        <v>26</v>
      </c>
      <c r="D12" s="17" t="s">
        <v>6</v>
      </c>
      <c r="E12" s="17">
        <v>3580.8</v>
      </c>
      <c r="F12" s="17">
        <v>939.61803067669177</v>
      </c>
      <c r="G12" s="17">
        <v>5382.6</v>
      </c>
      <c r="H12" s="17">
        <f>G12-E12</f>
        <v>1801.8000000000002</v>
      </c>
      <c r="I12" s="18">
        <f>S12</f>
        <v>0.16014588859416429</v>
      </c>
      <c r="J12" s="17">
        <f>H12/F12</f>
        <v>1.9175877230691118</v>
      </c>
      <c r="K12" s="17">
        <f>J12/(1+I12)</f>
        <v>1.6528849879326786</v>
      </c>
      <c r="L12" s="17">
        <v>2.65</v>
      </c>
      <c r="M12" s="17">
        <f t="shared" ref="M12:M14" si="7">L12/K12-1</f>
        <v>0.60325734660730879</v>
      </c>
      <c r="N12" s="20">
        <f t="shared" ref="N12:N14" si="8">I12*(L12/M12)</f>
        <v>0.70349181350424639</v>
      </c>
      <c r="O12" s="19"/>
      <c r="P12" s="17">
        <v>19.2</v>
      </c>
      <c r="Q12" s="17">
        <v>54.19</v>
      </c>
      <c r="R12" s="17">
        <v>49.36</v>
      </c>
      <c r="S12" s="23">
        <f>((Q12-P12)-(R12-P12))/(R12-P12)</f>
        <v>0.16014588859416429</v>
      </c>
      <c r="AB12" s="6" t="s">
        <v>31</v>
      </c>
      <c r="AC12" s="6" t="s">
        <v>32</v>
      </c>
      <c r="AE12" s="26">
        <v>1.6015937811282299E-3</v>
      </c>
      <c r="AF12" s="26">
        <v>1.5820621496516196E-3</v>
      </c>
      <c r="AG12" s="26">
        <v>1.5625305181856675E-3</v>
      </c>
      <c r="AH12" s="26">
        <v>1.8359733588653171E-3</v>
      </c>
      <c r="AI12" s="26">
        <v>1.8164417273851541E-3</v>
      </c>
      <c r="AJ12" s="40">
        <f>AVERAGE(AE12:AG12)</f>
        <v>1.5820621496551723E-3</v>
      </c>
      <c r="AL12" s="3">
        <f>K12</f>
        <v>1.6528849879326786</v>
      </c>
      <c r="AM12" s="27">
        <f>S12</f>
        <v>0.16014588859416429</v>
      </c>
      <c r="AN12" s="36">
        <f>AJ12</f>
        <v>1.5820621496551723E-3</v>
      </c>
      <c r="AO12" s="46">
        <f t="shared" ref="AO12:AO14" si="9">N12</f>
        <v>0.70349181350424639</v>
      </c>
      <c r="AP12" s="36">
        <v>0.19</v>
      </c>
      <c r="AQ12" s="47">
        <v>87.736132035461452</v>
      </c>
    </row>
    <row r="13" spans="2:43" ht="18.399999999999999" customHeight="1" x14ac:dyDescent="0.45">
      <c r="B13" s="62"/>
      <c r="C13" s="17" t="s">
        <v>26</v>
      </c>
      <c r="D13" s="17" t="s">
        <v>7</v>
      </c>
      <c r="E13" s="17">
        <v>3594.6</v>
      </c>
      <c r="F13" s="17">
        <v>939.61803067669177</v>
      </c>
      <c r="G13" s="17">
        <v>5453.6</v>
      </c>
      <c r="H13" s="17">
        <f>G13-E13</f>
        <v>1859.0000000000005</v>
      </c>
      <c r="I13" s="18">
        <f>S13</f>
        <v>0.18882395909422914</v>
      </c>
      <c r="J13" s="17">
        <f>H13/F13</f>
        <v>1.9784635238014647</v>
      </c>
      <c r="K13" s="17">
        <f>J13/(1+I13)</f>
        <v>1.6642190869949036</v>
      </c>
      <c r="L13" s="17">
        <v>2.65</v>
      </c>
      <c r="M13" s="17">
        <f t="shared" si="7"/>
        <v>0.59233842509589918</v>
      </c>
      <c r="N13" s="20">
        <f t="shared" si="8"/>
        <v>0.84475946587239459</v>
      </c>
      <c r="O13" s="19"/>
      <c r="P13" s="17">
        <v>18.39</v>
      </c>
      <c r="Q13" s="17">
        <v>50.94</v>
      </c>
      <c r="R13" s="17">
        <v>45.77</v>
      </c>
      <c r="S13" s="23">
        <f>((Q13-P13)-(R13-P13))/(R13-P13)</f>
        <v>0.18882395909422914</v>
      </c>
      <c r="AB13" s="20">
        <v>0.17199999999999999</v>
      </c>
      <c r="AC13" s="25">
        <v>1.665</v>
      </c>
      <c r="AE13" s="26">
        <v>1.7773784644212753E-3</v>
      </c>
      <c r="AF13" s="26">
        <v>1.7187835699914444E-3</v>
      </c>
      <c r="AG13" s="26">
        <v>1.738315201464502E-3</v>
      </c>
      <c r="AH13" s="26">
        <v>1.738315201464502E-3</v>
      </c>
      <c r="AI13" s="26">
        <v>1.7383152014787129E-3</v>
      </c>
      <c r="AJ13" s="40">
        <f>AVERAGE(AE13:AI13)</f>
        <v>1.7422215277640874E-3</v>
      </c>
      <c r="AL13" s="3">
        <f>K13</f>
        <v>1.6642190869949036</v>
      </c>
      <c r="AM13" s="27">
        <f>S13</f>
        <v>0.18882395909422914</v>
      </c>
      <c r="AN13" s="36">
        <f>AJ13</f>
        <v>1.7422215277640874E-3</v>
      </c>
      <c r="AO13" s="46">
        <f t="shared" si="9"/>
        <v>0.84475946587239459</v>
      </c>
      <c r="AP13" s="36">
        <v>0.19</v>
      </c>
      <c r="AQ13" s="47">
        <v>48.322054338171974</v>
      </c>
    </row>
    <row r="14" spans="2:43" ht="18.399999999999999" customHeight="1" x14ac:dyDescent="0.45">
      <c r="B14" s="62"/>
      <c r="C14" s="17" t="s">
        <v>26</v>
      </c>
      <c r="D14" s="17" t="s">
        <v>27</v>
      </c>
      <c r="E14" s="17">
        <v>3575.2</v>
      </c>
      <c r="F14" s="17">
        <v>939.61803067669177</v>
      </c>
      <c r="G14" s="17">
        <v>5344.2</v>
      </c>
      <c r="H14" s="17">
        <f>G14-E14</f>
        <v>1769</v>
      </c>
      <c r="I14" s="18">
        <f>S14</f>
        <v>0.24161849710982658</v>
      </c>
      <c r="J14" s="17">
        <f>H14/F14</f>
        <v>1.8826799212505596</v>
      </c>
      <c r="K14" s="17">
        <f>J14/(1+I14)</f>
        <v>1.516311109759529</v>
      </c>
      <c r="L14" s="17">
        <v>2.65</v>
      </c>
      <c r="M14" s="17">
        <f t="shared" si="7"/>
        <v>0.74766245722506253</v>
      </c>
      <c r="N14" s="20">
        <f t="shared" si="8"/>
        <v>0.85638781398421826</v>
      </c>
      <c r="O14" s="19"/>
      <c r="P14" s="17">
        <v>14.66</v>
      </c>
      <c r="Q14" s="17">
        <v>46.88</v>
      </c>
      <c r="R14" s="17">
        <v>40.61</v>
      </c>
      <c r="S14" s="23">
        <f>((Q14-P14)-(R14-P14))/(R14-P14)</f>
        <v>0.24161849710982658</v>
      </c>
      <c r="AE14" s="26">
        <v>2.3828590402104055E-3</v>
      </c>
      <c r="AF14" s="26">
        <v>2.3828590402104055E-3</v>
      </c>
      <c r="AG14" s="26">
        <v>2.3828590402175109E-3</v>
      </c>
      <c r="AH14" s="26">
        <v>2.3828590402246164E-3</v>
      </c>
      <c r="AI14" s="26">
        <v>3.2813140881700065E-3</v>
      </c>
      <c r="AJ14" s="40">
        <f>AVERAGE(AE14:AI14)</f>
        <v>2.5625500498065888E-3</v>
      </c>
      <c r="AL14" s="3">
        <f>K14</f>
        <v>1.516311109759529</v>
      </c>
      <c r="AM14" s="27">
        <f>S14</f>
        <v>0.24161849710982658</v>
      </c>
      <c r="AN14" s="36">
        <f>AJ14</f>
        <v>2.5625500498065888E-3</v>
      </c>
      <c r="AO14" s="46">
        <f t="shared" si="9"/>
        <v>0.85638781398421826</v>
      </c>
      <c r="AP14" s="36">
        <v>0.19</v>
      </c>
      <c r="AQ14" s="47">
        <v>2.2771441006533286</v>
      </c>
    </row>
    <row r="15" spans="2:43" ht="90.85" customHeight="1" x14ac:dyDescent="0.45">
      <c r="B15" s="16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AJ15" s="41"/>
      <c r="AM15" s="15"/>
      <c r="AN15" s="41"/>
      <c r="AO15" s="14"/>
      <c r="AP15" s="41"/>
      <c r="AQ15" s="48"/>
    </row>
    <row r="16" spans="2:43" ht="18.399999999999999" customHeight="1" x14ac:dyDescent="0.45">
      <c r="B16" s="62" t="s">
        <v>30</v>
      </c>
      <c r="C16" s="17" t="s">
        <v>28</v>
      </c>
      <c r="D16" s="17" t="s">
        <v>1</v>
      </c>
      <c r="E16" s="17">
        <v>3579</v>
      </c>
      <c r="F16" s="17">
        <v>939.61803067669177</v>
      </c>
      <c r="G16" s="17">
        <v>5415</v>
      </c>
      <c r="H16" s="17">
        <f>G16-E16</f>
        <v>1836</v>
      </c>
      <c r="I16" s="18">
        <f t="shared" si="0"/>
        <v>0.13227722772277212</v>
      </c>
      <c r="J16" s="17">
        <f t="shared" si="1"/>
        <v>1.9539854920384554</v>
      </c>
      <c r="K16" s="17">
        <f t="shared" si="2"/>
        <v>1.7257129651616301</v>
      </c>
      <c r="L16" s="17">
        <v>2.65</v>
      </c>
      <c r="M16" s="17">
        <f>L16/K16-1</f>
        <v>0.53559720156115365</v>
      </c>
      <c r="N16" s="20">
        <f>I16*(L16/M16)</f>
        <v>0.65447439315144107</v>
      </c>
      <c r="O16" s="19"/>
      <c r="P16" s="17">
        <v>18.88</v>
      </c>
      <c r="Q16" s="17">
        <v>47.47</v>
      </c>
      <c r="R16" s="17">
        <v>44.13</v>
      </c>
      <c r="S16" s="23">
        <f>((Q16-P16)-(R16-P16))/(R16-P16)</f>
        <v>0.13227722772277212</v>
      </c>
      <c r="AB16" s="63" t="s">
        <v>33</v>
      </c>
      <c r="AC16" s="63"/>
      <c r="AE16" s="26">
        <v>1.1523662571519822E-3</v>
      </c>
      <c r="AF16" s="26">
        <v>1.2109611515853658E-3</v>
      </c>
      <c r="AG16" s="26">
        <v>1.2109611515853658E-3</v>
      </c>
      <c r="AH16" s="26">
        <v>1.269556046011644E-3</v>
      </c>
      <c r="AI16" s="26">
        <v>1.1914295201194136E-3</v>
      </c>
      <c r="AJ16" s="40">
        <f>AVERAGE(AE16:AI16)</f>
        <v>1.2070548252907543E-3</v>
      </c>
      <c r="AL16" s="3">
        <f>K16</f>
        <v>1.7257129651616301</v>
      </c>
      <c r="AM16" s="27">
        <f>S16</f>
        <v>0.13227722772277212</v>
      </c>
      <c r="AN16" s="36">
        <f>AJ16</f>
        <v>1.2070548252907543E-3</v>
      </c>
      <c r="AO16" s="46">
        <f>N16</f>
        <v>0.65447439315144107</v>
      </c>
      <c r="AP16" s="36">
        <v>0.19</v>
      </c>
      <c r="AQ16" s="47">
        <v>370.78150112778985</v>
      </c>
    </row>
    <row r="17" spans="2:43" ht="18.399999999999999" customHeight="1" x14ac:dyDescent="0.45">
      <c r="B17" s="62"/>
      <c r="C17" s="17" t="s">
        <v>28</v>
      </c>
      <c r="D17" s="17" t="s">
        <v>2</v>
      </c>
      <c r="E17" s="17">
        <v>3573.4</v>
      </c>
      <c r="F17" s="17">
        <v>939.61803067669177</v>
      </c>
      <c r="G17" s="17">
        <v>5490.4</v>
      </c>
      <c r="H17" s="17">
        <f>G17-E17</f>
        <v>1916.9999999999995</v>
      </c>
      <c r="I17" s="18">
        <f t="shared" si="0"/>
        <v>0.15978994748687164</v>
      </c>
      <c r="J17" s="17">
        <f t="shared" si="1"/>
        <v>2.0401907343342689</v>
      </c>
      <c r="K17" s="17">
        <f t="shared" si="2"/>
        <v>1.7591036538600133</v>
      </c>
      <c r="L17" s="17">
        <v>2.65</v>
      </c>
      <c r="M17" s="17">
        <f t="shared" ref="M17:M19" si="10">L17/K17-1</f>
        <v>0.50644903396402285</v>
      </c>
      <c r="N17" s="20">
        <f t="shared" ref="N17:N19" si="11">I17*(L17/M17)</f>
        <v>0.83610261337825054</v>
      </c>
      <c r="O17" s="19"/>
      <c r="P17" s="17">
        <v>18.559999999999999</v>
      </c>
      <c r="Q17" s="17">
        <v>49.48</v>
      </c>
      <c r="R17" s="17">
        <v>45.22</v>
      </c>
      <c r="S17" s="23">
        <f>((Q17-P17)-(R17-P17))/(R17-P17)</f>
        <v>0.15978994748687164</v>
      </c>
      <c r="AB17" s="6" t="s">
        <v>31</v>
      </c>
      <c r="AC17" s="6" t="s">
        <v>32</v>
      </c>
      <c r="AE17" s="26">
        <v>1.4453407293117948E-3</v>
      </c>
      <c r="AF17" s="26">
        <v>1.4453407293117948E-3</v>
      </c>
      <c r="AG17" s="26">
        <v>1.4453407293117948E-3</v>
      </c>
      <c r="AH17" s="26">
        <v>1.4258090978316318E-3</v>
      </c>
      <c r="AI17" s="26">
        <v>1.4453407293117948E-3</v>
      </c>
      <c r="AJ17" s="40">
        <f>AVERAGE(AE17:AI17)</f>
        <v>1.4414344030157622E-3</v>
      </c>
      <c r="AL17" s="3">
        <f>K17</f>
        <v>1.7591036538600133</v>
      </c>
      <c r="AM17" s="27">
        <f>S17</f>
        <v>0.15978994748687164</v>
      </c>
      <c r="AN17" s="36">
        <f>AJ17</f>
        <v>1.4414344030157622E-3</v>
      </c>
      <c r="AO17" s="46">
        <f t="shared" ref="AO17:AO19" si="12">N17</f>
        <v>0.83610261337825054</v>
      </c>
      <c r="AP17" s="36">
        <v>0.19</v>
      </c>
      <c r="AQ17" s="47">
        <v>148.8424139248626</v>
      </c>
    </row>
    <row r="18" spans="2:43" ht="18.399999999999999" customHeight="1" x14ac:dyDescent="0.45">
      <c r="B18" s="62"/>
      <c r="C18" s="17" t="s">
        <v>28</v>
      </c>
      <c r="D18" s="17" t="s">
        <v>3</v>
      </c>
      <c r="E18" s="17">
        <v>3575.8</v>
      </c>
      <c r="F18" s="17">
        <v>939.61803067669177</v>
      </c>
      <c r="G18" s="17">
        <v>5483.8</v>
      </c>
      <c r="H18" s="17">
        <f>G18-E18</f>
        <v>1908</v>
      </c>
      <c r="I18" s="18">
        <f t="shared" si="0"/>
        <v>0.18811394891944982</v>
      </c>
      <c r="J18" s="17">
        <f t="shared" si="1"/>
        <v>2.0306123740791793</v>
      </c>
      <c r="K18" s="17">
        <f t="shared" si="2"/>
        <v>1.7091057435408057</v>
      </c>
      <c r="L18" s="17">
        <v>2.65</v>
      </c>
      <c r="M18" s="17">
        <f t="shared" si="10"/>
        <v>0.55051845681000122</v>
      </c>
      <c r="N18" s="20">
        <f t="shared" si="11"/>
        <v>0.90551362714545369</v>
      </c>
      <c r="O18" s="19"/>
      <c r="P18" s="17">
        <v>18.43</v>
      </c>
      <c r="Q18" s="17">
        <v>42.62</v>
      </c>
      <c r="R18" s="17">
        <v>38.79</v>
      </c>
      <c r="S18" s="23">
        <f>((Q18-P18)-(R18-P18))/(R18-P18)</f>
        <v>0.18811394891944982</v>
      </c>
      <c r="AB18" s="20">
        <v>0.16</v>
      </c>
      <c r="AC18" s="25">
        <v>1.76</v>
      </c>
      <c r="AE18" s="26">
        <v>2.0117580421494807E-3</v>
      </c>
      <c r="AF18" s="26">
        <v>2.070352936581088E-3</v>
      </c>
      <c r="AG18" s="26">
        <v>2.0312896736278674E-3</v>
      </c>
      <c r="AH18" s="26">
        <v>2.0312896736243147E-3</v>
      </c>
      <c r="AI18" s="26">
        <v>1.9922264106710941E-3</v>
      </c>
      <c r="AJ18" s="40">
        <f>AVERAGE(AE18:AI18)</f>
        <v>2.027383347330769E-3</v>
      </c>
      <c r="AL18" s="3">
        <f>K18</f>
        <v>1.7091057435408057</v>
      </c>
      <c r="AM18" s="27">
        <f>S18</f>
        <v>0.18811394891944982</v>
      </c>
      <c r="AN18" s="36">
        <f>AJ18</f>
        <v>2.027383347330769E-3</v>
      </c>
      <c r="AO18" s="46">
        <f t="shared" si="12"/>
        <v>0.90551362714545369</v>
      </c>
      <c r="AP18" s="36">
        <v>0.19</v>
      </c>
      <c r="AQ18" s="47">
        <v>16.708602347103685</v>
      </c>
    </row>
    <row r="19" spans="2:43" ht="18.399999999999999" customHeight="1" x14ac:dyDescent="0.45">
      <c r="B19" s="62"/>
      <c r="C19" s="17" t="s">
        <v>28</v>
      </c>
      <c r="D19" s="17" t="s">
        <v>4</v>
      </c>
      <c r="E19" s="17">
        <v>3981.6</v>
      </c>
      <c r="F19" s="17">
        <v>939.618030676692</v>
      </c>
      <c r="G19" s="17">
        <v>5770.8</v>
      </c>
      <c r="H19" s="17">
        <f>G19-E19</f>
        <v>1789.2000000000003</v>
      </c>
      <c r="I19" s="18">
        <f t="shared" si="0"/>
        <v>0.22389937106918242</v>
      </c>
      <c r="J19" s="17">
        <f t="shared" si="1"/>
        <v>1.9041780187119848</v>
      </c>
      <c r="K19" s="17">
        <f t="shared" si="2"/>
        <v>1.5558289053196588</v>
      </c>
      <c r="L19" s="17">
        <v>2.65</v>
      </c>
      <c r="M19" s="17">
        <f t="shared" si="10"/>
        <v>0.70327212133620431</v>
      </c>
      <c r="N19" s="20">
        <f t="shared" si="11"/>
        <v>0.84367532187400063</v>
      </c>
      <c r="O19" s="19"/>
      <c r="P19" s="17">
        <v>19.02</v>
      </c>
      <c r="Q19" s="17">
        <v>57.94</v>
      </c>
      <c r="R19" s="17">
        <v>50.82</v>
      </c>
      <c r="S19" s="23">
        <f>((Q19-P19)-(R19-P19))/(R19-P19)</f>
        <v>0.22389937106918242</v>
      </c>
      <c r="AE19" s="26">
        <v>2.3242641457841273E-3</v>
      </c>
      <c r="AF19" s="26">
        <v>2.3633274087373479E-3</v>
      </c>
      <c r="AG19" s="26">
        <v>2.3633274087373479E-3</v>
      </c>
      <c r="AH19" s="26">
        <v>2.3828590402175109E-3</v>
      </c>
      <c r="AI19" s="26">
        <v>2.3437957772571849E-3</v>
      </c>
      <c r="AJ19" s="40">
        <f>AVERAGE(AE19:AI19)</f>
        <v>2.3555147561467038E-3</v>
      </c>
      <c r="AL19" s="3">
        <f>K19</f>
        <v>1.5558289053196588</v>
      </c>
      <c r="AM19" s="27">
        <f>S19</f>
        <v>0.22389937106918242</v>
      </c>
      <c r="AN19" s="36">
        <f>AJ19</f>
        <v>2.3555147561467038E-3</v>
      </c>
      <c r="AO19" s="46">
        <f t="shared" si="12"/>
        <v>0.84367532187400063</v>
      </c>
      <c r="AP19" s="36">
        <v>0.19</v>
      </c>
      <c r="AQ19" s="47">
        <v>4.9230945106328168</v>
      </c>
    </row>
    <row r="20" spans="2:43" x14ac:dyDescent="0.45">
      <c r="AJ20" s="41"/>
    </row>
    <row r="21" spans="2:43" x14ac:dyDescent="0.45">
      <c r="AJ21" s="41"/>
    </row>
    <row r="46" spans="20:20" x14ac:dyDescent="0.45">
      <c r="T46" s="14"/>
    </row>
  </sheetData>
  <mergeCells count="10">
    <mergeCell ref="AL2:AQ2"/>
    <mergeCell ref="AE2:AJ2"/>
    <mergeCell ref="B16:B19"/>
    <mergeCell ref="AB5:AC5"/>
    <mergeCell ref="AB11:AC11"/>
    <mergeCell ref="AB16:AC16"/>
    <mergeCell ref="P2:S2"/>
    <mergeCell ref="B5:B9"/>
    <mergeCell ref="B11:B14"/>
    <mergeCell ref="C2:N2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7A4A-7D14-405B-A6FD-E261CF80E2C3}">
  <dimension ref="B2:AQ41"/>
  <sheetViews>
    <sheetView zoomScale="70" zoomScaleNormal="70" workbookViewId="0">
      <selection activeCell="AL2" sqref="AL2:AQ19"/>
    </sheetView>
  </sheetViews>
  <sheetFormatPr defaultColWidth="9" defaultRowHeight="14.25" x14ac:dyDescent="0.45"/>
  <cols>
    <col min="1" max="1" width="9" style="1"/>
    <col min="2" max="2" width="5.59765625" style="1" customWidth="1"/>
    <col min="3" max="3" width="10.1328125" style="1" customWidth="1"/>
    <col min="4" max="4" width="9" style="1"/>
    <col min="5" max="6" width="9.1328125" style="1" bestFit="1" customWidth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9.265625" style="1" customWidth="1"/>
    <col min="15" max="15" width="4" style="1" customWidth="1"/>
    <col min="16" max="16" width="8.1328125" style="1" customWidth="1"/>
    <col min="17" max="17" width="12.1328125" style="1" customWidth="1"/>
    <col min="18" max="18" width="11.1328125" style="1" customWidth="1"/>
    <col min="19" max="19" width="9.33203125" style="1" bestFit="1" customWidth="1"/>
    <col min="20" max="27" width="9" style="1"/>
    <col min="28" max="28" width="12.6640625" style="1" customWidth="1"/>
    <col min="29" max="30" width="12.3984375" style="1" customWidth="1"/>
    <col min="31" max="39" width="9" style="1"/>
    <col min="40" max="40" width="9.6640625" style="1" bestFit="1" customWidth="1"/>
    <col min="41" max="43" width="9.6640625" style="1" customWidth="1"/>
    <col min="44" max="16384" width="9" style="1"/>
  </cols>
  <sheetData>
    <row r="2" spans="2:43" x14ac:dyDescent="0.45">
      <c r="C2" s="61" t="s">
        <v>58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2"/>
      <c r="P2" s="61" t="s">
        <v>11</v>
      </c>
      <c r="Q2" s="61"/>
      <c r="R2" s="61"/>
      <c r="S2" s="61"/>
      <c r="AE2" s="61" t="s">
        <v>34</v>
      </c>
      <c r="AF2" s="61"/>
      <c r="AG2" s="61"/>
      <c r="AH2" s="61"/>
      <c r="AI2" s="61"/>
      <c r="AJ2" s="61"/>
      <c r="AK2" s="28"/>
      <c r="AL2" s="64" t="s">
        <v>56</v>
      </c>
      <c r="AM2" s="65"/>
      <c r="AN2" s="65"/>
      <c r="AO2" s="65"/>
      <c r="AP2" s="65"/>
      <c r="AQ2" s="65"/>
    </row>
    <row r="3" spans="2:43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7" t="s">
        <v>47</v>
      </c>
      <c r="M3" s="7" t="s">
        <v>48</v>
      </c>
      <c r="N3" s="7" t="s">
        <v>49</v>
      </c>
      <c r="O3" s="2"/>
      <c r="P3" s="6" t="s">
        <v>18</v>
      </c>
      <c r="Q3" s="6" t="s">
        <v>24</v>
      </c>
      <c r="R3" s="6" t="s">
        <v>25</v>
      </c>
      <c r="S3" s="6" t="s">
        <v>11</v>
      </c>
      <c r="AE3" s="6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K3" s="2"/>
      <c r="AL3" s="7" t="s">
        <v>13</v>
      </c>
      <c r="AM3" s="6" t="s">
        <v>11</v>
      </c>
      <c r="AN3" s="6" t="s">
        <v>40</v>
      </c>
      <c r="AO3" s="6" t="s">
        <v>49</v>
      </c>
      <c r="AP3" s="6" t="s">
        <v>54</v>
      </c>
      <c r="AQ3" s="6" t="s">
        <v>52</v>
      </c>
    </row>
    <row r="4" spans="2:43" x14ac:dyDescent="0.45">
      <c r="C4" s="2" t="s">
        <v>14</v>
      </c>
      <c r="D4" s="2" t="s">
        <v>14</v>
      </c>
      <c r="E4" s="2" t="s">
        <v>8</v>
      </c>
      <c r="F4" s="2" t="s">
        <v>21</v>
      </c>
      <c r="G4" s="2" t="s">
        <v>8</v>
      </c>
      <c r="H4" s="2" t="s">
        <v>8</v>
      </c>
      <c r="I4" s="2" t="s">
        <v>17</v>
      </c>
      <c r="J4" s="5" t="s">
        <v>15</v>
      </c>
      <c r="K4" s="5" t="s">
        <v>15</v>
      </c>
      <c r="L4" s="24" t="s">
        <v>50</v>
      </c>
      <c r="M4" s="24" t="s">
        <v>50</v>
      </c>
      <c r="N4" s="24" t="s">
        <v>51</v>
      </c>
      <c r="O4" s="2"/>
      <c r="P4" s="2" t="s">
        <v>8</v>
      </c>
      <c r="Q4" s="2" t="s">
        <v>8</v>
      </c>
      <c r="R4" s="2" t="s">
        <v>8</v>
      </c>
      <c r="S4" s="2" t="s">
        <v>17</v>
      </c>
      <c r="AE4" s="2" t="s">
        <v>41</v>
      </c>
      <c r="AF4" s="2" t="s">
        <v>41</v>
      </c>
      <c r="AG4" s="2" t="s">
        <v>41</v>
      </c>
      <c r="AH4" s="2" t="s">
        <v>41</v>
      </c>
      <c r="AI4" s="2" t="s">
        <v>41</v>
      </c>
      <c r="AJ4" s="2" t="s">
        <v>41</v>
      </c>
      <c r="AK4" s="2"/>
      <c r="AL4" s="29" t="s">
        <v>15</v>
      </c>
      <c r="AM4" s="4" t="s">
        <v>17</v>
      </c>
      <c r="AN4" s="4" t="s">
        <v>41</v>
      </c>
      <c r="AO4" s="19" t="s">
        <v>17</v>
      </c>
      <c r="AP4" s="19" t="s">
        <v>14</v>
      </c>
      <c r="AQ4" s="19" t="s">
        <v>53</v>
      </c>
    </row>
    <row r="5" spans="2:43" ht="19.25" customHeight="1" x14ac:dyDescent="0.45">
      <c r="B5" s="62" t="s">
        <v>29</v>
      </c>
      <c r="C5" s="4" t="s">
        <v>10</v>
      </c>
      <c r="D5" s="4" t="s">
        <v>1</v>
      </c>
      <c r="E5" s="4">
        <v>3579</v>
      </c>
      <c r="F5" s="3">
        <v>939.61803067669177</v>
      </c>
      <c r="G5" s="4">
        <v>5392.4</v>
      </c>
      <c r="H5" s="4">
        <f>G5-E5</f>
        <v>1813.3999999999996</v>
      </c>
      <c r="I5" s="9">
        <f>S5</f>
        <v>0.1622203098106714</v>
      </c>
      <c r="J5" s="4">
        <f>H5/F5</f>
        <v>1.9299331651756721</v>
      </c>
      <c r="K5" s="4">
        <f>J5/(1+I5)</f>
        <v>1.6605570810323071</v>
      </c>
      <c r="L5" s="17">
        <v>2.65</v>
      </c>
      <c r="M5" s="17">
        <f>L5/K5-1</f>
        <v>0.59584998930153765</v>
      </c>
      <c r="N5" s="20">
        <f>I5*(L5/M5)</f>
        <v>0.72146316810745281</v>
      </c>
      <c r="O5" s="2"/>
      <c r="P5" s="4">
        <v>18.260000000000002</v>
      </c>
      <c r="Q5" s="4">
        <v>45.27</v>
      </c>
      <c r="R5" s="4">
        <v>41.5</v>
      </c>
      <c r="S5" s="8">
        <f>((Q5-P5)-(R5-P5))/(R5-P5)</f>
        <v>0.1622203098106714</v>
      </c>
      <c r="AB5" s="63" t="s">
        <v>33</v>
      </c>
      <c r="AC5" s="63"/>
      <c r="AE5" s="26">
        <v>1.5429988866948463E-3</v>
      </c>
      <c r="AF5" s="26">
        <v>1.523467255218236E-3</v>
      </c>
      <c r="AG5" s="26">
        <v>1.5429988866912936E-3</v>
      </c>
      <c r="AH5" s="26">
        <v>1.5039356237309676E-3</v>
      </c>
      <c r="AI5" s="26">
        <v>1.5234672552253414E-3</v>
      </c>
      <c r="AJ5" s="30">
        <f>AVERAGE(AE5:AI5)</f>
        <v>1.5273735815121369E-3</v>
      </c>
      <c r="AK5" s="2"/>
      <c r="AL5" s="3">
        <f>K5</f>
        <v>1.6605570810323071</v>
      </c>
      <c r="AM5" s="27">
        <f>S5</f>
        <v>0.1622203098106714</v>
      </c>
      <c r="AN5" s="36">
        <f>AJ5</f>
        <v>1.5273735815121369E-3</v>
      </c>
      <c r="AO5" s="46">
        <f>N5</f>
        <v>0.72146316810745281</v>
      </c>
      <c r="AP5" s="47">
        <v>0.21</v>
      </c>
      <c r="AQ5" s="47">
        <v>100.71455670963222</v>
      </c>
    </row>
    <row r="6" spans="2:43" ht="19.25" customHeight="1" x14ac:dyDescent="0.45">
      <c r="B6" s="62"/>
      <c r="C6" s="4" t="s">
        <v>10</v>
      </c>
      <c r="D6" s="4" t="s">
        <v>2</v>
      </c>
      <c r="E6" s="4">
        <v>3573.4</v>
      </c>
      <c r="F6" s="3">
        <v>939.61803067669177</v>
      </c>
      <c r="G6" s="4">
        <v>5446.6</v>
      </c>
      <c r="H6" s="4">
        <f t="shared" ref="H6:H19" si="0">G6-E6</f>
        <v>1873.2000000000003</v>
      </c>
      <c r="I6" s="9">
        <f t="shared" ref="I6:I19" si="1">S6</f>
        <v>0.19980314960629944</v>
      </c>
      <c r="J6" s="4">
        <f t="shared" ref="J6:J19" si="2">H6/F6</f>
        <v>1.9935760477594962</v>
      </c>
      <c r="K6" s="4">
        <f t="shared" ref="K6:K19" si="3">J6/(1+I6)</f>
        <v>1.6615859430054534</v>
      </c>
      <c r="L6" s="17">
        <v>2.65</v>
      </c>
      <c r="M6" s="17">
        <f t="shared" ref="M6:M7" si="4">L6/K6-1</f>
        <v>0.59486183134573056</v>
      </c>
      <c r="N6" s="20">
        <f t="shared" ref="N6:N8" si="5">I6*(L6/M6)</f>
        <v>0.89008626635008214</v>
      </c>
      <c r="O6" s="2"/>
      <c r="P6" s="4">
        <v>17.77</v>
      </c>
      <c r="Q6" s="4">
        <v>54.34</v>
      </c>
      <c r="R6" s="4">
        <v>48.25</v>
      </c>
      <c r="S6" s="8">
        <f t="shared" ref="S6:S19" si="6">((Q6-P6)-(R6-P6))/(R6-P6)</f>
        <v>0.19980314960629944</v>
      </c>
      <c r="AB6" s="6" t="s">
        <v>31</v>
      </c>
      <c r="AC6" s="6" t="s">
        <v>32</v>
      </c>
      <c r="AE6" s="26">
        <v>2.8320865641906501E-3</v>
      </c>
      <c r="AF6" s="26">
        <v>2.8906814586200369E-3</v>
      </c>
      <c r="AG6" s="26">
        <v>2.851618195670369E-3</v>
      </c>
      <c r="AH6" s="26">
        <v>2.9688079845300308E-3</v>
      </c>
      <c r="AI6" s="26">
        <v>2.9102130900966472E-3</v>
      </c>
      <c r="AJ6" s="30">
        <f>AVERAGE(AE6:AI6)</f>
        <v>2.890681458621547E-3</v>
      </c>
      <c r="AK6" s="2"/>
      <c r="AL6" s="3">
        <f t="shared" ref="AL6:AL19" si="7">K6</f>
        <v>1.6615859430054534</v>
      </c>
      <c r="AM6" s="27">
        <f t="shared" ref="AM6:AM19" si="8">S6</f>
        <v>0.19980314960629944</v>
      </c>
      <c r="AN6" s="36">
        <f t="shared" ref="AN6:AN19" si="9">AJ6</f>
        <v>2.890681458621547E-3</v>
      </c>
      <c r="AO6" s="46">
        <f t="shared" ref="AO6:AO8" si="10">N6</f>
        <v>0.89008626635008214</v>
      </c>
      <c r="AP6" s="47">
        <v>0.215</v>
      </c>
      <c r="AQ6" s="47">
        <v>0.75816786595245822</v>
      </c>
    </row>
    <row r="7" spans="2:43" ht="19.25" customHeight="1" x14ac:dyDescent="0.45">
      <c r="B7" s="62"/>
      <c r="C7" s="4" t="s">
        <v>10</v>
      </c>
      <c r="D7" s="4" t="s">
        <v>3</v>
      </c>
      <c r="E7" s="4">
        <v>3575.8</v>
      </c>
      <c r="F7" s="3">
        <v>939.61803067669177</v>
      </c>
      <c r="G7" s="4">
        <v>5369.6</v>
      </c>
      <c r="H7" s="4">
        <f t="shared" si="0"/>
        <v>1793.8000000000002</v>
      </c>
      <c r="I7" s="9">
        <f t="shared" si="1"/>
        <v>0.26691858467880425</v>
      </c>
      <c r="J7" s="4">
        <f t="shared" si="2"/>
        <v>1.909073625064587</v>
      </c>
      <c r="K7" s="4">
        <f t="shared" si="3"/>
        <v>1.5068636991765223</v>
      </c>
      <c r="L7" s="17">
        <v>2.65</v>
      </c>
      <c r="M7" s="17">
        <f t="shared" si="4"/>
        <v>0.75861957617545905</v>
      </c>
      <c r="N7" s="20">
        <f t="shared" si="5"/>
        <v>0.93239651547725655</v>
      </c>
      <c r="O7" s="2"/>
      <c r="P7" s="4">
        <v>19.059999999999999</v>
      </c>
      <c r="Q7" s="4">
        <v>55.94</v>
      </c>
      <c r="R7" s="4">
        <v>48.17</v>
      </c>
      <c r="S7" s="8">
        <f t="shared" si="6"/>
        <v>0.26691858467880425</v>
      </c>
      <c r="AB7" s="20">
        <v>0.18099999999999999</v>
      </c>
      <c r="AC7" s="25">
        <v>1.67</v>
      </c>
      <c r="AE7" s="26">
        <v>3.1836559307798495E-3</v>
      </c>
      <c r="AF7" s="26">
        <v>3.0469345104400247E-3</v>
      </c>
      <c r="AG7" s="26">
        <v>3.2422508252167859E-3</v>
      </c>
      <c r="AH7" s="26">
        <v>3.0274028789705199E-3</v>
      </c>
      <c r="AI7" s="3"/>
      <c r="AJ7" s="30">
        <f>AVERAGE(AE7:AI7)</f>
        <v>3.125061036351795E-3</v>
      </c>
      <c r="AK7" s="2"/>
      <c r="AL7" s="3">
        <f t="shared" si="7"/>
        <v>1.5068636991765223</v>
      </c>
      <c r="AM7" s="27">
        <f t="shared" si="8"/>
        <v>0.26691858467880425</v>
      </c>
      <c r="AN7" s="36">
        <f t="shared" si="9"/>
        <v>3.125061036351795E-3</v>
      </c>
      <c r="AO7" s="46">
        <f t="shared" si="10"/>
        <v>0.93239651547725655</v>
      </c>
      <c r="AP7" s="47">
        <v>0.215</v>
      </c>
      <c r="AQ7" s="47">
        <v>0.32720703518982408</v>
      </c>
    </row>
    <row r="8" spans="2:43" ht="19.25" customHeight="1" x14ac:dyDescent="0.45">
      <c r="B8" s="62"/>
      <c r="C8" s="4" t="s">
        <v>10</v>
      </c>
      <c r="D8" s="4" t="s">
        <v>4</v>
      </c>
      <c r="E8" s="4">
        <v>3981.6</v>
      </c>
      <c r="F8" s="3">
        <v>939.61803067669177</v>
      </c>
      <c r="G8" s="4">
        <v>5634.4</v>
      </c>
      <c r="H8" s="4">
        <f>G8-E8</f>
        <v>1652.7999999999997</v>
      </c>
      <c r="I8" s="9">
        <f t="shared" si="1"/>
        <v>0.11699064074874009</v>
      </c>
      <c r="J8" s="4">
        <f t="shared" si="2"/>
        <v>1.7590126477348358</v>
      </c>
      <c r="K8" s="4">
        <f t="shared" si="3"/>
        <v>1.5747783227223249</v>
      </c>
      <c r="L8" s="17">
        <v>2.65</v>
      </c>
      <c r="M8" s="17">
        <f>L8/K8-1</f>
        <v>0.68277652909200293</v>
      </c>
      <c r="N8" s="20">
        <f t="shared" si="5"/>
        <v>0.45406540028031028</v>
      </c>
      <c r="O8" s="2"/>
      <c r="P8" s="4">
        <v>18.47</v>
      </c>
      <c r="Q8" s="4">
        <v>49.5</v>
      </c>
      <c r="R8" s="4">
        <v>46.25</v>
      </c>
      <c r="S8" s="8">
        <f t="shared" si="6"/>
        <v>0.11699064074874009</v>
      </c>
      <c r="AE8" s="26">
        <v>1.6211254126066166E-3</v>
      </c>
      <c r="AF8" s="26">
        <v>1.6015937811282299E-3</v>
      </c>
      <c r="AG8" s="26">
        <v>1.6015937811282299E-3</v>
      </c>
      <c r="AH8" s="26">
        <v>1.6015937811317826E-3</v>
      </c>
      <c r="AI8" s="26">
        <v>1.5820621496516196E-3</v>
      </c>
      <c r="AJ8" s="30">
        <f>AVERAGE(AE8:AI8)</f>
        <v>1.6015937811292957E-3</v>
      </c>
      <c r="AL8" s="32">
        <f t="shared" si="7"/>
        <v>1.5747783227223249</v>
      </c>
      <c r="AM8" s="27">
        <f t="shared" si="8"/>
        <v>0.11699064074874009</v>
      </c>
      <c r="AN8" s="37">
        <f t="shared" si="9"/>
        <v>1.6015937811292957E-3</v>
      </c>
      <c r="AO8" s="46">
        <f t="shared" si="10"/>
        <v>0.45406540028031028</v>
      </c>
      <c r="AP8" s="47">
        <v>0.18</v>
      </c>
      <c r="AQ8" s="47">
        <v>77.674196234164967</v>
      </c>
    </row>
    <row r="9" spans="2:43" ht="67.900000000000006" customHeight="1" x14ac:dyDescent="0.45">
      <c r="B9" s="16"/>
      <c r="C9" s="2"/>
      <c r="D9" s="2"/>
      <c r="E9" s="2"/>
      <c r="G9" s="2"/>
      <c r="H9" s="2"/>
      <c r="I9" s="11"/>
      <c r="J9" s="2"/>
      <c r="K9" s="2"/>
      <c r="L9" s="2"/>
      <c r="M9" s="2"/>
      <c r="N9" s="2"/>
      <c r="O9" s="2"/>
      <c r="P9" s="2"/>
      <c r="Q9" s="2"/>
      <c r="R9" s="2"/>
      <c r="S9" s="12"/>
      <c r="AL9" s="34"/>
      <c r="AM9" s="35"/>
      <c r="AN9" s="34"/>
    </row>
    <row r="10" spans="2:43" ht="19.25" customHeight="1" x14ac:dyDescent="0.45">
      <c r="B10" s="62" t="s">
        <v>26</v>
      </c>
      <c r="C10" s="4" t="s">
        <v>26</v>
      </c>
      <c r="D10" s="4" t="s">
        <v>5</v>
      </c>
      <c r="E10" s="4">
        <v>3557</v>
      </c>
      <c r="F10" s="3">
        <v>939.61803067669177</v>
      </c>
      <c r="G10" s="4">
        <v>5367.4</v>
      </c>
      <c r="H10" s="4">
        <f t="shared" si="0"/>
        <v>1810.3999999999996</v>
      </c>
      <c r="I10" s="9">
        <f t="shared" si="1"/>
        <v>0.10631793478260841</v>
      </c>
      <c r="J10" s="4">
        <f t="shared" si="2"/>
        <v>1.9267403784239754</v>
      </c>
      <c r="K10" s="4">
        <f t="shared" si="3"/>
        <v>1.741579267448629</v>
      </c>
      <c r="L10" s="17">
        <v>2.65</v>
      </c>
      <c r="M10" s="17">
        <f>L10/K10-1</f>
        <v>0.52160745682404963</v>
      </c>
      <c r="N10" s="20">
        <f>I10*(L10/M10)</f>
        <v>0.54014282865007168</v>
      </c>
      <c r="O10" s="2"/>
      <c r="P10" s="4">
        <v>18.84</v>
      </c>
      <c r="Q10" s="4">
        <v>51.41</v>
      </c>
      <c r="R10" s="4">
        <v>48.28</v>
      </c>
      <c r="S10" s="10">
        <f t="shared" si="6"/>
        <v>0.10631793478260841</v>
      </c>
      <c r="AB10" s="63" t="s">
        <v>33</v>
      </c>
      <c r="AC10" s="63"/>
      <c r="AE10" s="26">
        <v>1.1914295201123082E-3</v>
      </c>
      <c r="AF10" s="26">
        <v>1.2109611515853658E-3</v>
      </c>
      <c r="AG10" s="26">
        <v>1.2890876774935833E-3</v>
      </c>
      <c r="AH10" s="26">
        <v>1.2500244145385864E-3</v>
      </c>
      <c r="AI10" s="26">
        <v>1.1523662571590876E-3</v>
      </c>
      <c r="AJ10" s="31">
        <f>AVERAGE(AG10:AH10)</f>
        <v>1.2695560460160848E-3</v>
      </c>
      <c r="AL10" s="33">
        <f t="shared" si="7"/>
        <v>1.741579267448629</v>
      </c>
      <c r="AM10" s="27">
        <f t="shared" si="8"/>
        <v>0.10631793478260841</v>
      </c>
      <c r="AN10" s="38">
        <f t="shared" si="9"/>
        <v>1.2695560460160848E-3</v>
      </c>
      <c r="AO10" s="46">
        <f t="shared" ref="AO10" si="11">N10</f>
        <v>0.54014282865007168</v>
      </c>
      <c r="AP10" s="47">
        <v>0.19</v>
      </c>
      <c r="AQ10" s="47">
        <v>269.20592640339328</v>
      </c>
    </row>
    <row r="11" spans="2:43" ht="19.25" customHeight="1" x14ac:dyDescent="0.45">
      <c r="B11" s="62"/>
      <c r="C11" s="4" t="s">
        <v>26</v>
      </c>
      <c r="D11" s="4" t="s">
        <v>6</v>
      </c>
      <c r="E11" s="4">
        <v>3580.8</v>
      </c>
      <c r="F11" s="3">
        <v>939.61803067669177</v>
      </c>
      <c r="G11" s="4">
        <v>5506.4</v>
      </c>
      <c r="H11" s="4">
        <f t="shared" si="0"/>
        <v>1925.5999999999995</v>
      </c>
      <c r="I11" s="9">
        <f t="shared" si="1"/>
        <v>0.14524886877828025</v>
      </c>
      <c r="J11" s="4">
        <f t="shared" si="2"/>
        <v>2.0493433896891333</v>
      </c>
      <c r="K11" s="4">
        <f t="shared" si="3"/>
        <v>1.7894306168364227</v>
      </c>
      <c r="L11" s="17">
        <v>2.65</v>
      </c>
      <c r="M11" s="17">
        <f t="shared" ref="M11:M14" si="12">L11/K11-1</f>
        <v>0.4809179942863604</v>
      </c>
      <c r="N11" s="20">
        <f t="shared" ref="N11:N14" si="13">I11*(L11/M11)</f>
        <v>0.80036410954764581</v>
      </c>
      <c r="O11" s="2"/>
      <c r="P11" s="4">
        <v>14.74</v>
      </c>
      <c r="Q11" s="4">
        <v>40.049999999999997</v>
      </c>
      <c r="R11" s="4">
        <v>36.840000000000003</v>
      </c>
      <c r="S11" s="10">
        <f t="shared" si="6"/>
        <v>0.14524886877828025</v>
      </c>
      <c r="AB11" s="6" t="s">
        <v>31</v>
      </c>
      <c r="AC11" s="6" t="s">
        <v>32</v>
      </c>
      <c r="AE11" s="26">
        <v>1.2695560460187494E-3</v>
      </c>
      <c r="AF11" s="26">
        <v>1.2695560460151967E-3</v>
      </c>
      <c r="AG11" s="26">
        <v>1.2500244145385864E-3</v>
      </c>
      <c r="AH11" s="26">
        <v>1.2304927830655288E-3</v>
      </c>
      <c r="AI11" s="3"/>
      <c r="AJ11" s="30">
        <f>AVERAGE(AE11:AI11)</f>
        <v>1.2549073224095153E-3</v>
      </c>
      <c r="AL11" s="3">
        <f t="shared" si="7"/>
        <v>1.7894306168364227</v>
      </c>
      <c r="AM11" s="27">
        <f t="shared" si="8"/>
        <v>0.14524886877828025</v>
      </c>
      <c r="AN11" s="36">
        <f t="shared" si="9"/>
        <v>1.2549073224095153E-3</v>
      </c>
      <c r="AO11" s="46">
        <f t="shared" ref="AO11:AO14" si="14">N11</f>
        <v>0.80036410954764581</v>
      </c>
      <c r="AP11" s="47">
        <v>0.215</v>
      </c>
      <c r="AQ11" s="47">
        <v>283.13080849310757</v>
      </c>
    </row>
    <row r="12" spans="2:43" ht="19.25" customHeight="1" x14ac:dyDescent="0.45">
      <c r="B12" s="62"/>
      <c r="C12" s="4" t="s">
        <v>26</v>
      </c>
      <c r="D12" s="4" t="s">
        <v>7</v>
      </c>
      <c r="E12" s="4">
        <v>3594.6</v>
      </c>
      <c r="F12" s="3">
        <v>939.61803067669177</v>
      </c>
      <c r="G12" s="4">
        <v>5571.6</v>
      </c>
      <c r="H12" s="4">
        <f t="shared" si="0"/>
        <v>1977.0000000000005</v>
      </c>
      <c r="I12" s="9">
        <f t="shared" si="1"/>
        <v>0.16490566037735838</v>
      </c>
      <c r="J12" s="4">
        <f t="shared" si="2"/>
        <v>2.1040464693682064</v>
      </c>
      <c r="K12" s="4">
        <f t="shared" si="3"/>
        <v>1.8061947339895521</v>
      </c>
      <c r="L12" s="17">
        <v>2.65</v>
      </c>
      <c r="M12" s="17">
        <f>L12/K12-1</f>
        <v>0.46717291891701906</v>
      </c>
      <c r="N12" s="20">
        <f t="shared" si="13"/>
        <v>0.93541380997219403</v>
      </c>
      <c r="O12" s="2"/>
      <c r="P12" s="4">
        <v>19.059999999999999</v>
      </c>
      <c r="Q12" s="4">
        <v>49.93</v>
      </c>
      <c r="R12" s="4">
        <v>45.56</v>
      </c>
      <c r="S12" s="10">
        <f t="shared" si="6"/>
        <v>0.16490566037735838</v>
      </c>
      <c r="AB12" s="20">
        <v>0.15</v>
      </c>
      <c r="AC12" s="25">
        <v>1.7949999999999999</v>
      </c>
      <c r="AE12" s="26">
        <v>1.4844039922650154E-3</v>
      </c>
      <c r="AF12" s="26">
        <v>1.4648723607919578E-3</v>
      </c>
      <c r="AG12" s="26">
        <v>1.4648723607919578E-3</v>
      </c>
      <c r="AH12" s="26">
        <v>1.4453407293189002E-3</v>
      </c>
      <c r="AI12" s="26">
        <v>1.4648723607990632E-3</v>
      </c>
      <c r="AJ12" s="30">
        <f>AVERAGE(AE12:AI12)</f>
        <v>1.464872360793379E-3</v>
      </c>
      <c r="AL12" s="3">
        <f t="shared" si="7"/>
        <v>1.8061947339895521</v>
      </c>
      <c r="AM12" s="27">
        <f t="shared" si="8"/>
        <v>0.16490566037735838</v>
      </c>
      <c r="AN12" s="36">
        <f t="shared" si="9"/>
        <v>1.464872360793379E-3</v>
      </c>
      <c r="AO12" s="46">
        <f t="shared" si="14"/>
        <v>0.93541380997219403</v>
      </c>
      <c r="AP12" s="47">
        <v>0.215</v>
      </c>
      <c r="AQ12" s="47">
        <v>127.56596110477381</v>
      </c>
    </row>
    <row r="13" spans="2:43" ht="19.25" customHeight="1" x14ac:dyDescent="0.45">
      <c r="B13" s="62"/>
      <c r="C13" s="4" t="s">
        <v>26</v>
      </c>
      <c r="D13" s="4" t="s">
        <v>27</v>
      </c>
      <c r="E13" s="4">
        <v>3625.2</v>
      </c>
      <c r="F13" s="3">
        <v>939.61803067669177</v>
      </c>
      <c r="G13" s="4">
        <v>5317</v>
      </c>
      <c r="H13" s="4">
        <f t="shared" si="0"/>
        <v>1691.8000000000002</v>
      </c>
      <c r="I13" s="9">
        <f t="shared" si="1"/>
        <v>7.9882740930743851E-2</v>
      </c>
      <c r="J13" s="4">
        <f t="shared" si="2"/>
        <v>1.800518875506895</v>
      </c>
      <c r="K13" s="4">
        <f t="shared" si="3"/>
        <v>1.6673281341222654</v>
      </c>
      <c r="L13" s="17">
        <v>2.65</v>
      </c>
      <c r="M13" s="17">
        <f t="shared" si="12"/>
        <v>0.58936921039543555</v>
      </c>
      <c r="N13" s="20">
        <f t="shared" si="13"/>
        <v>0.35917937301889064</v>
      </c>
      <c r="O13" s="2"/>
      <c r="P13" s="4">
        <v>19.02</v>
      </c>
      <c r="Q13" s="4">
        <v>48.49</v>
      </c>
      <c r="R13" s="4">
        <v>46.31</v>
      </c>
      <c r="S13" s="10">
        <f t="shared" si="6"/>
        <v>7.9882740930743851E-2</v>
      </c>
      <c r="AE13" s="26">
        <v>1.2109611515853658E-3</v>
      </c>
      <c r="AF13" s="26">
        <v>1.2109611515853658E-3</v>
      </c>
      <c r="AG13" s="26">
        <v>1.3867458348792994E-3</v>
      </c>
      <c r="AH13" s="26">
        <v>1.2109611515853658E-3</v>
      </c>
      <c r="AI13" s="26">
        <v>1.1914295201052028E-3</v>
      </c>
      <c r="AJ13" s="30">
        <f>AVERAGE(AF13:AG13)</f>
        <v>1.2988534932323326E-3</v>
      </c>
      <c r="AL13" s="3">
        <f t="shared" si="7"/>
        <v>1.6673281341222654</v>
      </c>
      <c r="AM13" s="27">
        <f t="shared" si="8"/>
        <v>7.9882740930743851E-2</v>
      </c>
      <c r="AN13" s="36">
        <f t="shared" si="9"/>
        <v>1.2988534932323326E-3</v>
      </c>
      <c r="AO13" s="46">
        <f t="shared" si="14"/>
        <v>0.35917937301889064</v>
      </c>
      <c r="AP13" s="47">
        <v>0.17499999999999999</v>
      </c>
      <c r="AQ13" s="47">
        <v>241.60329115998658</v>
      </c>
    </row>
    <row r="14" spans="2:43" ht="19.25" customHeight="1" x14ac:dyDescent="0.45">
      <c r="B14" s="62"/>
      <c r="C14" s="4" t="s">
        <v>26</v>
      </c>
      <c r="D14" s="4" t="s">
        <v>27</v>
      </c>
      <c r="E14" s="4">
        <v>3625.2</v>
      </c>
      <c r="F14" s="3">
        <v>939.61803067669177</v>
      </c>
      <c r="G14" s="4">
        <v>5409.4</v>
      </c>
      <c r="H14" s="4">
        <f>G14-E14</f>
        <v>1784.1999999999998</v>
      </c>
      <c r="I14" s="9">
        <f>S14</f>
        <v>0.22849968612680469</v>
      </c>
      <c r="J14" s="4">
        <f>H14/F14</f>
        <v>1.8988567074591567</v>
      </c>
      <c r="K14" s="4">
        <f>J14/(1+I14)</f>
        <v>1.5456713004509131</v>
      </c>
      <c r="L14" s="17">
        <v>2.65</v>
      </c>
      <c r="M14" s="17">
        <f t="shared" si="12"/>
        <v>0.71446542303459015</v>
      </c>
      <c r="N14" s="20">
        <f t="shared" si="13"/>
        <v>0.84752060591561551</v>
      </c>
      <c r="O14" s="2"/>
      <c r="P14" s="4">
        <v>19.559999999999999</v>
      </c>
      <c r="Q14" s="4">
        <v>58.7</v>
      </c>
      <c r="R14" s="4">
        <v>51.42</v>
      </c>
      <c r="S14" s="10">
        <f>((Q14-P14)-(R14-P14))/(R14-P14)</f>
        <v>0.22849968612680469</v>
      </c>
      <c r="AE14" s="26">
        <v>2.2461376198754657E-3</v>
      </c>
      <c r="AF14" s="26">
        <v>1.7578468329464414E-3</v>
      </c>
      <c r="AG14" s="26">
        <v>1.6406570440814505E-3</v>
      </c>
      <c r="AH14" s="26">
        <v>1.6406570440850032E-3</v>
      </c>
      <c r="AI14" s="26">
        <v>1.6015937811282299E-3</v>
      </c>
      <c r="AJ14" s="30">
        <f>AVERAGE(AE14:AI14)</f>
        <v>1.7773784644233182E-3</v>
      </c>
      <c r="AL14" s="32">
        <f t="shared" si="7"/>
        <v>1.5456713004509131</v>
      </c>
      <c r="AM14" s="27">
        <f t="shared" si="8"/>
        <v>0.22849968612680469</v>
      </c>
      <c r="AN14" s="37">
        <f t="shared" si="9"/>
        <v>1.7773784644233182E-3</v>
      </c>
      <c r="AO14" s="46">
        <f t="shared" si="14"/>
        <v>0.84752060591561551</v>
      </c>
      <c r="AP14" s="47">
        <v>0.215</v>
      </c>
      <c r="AQ14" s="47">
        <v>41.043405804825191</v>
      </c>
    </row>
    <row r="15" spans="2:43" ht="67.900000000000006" customHeight="1" x14ac:dyDescent="0.45">
      <c r="AL15" s="34"/>
      <c r="AM15" s="35"/>
      <c r="AN15" s="39"/>
      <c r="AO15" s="41"/>
      <c r="AP15" s="41"/>
      <c r="AQ15" s="41"/>
    </row>
    <row r="16" spans="2:43" ht="19.25" customHeight="1" x14ac:dyDescent="0.45">
      <c r="B16" s="62" t="s">
        <v>30</v>
      </c>
      <c r="C16" s="4" t="s">
        <v>28</v>
      </c>
      <c r="D16" s="4" t="s">
        <v>1</v>
      </c>
      <c r="E16" s="4">
        <v>3579</v>
      </c>
      <c r="F16" s="3">
        <v>939.61803067669177</v>
      </c>
      <c r="G16" s="4">
        <v>5397</v>
      </c>
      <c r="H16" s="4">
        <f t="shared" si="0"/>
        <v>1818</v>
      </c>
      <c r="I16" s="9">
        <f t="shared" si="1"/>
        <v>9.0436590436590164E-2</v>
      </c>
      <c r="J16" s="4">
        <f t="shared" si="2"/>
        <v>1.9348287715282744</v>
      </c>
      <c r="K16" s="4">
        <f t="shared" si="3"/>
        <v>1.7743615616875121</v>
      </c>
      <c r="L16" s="17">
        <v>2.65</v>
      </c>
      <c r="M16" s="17">
        <f>L16/K16-1</f>
        <v>0.4934949320473947</v>
      </c>
      <c r="N16" s="20">
        <f>I16*(L16/M16)</f>
        <v>0.48563206852537144</v>
      </c>
      <c r="P16" s="4">
        <v>18.39</v>
      </c>
      <c r="Q16" s="4">
        <v>39.369999999999997</v>
      </c>
      <c r="R16" s="4">
        <v>37.630000000000003</v>
      </c>
      <c r="S16" s="10">
        <f>((Q16-P16)-(R16-P16))/(R16-P16)</f>
        <v>9.0436590436590164E-2</v>
      </c>
      <c r="AB16" s="63" t="s">
        <v>33</v>
      </c>
      <c r="AC16" s="63"/>
      <c r="AE16" s="26">
        <v>1.2695560460187494E-3</v>
      </c>
      <c r="AF16" s="26">
        <v>1.1914295201123082E-3</v>
      </c>
      <c r="AG16" s="26">
        <v>1.2109611515853658E-3</v>
      </c>
      <c r="AH16" s="26">
        <v>1.1914295201052028E-3</v>
      </c>
      <c r="AI16" s="26">
        <v>1.1718978886250397E-3</v>
      </c>
      <c r="AJ16" s="30">
        <f>AVERAGE(AE16:AI16)</f>
        <v>1.2070548252893331E-3</v>
      </c>
      <c r="AL16" s="33">
        <f t="shared" si="7"/>
        <v>1.7743615616875121</v>
      </c>
      <c r="AM16" s="27">
        <f t="shared" si="8"/>
        <v>9.0436590436590164E-2</v>
      </c>
      <c r="AN16" s="38">
        <f t="shared" si="9"/>
        <v>1.2070548252893331E-3</v>
      </c>
      <c r="AO16" s="46">
        <f t="shared" ref="AO16:AO19" si="15">N16</f>
        <v>0.48563206852537144</v>
      </c>
      <c r="AP16" s="47">
        <v>0.185</v>
      </c>
      <c r="AQ16" s="47">
        <v>349.3458640206116</v>
      </c>
    </row>
    <row r="17" spans="2:43" ht="19.25" customHeight="1" x14ac:dyDescent="0.45">
      <c r="B17" s="62"/>
      <c r="C17" s="4" t="s">
        <v>28</v>
      </c>
      <c r="D17" s="4" t="s">
        <v>2</v>
      </c>
      <c r="E17" s="4">
        <v>3573.4</v>
      </c>
      <c r="F17" s="3">
        <v>939.61803067669177</v>
      </c>
      <c r="G17" s="4">
        <v>5541.8</v>
      </c>
      <c r="H17" s="4">
        <f t="shared" si="0"/>
        <v>1968.4</v>
      </c>
      <c r="I17" s="9">
        <f t="shared" si="1"/>
        <v>0.1508515815085158</v>
      </c>
      <c r="J17" s="4">
        <f t="shared" si="2"/>
        <v>2.094893814013342</v>
      </c>
      <c r="K17" s="4">
        <f t="shared" si="3"/>
        <v>1.8202988531912971</v>
      </c>
      <c r="L17" s="17">
        <v>2.65</v>
      </c>
      <c r="M17" s="17">
        <f>L17/K17-1</f>
        <v>0.45580490552641617</v>
      </c>
      <c r="N17" s="20">
        <f>I17*(L17/M17)</f>
        <v>0.87703463949314364</v>
      </c>
      <c r="P17" s="4">
        <v>19.03</v>
      </c>
      <c r="Q17" s="4">
        <v>47.41</v>
      </c>
      <c r="R17" s="4">
        <v>43.69</v>
      </c>
      <c r="S17" s="10">
        <f t="shared" si="6"/>
        <v>0.1508515815085158</v>
      </c>
      <c r="AB17" s="6" t="s">
        <v>31</v>
      </c>
      <c r="AC17" s="6" t="s">
        <v>32</v>
      </c>
      <c r="AE17" s="26">
        <v>1.0937713627185985E-3</v>
      </c>
      <c r="AF17" s="26">
        <v>1.1914295201123082E-3</v>
      </c>
      <c r="AG17" s="26">
        <v>1.074239731245541E-3</v>
      </c>
      <c r="AH17" s="26">
        <v>1.0742397312384355E-3</v>
      </c>
      <c r="AI17" s="26">
        <v>1.0742397312526464E-3</v>
      </c>
      <c r="AJ17" s="30">
        <f>AVERAGE(AE17:AI17)</f>
        <v>1.101584015313506E-3</v>
      </c>
      <c r="AL17" s="3">
        <f t="shared" si="7"/>
        <v>1.8202988531912971</v>
      </c>
      <c r="AM17" s="27">
        <f t="shared" si="8"/>
        <v>0.1508515815085158</v>
      </c>
      <c r="AN17" s="36">
        <f t="shared" si="9"/>
        <v>1.101584015313506E-3</v>
      </c>
      <c r="AO17" s="46">
        <f t="shared" si="15"/>
        <v>0.87703463949314364</v>
      </c>
      <c r="AP17" s="47">
        <v>0.215</v>
      </c>
      <c r="AQ17" s="47">
        <v>562.17161141874726</v>
      </c>
    </row>
    <row r="18" spans="2:43" ht="19.25" customHeight="1" x14ac:dyDescent="0.45">
      <c r="B18" s="62"/>
      <c r="C18" s="4" t="s">
        <v>28</v>
      </c>
      <c r="D18" s="4" t="s">
        <v>3</v>
      </c>
      <c r="E18" s="4">
        <v>3575.8</v>
      </c>
      <c r="F18" s="3">
        <v>939.61803067669177</v>
      </c>
      <c r="G18" s="4">
        <v>5540.4</v>
      </c>
      <c r="H18" s="4">
        <f t="shared" si="0"/>
        <v>1964.5999999999995</v>
      </c>
      <c r="I18" s="9">
        <f t="shared" si="1"/>
        <v>0.18550811785929003</v>
      </c>
      <c r="J18" s="4">
        <f t="shared" si="2"/>
        <v>2.0908496174611919</v>
      </c>
      <c r="K18" s="4">
        <f t="shared" si="3"/>
        <v>1.7636738086928547</v>
      </c>
      <c r="L18" s="17">
        <v>2.65</v>
      </c>
      <c r="M18" s="17">
        <f>L18/K18-1</f>
        <v>0.50254541794440155</v>
      </c>
      <c r="N18" s="20">
        <f>I18*(L18/M18)</f>
        <v>0.97821310228622105</v>
      </c>
      <c r="P18" s="4">
        <v>18.98</v>
      </c>
      <c r="Q18" s="4">
        <v>58.41</v>
      </c>
      <c r="R18" s="4">
        <v>52.24</v>
      </c>
      <c r="S18" s="10">
        <f t="shared" si="6"/>
        <v>0.18550811785929003</v>
      </c>
      <c r="AB18" s="20">
        <v>0.14499999999999999</v>
      </c>
      <c r="AC18" s="25">
        <v>1.82</v>
      </c>
      <c r="AE18" s="26">
        <v>1.4258090978351845E-3</v>
      </c>
      <c r="AF18" s="26">
        <v>1.3867458348855166E-3</v>
      </c>
      <c r="AG18" s="26">
        <v>1.4062774663585742E-3</v>
      </c>
      <c r="AH18" s="26">
        <v>1.4062774663514688E-3</v>
      </c>
      <c r="AI18" s="26">
        <v>1.3672142033982482E-3</v>
      </c>
      <c r="AJ18" s="30">
        <f>AVERAGE(AE18:AI18)</f>
        <v>1.3984648137657985E-3</v>
      </c>
      <c r="AL18" s="3">
        <f t="shared" si="7"/>
        <v>1.7636738086928547</v>
      </c>
      <c r="AM18" s="27">
        <f t="shared" si="8"/>
        <v>0.18550811785929003</v>
      </c>
      <c r="AN18" s="36">
        <f t="shared" si="9"/>
        <v>1.3984648137657985E-3</v>
      </c>
      <c r="AO18" s="46">
        <f t="shared" si="15"/>
        <v>0.97821310228622105</v>
      </c>
      <c r="AP18" s="47">
        <v>0.215</v>
      </c>
      <c r="AQ18" s="47">
        <v>164.15237412481562</v>
      </c>
    </row>
    <row r="19" spans="2:43" ht="19.25" customHeight="1" x14ac:dyDescent="0.45">
      <c r="B19" s="62"/>
      <c r="C19" s="4" t="s">
        <v>28</v>
      </c>
      <c r="D19" s="4" t="s">
        <v>4</v>
      </c>
      <c r="E19" s="4">
        <v>3981.6</v>
      </c>
      <c r="F19" s="3">
        <v>939.618030676692</v>
      </c>
      <c r="G19" s="4">
        <v>5872.2</v>
      </c>
      <c r="H19" s="4">
        <f t="shared" si="0"/>
        <v>1890.6</v>
      </c>
      <c r="I19" s="9">
        <f t="shared" si="1"/>
        <v>0.22477693891557984</v>
      </c>
      <c r="J19" s="4">
        <f t="shared" si="2"/>
        <v>2.0120942109193369</v>
      </c>
      <c r="K19" s="4">
        <f t="shared" si="3"/>
        <v>1.642825029593429</v>
      </c>
      <c r="L19" s="17">
        <v>2.65</v>
      </c>
      <c r="M19" s="17">
        <f>L19/K19-1</f>
        <v>0.61307500936714443</v>
      </c>
      <c r="N19" s="20">
        <f>I19*(L19/M19)</f>
        <v>0.97159218533661007</v>
      </c>
      <c r="P19" s="4">
        <v>19.18</v>
      </c>
      <c r="Q19" s="4">
        <v>54.87</v>
      </c>
      <c r="R19" s="4">
        <v>48.32</v>
      </c>
      <c r="S19" s="10">
        <f t="shared" si="6"/>
        <v>0.22477693891557984</v>
      </c>
      <c r="AE19" s="26">
        <v>2.5195804605502303E-3</v>
      </c>
      <c r="AF19" s="26">
        <v>2.4414539346508946E-3</v>
      </c>
      <c r="AG19" s="26">
        <v>2.2461376198776861E-3</v>
      </c>
      <c r="AH19" s="26">
        <v>2.1289478310109189E-3</v>
      </c>
      <c r="AI19" s="26">
        <v>2.1680110939570341E-3</v>
      </c>
      <c r="AJ19" s="30">
        <f>AVERAGE(AE19:AI19)</f>
        <v>2.3008261880093526E-3</v>
      </c>
      <c r="AL19" s="3">
        <f t="shared" si="7"/>
        <v>1.642825029593429</v>
      </c>
      <c r="AM19" s="27">
        <f t="shared" si="8"/>
        <v>0.22477693891557984</v>
      </c>
      <c r="AN19" s="36">
        <f t="shared" si="9"/>
        <v>2.3008261880093526E-3</v>
      </c>
      <c r="AO19" s="46">
        <f t="shared" si="15"/>
        <v>0.97159218533661007</v>
      </c>
      <c r="AP19" s="47">
        <v>0.215</v>
      </c>
      <c r="AQ19" s="47">
        <v>6.283543183542128</v>
      </c>
    </row>
    <row r="40" spans="19:19" x14ac:dyDescent="0.45">
      <c r="S40" s="13"/>
    </row>
    <row r="41" spans="19:19" x14ac:dyDescent="0.45">
      <c r="S41" s="13"/>
    </row>
  </sheetData>
  <mergeCells count="10">
    <mergeCell ref="AL2:AQ2"/>
    <mergeCell ref="AE2:AJ2"/>
    <mergeCell ref="B16:B19"/>
    <mergeCell ref="AB5:AC5"/>
    <mergeCell ref="AB10:AC10"/>
    <mergeCell ref="AB16:AC16"/>
    <mergeCell ref="P2:S2"/>
    <mergeCell ref="B5:B8"/>
    <mergeCell ref="B10:B14"/>
    <mergeCell ref="C2:N2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2D8F-1551-452B-8DFC-26D22F2365B9}">
  <dimension ref="B2:AQ24"/>
  <sheetViews>
    <sheetView zoomScale="70" zoomScaleNormal="70" workbookViewId="0">
      <selection activeCell="K26" sqref="K26"/>
    </sheetView>
  </sheetViews>
  <sheetFormatPr defaultColWidth="9" defaultRowHeight="14.25" x14ac:dyDescent="0.45"/>
  <cols>
    <col min="1" max="1" width="9" style="1" customWidth="1"/>
    <col min="2" max="2" width="4.19921875" style="1" customWidth="1"/>
    <col min="3" max="3" width="10.1328125" style="1" customWidth="1"/>
    <col min="4" max="4" width="9" style="1"/>
    <col min="5" max="6" width="9.1328125" style="1" bestFit="1" customWidth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10" style="1" customWidth="1"/>
    <col min="15" max="15" width="8.53125" style="1" customWidth="1"/>
    <col min="16" max="16" width="8.1328125" style="1" customWidth="1"/>
    <col min="17" max="17" width="12.1328125" style="1" customWidth="1"/>
    <col min="18" max="18" width="11.1328125" style="1" customWidth="1"/>
    <col min="19" max="19" width="9.33203125" style="1" bestFit="1" customWidth="1"/>
    <col min="20" max="26" width="9" style="1"/>
    <col min="27" max="27" width="6.3984375" style="1" customWidth="1"/>
    <col min="28" max="29" width="12.53125" style="1" customWidth="1"/>
    <col min="30" max="16384" width="9" style="1"/>
  </cols>
  <sheetData>
    <row r="2" spans="2:43" x14ac:dyDescent="0.45">
      <c r="C2" s="61" t="s">
        <v>16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2"/>
      <c r="P2" s="61" t="s">
        <v>11</v>
      </c>
      <c r="Q2" s="61"/>
      <c r="R2" s="61"/>
      <c r="S2" s="61"/>
      <c r="AE2" s="61" t="s">
        <v>60</v>
      </c>
      <c r="AF2" s="61"/>
      <c r="AG2" s="61"/>
      <c r="AH2" s="61"/>
      <c r="AI2" s="61"/>
      <c r="AJ2" s="61"/>
      <c r="AL2" s="64" t="s">
        <v>59</v>
      </c>
      <c r="AM2" s="65"/>
      <c r="AN2" s="65"/>
      <c r="AO2" s="65"/>
      <c r="AP2" s="65"/>
      <c r="AQ2" s="65"/>
    </row>
    <row r="3" spans="2:43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7" t="s">
        <v>47</v>
      </c>
      <c r="M3" s="7" t="s">
        <v>48</v>
      </c>
      <c r="N3" s="7" t="s">
        <v>49</v>
      </c>
      <c r="O3" s="2"/>
      <c r="P3" s="6" t="s">
        <v>18</v>
      </c>
      <c r="Q3" s="6" t="s">
        <v>24</v>
      </c>
      <c r="R3" s="6" t="s">
        <v>25</v>
      </c>
      <c r="S3" s="6" t="s">
        <v>11</v>
      </c>
      <c r="AE3" s="6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L3" s="7" t="s">
        <v>13</v>
      </c>
      <c r="AM3" s="6" t="s">
        <v>11</v>
      </c>
      <c r="AN3" s="6" t="s">
        <v>40</v>
      </c>
      <c r="AO3" s="6" t="s">
        <v>49</v>
      </c>
      <c r="AP3" s="6" t="s">
        <v>54</v>
      </c>
      <c r="AQ3" s="6" t="s">
        <v>52</v>
      </c>
    </row>
    <row r="4" spans="2:43" x14ac:dyDescent="0.45">
      <c r="C4" s="2" t="s">
        <v>14</v>
      </c>
      <c r="D4" s="2" t="s">
        <v>14</v>
      </c>
      <c r="E4" s="2" t="s">
        <v>8</v>
      </c>
      <c r="F4" s="2" t="s">
        <v>21</v>
      </c>
      <c r="G4" s="2" t="s">
        <v>8</v>
      </c>
      <c r="H4" s="2" t="s">
        <v>8</v>
      </c>
      <c r="I4" s="2" t="s">
        <v>17</v>
      </c>
      <c r="J4" s="5" t="s">
        <v>15</v>
      </c>
      <c r="K4" s="5" t="s">
        <v>15</v>
      </c>
      <c r="L4" s="24" t="s">
        <v>50</v>
      </c>
      <c r="M4" s="24" t="s">
        <v>50</v>
      </c>
      <c r="N4" s="24" t="s">
        <v>51</v>
      </c>
      <c r="O4" s="2"/>
      <c r="P4" s="2" t="s">
        <v>8</v>
      </c>
      <c r="Q4" s="2" t="s">
        <v>8</v>
      </c>
      <c r="R4" s="2" t="s">
        <v>8</v>
      </c>
      <c r="S4" s="2" t="s">
        <v>17</v>
      </c>
      <c r="AE4" s="2" t="s">
        <v>41</v>
      </c>
      <c r="AF4" s="2" t="s">
        <v>41</v>
      </c>
      <c r="AG4" s="2" t="s">
        <v>41</v>
      </c>
      <c r="AH4" s="2" t="s">
        <v>41</v>
      </c>
      <c r="AI4" s="2" t="s">
        <v>41</v>
      </c>
      <c r="AJ4" s="2" t="s">
        <v>41</v>
      </c>
      <c r="AL4" s="29" t="s">
        <v>15</v>
      </c>
      <c r="AM4" s="4" t="s">
        <v>17</v>
      </c>
      <c r="AN4" s="4" t="s">
        <v>41</v>
      </c>
      <c r="AO4" s="19" t="s">
        <v>17</v>
      </c>
      <c r="AP4" s="19" t="s">
        <v>14</v>
      </c>
      <c r="AQ4" s="19" t="s">
        <v>53</v>
      </c>
    </row>
    <row r="5" spans="2:43" ht="17.350000000000001" customHeight="1" x14ac:dyDescent="0.45">
      <c r="B5" s="62" t="s">
        <v>29</v>
      </c>
      <c r="C5" s="4" t="s">
        <v>10</v>
      </c>
      <c r="D5" s="4" t="s">
        <v>1</v>
      </c>
      <c r="E5" s="4">
        <v>3579</v>
      </c>
      <c r="F5" s="3">
        <v>939.61803067669177</v>
      </c>
      <c r="G5" s="4">
        <v>5719.4</v>
      </c>
      <c r="H5" s="4">
        <f>G5-E5</f>
        <v>2140.3999999999996</v>
      </c>
      <c r="I5" s="9">
        <f>S5</f>
        <v>0.10614119922630562</v>
      </c>
      <c r="J5" s="4">
        <f>H5/F5</f>
        <v>2.277946921110626</v>
      </c>
      <c r="K5" s="4">
        <f>J5/(1+I5)</f>
        <v>2.0593635990630705</v>
      </c>
      <c r="L5" s="17">
        <v>2.7</v>
      </c>
      <c r="M5" s="17">
        <f>L5/K5-1</f>
        <v>0.31108464830027782</v>
      </c>
      <c r="N5" s="20">
        <f>(I5)*(L5/M5)</f>
        <v>0.92123233813325167</v>
      </c>
      <c r="O5" s="2"/>
      <c r="P5" s="4">
        <v>19.239999999999998</v>
      </c>
      <c r="Q5" s="4">
        <v>64.989999999999995</v>
      </c>
      <c r="R5" s="4">
        <v>60.6</v>
      </c>
      <c r="S5" s="8">
        <f>((Q5-P5)-(R5-P5))/(R5-P5)</f>
        <v>0.10614119922630562</v>
      </c>
      <c r="AB5" s="63" t="s">
        <v>33</v>
      </c>
      <c r="AC5" s="63"/>
      <c r="AE5" s="26">
        <v>2.070352936581088E-3</v>
      </c>
      <c r="AF5" s="26">
        <v>2.0312896736243147E-3</v>
      </c>
      <c r="AG5" s="26">
        <v>2.0703529365846407E-3</v>
      </c>
      <c r="AH5" s="26">
        <v>2.0117580421441517E-3</v>
      </c>
      <c r="AI5" s="26">
        <v>2.0898845680505929E-3</v>
      </c>
      <c r="AJ5" s="55">
        <f>AVERAGE(AE5:AI5)</f>
        <v>2.0547276313969574E-3</v>
      </c>
      <c r="AL5" s="3">
        <f>K5</f>
        <v>2.0593635990630705</v>
      </c>
      <c r="AM5" s="27">
        <f>S5</f>
        <v>0.10614119922630562</v>
      </c>
      <c r="AN5" s="3">
        <f>AJ5</f>
        <v>2.0547276313969574E-3</v>
      </c>
      <c r="AO5" s="46">
        <f>N5</f>
        <v>0.92123233813325167</v>
      </c>
      <c r="AP5" s="47">
        <v>0.34</v>
      </c>
      <c r="AQ5" s="59">
        <v>14.374990072243435</v>
      </c>
    </row>
    <row r="6" spans="2:43" ht="17.350000000000001" customHeight="1" x14ac:dyDescent="0.45">
      <c r="B6" s="62"/>
      <c r="C6" s="4" t="s">
        <v>10</v>
      </c>
      <c r="D6" s="4" t="s">
        <v>2</v>
      </c>
      <c r="E6" s="4">
        <v>3573.4</v>
      </c>
      <c r="F6" s="3">
        <v>939.61803067669177</v>
      </c>
      <c r="G6" s="4">
        <v>5683.8</v>
      </c>
      <c r="H6" s="4">
        <f t="shared" ref="H6:H14" si="0">G6-E6</f>
        <v>2110.4</v>
      </c>
      <c r="I6" s="9">
        <f t="shared" ref="I6:I19" si="1">S6</f>
        <v>0.12695463694070272</v>
      </c>
      <c r="J6" s="4">
        <f t="shared" ref="J6:J19" si="2">H6/F6</f>
        <v>2.2460190535936579</v>
      </c>
      <c r="K6" s="4">
        <f t="shared" ref="K6:K19" si="3">J6/(1+I6)</f>
        <v>1.9929986354116553</v>
      </c>
      <c r="L6" s="17">
        <v>2.7</v>
      </c>
      <c r="M6" s="17">
        <f>L6/K6-1</f>
        <v>0.35474252316400268</v>
      </c>
      <c r="N6" s="20">
        <f t="shared" ref="N6:N9" si="4">(I6)*(L6/M6)</f>
        <v>0.96627130202100497</v>
      </c>
      <c r="O6" s="2"/>
      <c r="P6" s="4">
        <v>19.04</v>
      </c>
      <c r="Q6" s="4">
        <v>91.83</v>
      </c>
      <c r="R6" s="4">
        <v>83.63</v>
      </c>
      <c r="S6" s="8">
        <f t="shared" ref="S6:S19" si="5">((Q6-P6)-(R6-P6))/(R6-P6)</f>
        <v>0.12695463694070272</v>
      </c>
      <c r="AB6" s="6" t="s">
        <v>31</v>
      </c>
      <c r="AC6" s="6" t="s">
        <v>32</v>
      </c>
      <c r="AE6" s="26">
        <v>3.7696048750950339E-3</v>
      </c>
      <c r="AF6" s="26">
        <v>3.5156936658893301E-3</v>
      </c>
      <c r="AG6" s="26">
        <v>3.9063262954357469E-3</v>
      </c>
      <c r="AH6" s="26">
        <v>2.9688079845300308E-3</v>
      </c>
      <c r="AI6" s="26">
        <v>3.6914783491823755E-3</v>
      </c>
      <c r="AJ6" s="55">
        <f t="shared" ref="AJ6:AJ20" si="6">AVERAGE(AE6:AI6)</f>
        <v>3.5703822340265035E-3</v>
      </c>
      <c r="AL6" s="3">
        <f t="shared" ref="AL6:AL20" si="7">K6</f>
        <v>1.9929986354116553</v>
      </c>
      <c r="AM6" s="27">
        <f t="shared" ref="AM6:AM20" si="8">S6</f>
        <v>0.12695463694070272</v>
      </c>
      <c r="AN6" s="3">
        <f t="shared" ref="AN6:AN9" si="9">AJ6</f>
        <v>3.5703822340265035E-3</v>
      </c>
      <c r="AO6" s="46">
        <f t="shared" ref="AO6:AO9" si="10">N6</f>
        <v>0.96627130202100497</v>
      </c>
      <c r="AP6" s="47">
        <v>0.34</v>
      </c>
      <c r="AQ6" s="59">
        <v>5.7366344617829391E-2</v>
      </c>
    </row>
    <row r="7" spans="2:43" ht="17.350000000000001" customHeight="1" x14ac:dyDescent="0.45">
      <c r="B7" s="62"/>
      <c r="C7" s="4" t="s">
        <v>10</v>
      </c>
      <c r="D7" s="4" t="s">
        <v>3</v>
      </c>
      <c r="E7" s="4">
        <v>3555.8</v>
      </c>
      <c r="F7" s="3">
        <v>939.61803067669177</v>
      </c>
      <c r="G7" s="4">
        <v>5505.8</v>
      </c>
      <c r="H7" s="4">
        <f t="shared" si="0"/>
        <v>1950</v>
      </c>
      <c r="I7" s="9">
        <f t="shared" si="1"/>
        <v>6.2609713282621576E-2</v>
      </c>
      <c r="J7" s="4">
        <f t="shared" si="2"/>
        <v>2.0753113886029344</v>
      </c>
      <c r="K7" s="4">
        <f t="shared" si="3"/>
        <v>1.9530325788119023</v>
      </c>
      <c r="L7" s="17">
        <v>2.7</v>
      </c>
      <c r="M7" s="17">
        <f>L7/K7-1</f>
        <v>0.38246541777736454</v>
      </c>
      <c r="N7" s="20">
        <f t="shared" si="4"/>
        <v>0.44199087814386689</v>
      </c>
      <c r="O7" s="2"/>
      <c r="P7" s="4">
        <v>18.940000000000001</v>
      </c>
      <c r="Q7" s="4">
        <v>73.42</v>
      </c>
      <c r="R7" s="4">
        <v>70.209999999999994</v>
      </c>
      <c r="S7" s="8">
        <f t="shared" si="5"/>
        <v>6.2609713282621576E-2</v>
      </c>
      <c r="AB7" s="20">
        <v>0.1</v>
      </c>
      <c r="AC7" s="25">
        <v>2.06</v>
      </c>
      <c r="AE7" s="26">
        <v>2.2070743569209128E-3</v>
      </c>
      <c r="AF7" s="26">
        <v>1.9726947791944838E-3</v>
      </c>
      <c r="AG7" s="26">
        <v>1.8750366218114323E-3</v>
      </c>
      <c r="AH7" s="26">
        <v>1.8750366218114323E-3</v>
      </c>
      <c r="AI7" s="26">
        <v>1.7773784644248281E-3</v>
      </c>
      <c r="AJ7" s="55">
        <f t="shared" si="6"/>
        <v>1.9414441688326179E-3</v>
      </c>
      <c r="AL7" s="3">
        <f t="shared" si="7"/>
        <v>1.9530325788119023</v>
      </c>
      <c r="AM7" s="27">
        <f t="shared" si="8"/>
        <v>6.2609713282621576E-2</v>
      </c>
      <c r="AN7" s="3">
        <f t="shared" si="9"/>
        <v>1.9414441688326179E-3</v>
      </c>
      <c r="AO7" s="46">
        <f t="shared" si="10"/>
        <v>0.44199087814386689</v>
      </c>
      <c r="AP7" s="47">
        <v>0.33</v>
      </c>
      <c r="AQ7" s="59">
        <v>21.807492181111002</v>
      </c>
    </row>
    <row r="8" spans="2:43" ht="17.350000000000001" customHeight="1" x14ac:dyDescent="0.45">
      <c r="B8" s="62"/>
      <c r="C8" s="4" t="s">
        <v>10</v>
      </c>
      <c r="D8" s="4" t="s">
        <v>4</v>
      </c>
      <c r="E8" s="4">
        <v>3981.6</v>
      </c>
      <c r="F8" s="3">
        <v>939.61803067669177</v>
      </c>
      <c r="G8" s="4">
        <v>6124</v>
      </c>
      <c r="H8" s="4">
        <f>G8-E8</f>
        <v>2142.4</v>
      </c>
      <c r="I8" s="9">
        <f t="shared" si="1"/>
        <v>0.10971223021582741</v>
      </c>
      <c r="J8" s="4">
        <f t="shared" si="2"/>
        <v>2.2800754456117578</v>
      </c>
      <c r="K8" s="4">
        <f t="shared" si="3"/>
        <v>2.0546546965318271</v>
      </c>
      <c r="L8" s="17">
        <v>2.7</v>
      </c>
      <c r="M8" s="17">
        <f>L8/K8-1</f>
        <v>0.31408942074670243</v>
      </c>
      <c r="N8" s="20">
        <f t="shared" si="4"/>
        <v>0.94311683876045993</v>
      </c>
      <c r="O8" s="2"/>
      <c r="P8" s="4">
        <v>17.25</v>
      </c>
      <c r="Q8" s="4">
        <v>66.61</v>
      </c>
      <c r="R8" s="4">
        <v>61.73</v>
      </c>
      <c r="S8" s="8">
        <f t="shared" si="5"/>
        <v>0.10971223021582741</v>
      </c>
      <c r="AE8" s="26">
        <v>2.4609855661275049E-3</v>
      </c>
      <c r="AF8" s="26">
        <v>2.4609855661239521E-3</v>
      </c>
      <c r="AG8" s="26">
        <v>2.4609855661239521E-3</v>
      </c>
      <c r="AH8" s="26">
        <v>2.4805171975970097E-3</v>
      </c>
      <c r="AI8" s="26">
        <v>2.5391120920374988E-3</v>
      </c>
      <c r="AJ8" s="55">
        <f>AVERAGE(AE8:AI8)</f>
        <v>2.4805171976019836E-3</v>
      </c>
      <c r="AL8" s="3">
        <f t="shared" si="7"/>
        <v>2.0546546965318271</v>
      </c>
      <c r="AM8" s="27">
        <f t="shared" si="8"/>
        <v>0.10971223021582741</v>
      </c>
      <c r="AN8" s="3">
        <f t="shared" si="9"/>
        <v>2.4805171976019836E-3</v>
      </c>
      <c r="AO8" s="46">
        <f t="shared" si="10"/>
        <v>0.94311683876045993</v>
      </c>
      <c r="AP8" s="47">
        <v>0.34</v>
      </c>
      <c r="AQ8" s="59">
        <v>3.0456193140208896</v>
      </c>
    </row>
    <row r="9" spans="2:43" ht="17.350000000000001" customHeight="1" x14ac:dyDescent="0.45">
      <c r="B9" s="62"/>
      <c r="C9" s="4" t="s">
        <v>10</v>
      </c>
      <c r="D9" s="4" t="s">
        <v>7</v>
      </c>
      <c r="E9" s="4">
        <v>3564.6</v>
      </c>
      <c r="F9" s="3">
        <v>939.61803067669177</v>
      </c>
      <c r="G9" s="4">
        <v>5554.8</v>
      </c>
      <c r="H9" s="4">
        <f>G9-E9</f>
        <v>1990.2000000000003</v>
      </c>
      <c r="I9" s="9">
        <f>S9</f>
        <v>6.8930216686572371E-2</v>
      </c>
      <c r="J9" s="4">
        <f>H9/F9</f>
        <v>2.1180947310756721</v>
      </c>
      <c r="K9" s="4">
        <f>J9/(1+I9)</f>
        <v>1.9815088936687171</v>
      </c>
      <c r="L9" s="17">
        <v>2.7</v>
      </c>
      <c r="M9" s="17">
        <f>L9/K9-1</f>
        <v>0.36259797199346089</v>
      </c>
      <c r="N9" s="20">
        <f t="shared" si="4"/>
        <v>0.5132725481903736</v>
      </c>
      <c r="O9" s="2"/>
      <c r="P9" s="4">
        <v>19.05</v>
      </c>
      <c r="Q9" s="4">
        <v>81.7</v>
      </c>
      <c r="R9" s="4">
        <v>77.66</v>
      </c>
      <c r="S9" s="8">
        <f>((Q9-P9)-(R9-P9))/(R9-P9)</f>
        <v>6.8930216686572371E-2</v>
      </c>
      <c r="AE9" s="26">
        <v>1.835973358854659E-3</v>
      </c>
      <c r="AF9" s="26">
        <v>1.7969100958978856E-3</v>
      </c>
      <c r="AG9" s="26">
        <v>1.835973358854659E-3</v>
      </c>
      <c r="AH9" s="26">
        <v>1.7187835699914444E-3</v>
      </c>
      <c r="AI9" s="26">
        <v>1.6797203070382238E-3</v>
      </c>
      <c r="AJ9" s="55">
        <f t="shared" si="6"/>
        <v>1.7734721381273745E-3</v>
      </c>
      <c r="AL9" s="32">
        <f t="shared" si="7"/>
        <v>1.9815088936687171</v>
      </c>
      <c r="AM9" s="49">
        <f t="shared" si="8"/>
        <v>6.8930216686572371E-2</v>
      </c>
      <c r="AN9" s="32">
        <f t="shared" si="9"/>
        <v>1.7734721381273745E-3</v>
      </c>
      <c r="AO9" s="46">
        <f t="shared" si="10"/>
        <v>0.5132725481903736</v>
      </c>
      <c r="AP9" s="47">
        <v>0.33</v>
      </c>
      <c r="AQ9" s="59">
        <v>40.189987871759591</v>
      </c>
    </row>
    <row r="10" spans="2:43" ht="81.75" customHeight="1" x14ac:dyDescent="0.45">
      <c r="C10" s="2"/>
      <c r="D10" s="2"/>
      <c r="E10" s="2"/>
      <c r="G10" s="2"/>
      <c r="H10" s="2"/>
      <c r="I10" s="11"/>
      <c r="J10" s="2"/>
      <c r="K10" s="2"/>
      <c r="L10" s="2"/>
      <c r="M10" s="2"/>
      <c r="N10" s="2"/>
      <c r="O10" s="2"/>
      <c r="P10" s="2"/>
      <c r="Q10" s="2"/>
      <c r="R10" s="2"/>
      <c r="S10" s="12"/>
      <c r="AJ10" s="56"/>
      <c r="AL10" s="34"/>
      <c r="AM10" s="35"/>
      <c r="AN10" s="34"/>
      <c r="AQ10" s="60"/>
    </row>
    <row r="11" spans="2:43" ht="17.350000000000001" customHeight="1" x14ac:dyDescent="0.45">
      <c r="B11" s="62" t="s">
        <v>26</v>
      </c>
      <c r="C11" s="4" t="s">
        <v>26</v>
      </c>
      <c r="D11" s="4" t="s">
        <v>5</v>
      </c>
      <c r="E11" s="4">
        <v>3597</v>
      </c>
      <c r="F11" s="3">
        <v>939.61803067669177</v>
      </c>
      <c r="G11" s="4">
        <v>5665.4</v>
      </c>
      <c r="H11" s="4">
        <f t="shared" si="0"/>
        <v>2068.3999999999996</v>
      </c>
      <c r="I11" s="9">
        <f t="shared" si="1"/>
        <v>3.3795493934141954E-2</v>
      </c>
      <c r="J11" s="4">
        <f t="shared" si="2"/>
        <v>2.2013200390699019</v>
      </c>
      <c r="K11" s="4">
        <f t="shared" si="3"/>
        <v>2.1293573554791845</v>
      </c>
      <c r="L11" s="17">
        <v>2.7</v>
      </c>
      <c r="M11" s="17">
        <f>L11/K11-1</f>
        <v>0.26798819984464273</v>
      </c>
      <c r="N11" s="20">
        <f>(I11-0.015)*(L11/M11)</f>
        <v>0.18936592600570717</v>
      </c>
      <c r="O11" s="2"/>
      <c r="P11" s="4">
        <v>19.399999999999999</v>
      </c>
      <c r="Q11" s="4">
        <v>55.19</v>
      </c>
      <c r="R11" s="4">
        <v>54.02</v>
      </c>
      <c r="S11" s="10">
        <f>((Q11-P11)-(R11-P11))/(R11-P11)</f>
        <v>3.3795493934141954E-2</v>
      </c>
      <c r="AB11" s="63" t="s">
        <v>33</v>
      </c>
      <c r="AC11" s="63"/>
      <c r="AE11" s="26">
        <v>9.5704994238232644E-4</v>
      </c>
      <c r="AF11" s="26">
        <v>9.1798667942555312E-4</v>
      </c>
      <c r="AG11" s="26">
        <v>8.7892341647233252E-4</v>
      </c>
      <c r="AH11" s="26">
        <v>8.7892341647233252E-4</v>
      </c>
      <c r="AI11" s="26">
        <v>8.5939178499216951E-4</v>
      </c>
      <c r="AJ11" s="55">
        <f t="shared" si="6"/>
        <v>8.9845504794894282E-4</v>
      </c>
      <c r="AL11" s="33">
        <f t="shared" si="7"/>
        <v>2.1293573554791845</v>
      </c>
      <c r="AM11" s="50">
        <f t="shared" si="8"/>
        <v>3.3795493934141954E-2</v>
      </c>
      <c r="AN11" s="33">
        <f>AJ11</f>
        <v>8.9845504794894282E-4</v>
      </c>
      <c r="AO11" s="46">
        <f>N11</f>
        <v>0.18936592600570717</v>
      </c>
      <c r="AP11" s="47">
        <v>0.33</v>
      </c>
      <c r="AQ11" s="59">
        <v>1647.1172015370512</v>
      </c>
    </row>
    <row r="12" spans="2:43" ht="17.350000000000001" customHeight="1" x14ac:dyDescent="0.45">
      <c r="B12" s="62"/>
      <c r="C12" s="4" t="s">
        <v>26</v>
      </c>
      <c r="D12" s="4" t="s">
        <v>6</v>
      </c>
      <c r="E12" s="4">
        <v>3560.8</v>
      </c>
      <c r="F12" s="3">
        <v>939.61803067669177</v>
      </c>
      <c r="G12" s="4">
        <v>5733</v>
      </c>
      <c r="H12" s="4">
        <f t="shared" si="0"/>
        <v>2172.1999999999998</v>
      </c>
      <c r="I12" s="9">
        <f t="shared" si="1"/>
        <v>5.5575604474919035E-2</v>
      </c>
      <c r="J12" s="4">
        <f t="shared" si="2"/>
        <v>2.3117904606786124</v>
      </c>
      <c r="K12" s="4">
        <f t="shared" si="3"/>
        <v>2.1900756808685244</v>
      </c>
      <c r="L12" s="17">
        <v>2.7</v>
      </c>
      <c r="M12" s="17">
        <f>L12/K12-1</f>
        <v>0.23283410869584809</v>
      </c>
      <c r="N12" s="20">
        <f t="shared" ref="N12:N14" si="11">(I12-0.015)*(L12/M12)</f>
        <v>0.47052441197690797</v>
      </c>
      <c r="O12" s="2"/>
      <c r="P12" s="4">
        <v>18.45</v>
      </c>
      <c r="Q12" s="4">
        <v>47.7</v>
      </c>
      <c r="R12" s="4">
        <v>46.16</v>
      </c>
      <c r="S12" s="10">
        <f>((Q12-P12)-(R12-P12))/(R12-P12)</f>
        <v>5.5575604474919035E-2</v>
      </c>
      <c r="AB12" s="6" t="s">
        <v>31</v>
      </c>
      <c r="AC12" s="6" t="s">
        <v>32</v>
      </c>
      <c r="AE12" s="26">
        <v>1.0547080997671543E-3</v>
      </c>
      <c r="AF12" s="26">
        <v>1.0547080997689307E-3</v>
      </c>
      <c r="AG12" s="26">
        <v>9.7658157385893674E-4</v>
      </c>
      <c r="AH12" s="26">
        <v>1.0156448368121573E-3</v>
      </c>
      <c r="AI12" s="26">
        <v>1.0351764682923204E-3</v>
      </c>
      <c r="AJ12" s="55">
        <f t="shared" si="6"/>
        <v>1.0273638156998999E-3</v>
      </c>
      <c r="AL12" s="3">
        <f t="shared" si="7"/>
        <v>2.1900756808685244</v>
      </c>
      <c r="AM12" s="27">
        <f t="shared" si="8"/>
        <v>5.5575604474919035E-2</v>
      </c>
      <c r="AN12" s="3">
        <f t="shared" ref="AN12:AN20" si="12">AJ12</f>
        <v>1.0273638156998999E-3</v>
      </c>
      <c r="AO12" s="46">
        <f t="shared" ref="AO12:AO14" si="13">N12</f>
        <v>0.47052441197690797</v>
      </c>
      <c r="AP12" s="47">
        <v>0.34</v>
      </c>
      <c r="AQ12" s="59">
        <v>805.32052067017969</v>
      </c>
    </row>
    <row r="13" spans="2:43" ht="17.350000000000001" customHeight="1" x14ac:dyDescent="0.45">
      <c r="B13" s="62"/>
      <c r="C13" s="4" t="s">
        <v>26</v>
      </c>
      <c r="D13" s="4" t="s">
        <v>7</v>
      </c>
      <c r="E13" s="4">
        <v>3564.6</v>
      </c>
      <c r="F13" s="3">
        <v>939.61803067669177</v>
      </c>
      <c r="G13" s="4">
        <v>5793</v>
      </c>
      <c r="H13" s="4">
        <f t="shared" si="0"/>
        <v>2228.4</v>
      </c>
      <c r="I13" s="9">
        <f t="shared" si="1"/>
        <v>8.8829787234042445E-2</v>
      </c>
      <c r="J13" s="4">
        <f t="shared" si="2"/>
        <v>2.3716019991603998</v>
      </c>
      <c r="K13" s="4">
        <f t="shared" si="3"/>
        <v>2.1781200578512712</v>
      </c>
      <c r="L13" s="17">
        <v>2.7</v>
      </c>
      <c r="M13" s="17">
        <f>L13/K13-1</f>
        <v>0.23960109098098425</v>
      </c>
      <c r="N13" s="20">
        <f t="shared" si="11"/>
        <v>0.83196793769079758</v>
      </c>
      <c r="O13" s="2"/>
      <c r="P13" s="4">
        <v>16.96</v>
      </c>
      <c r="Q13" s="4">
        <v>57.9</v>
      </c>
      <c r="R13" s="4">
        <v>54.56</v>
      </c>
      <c r="S13" s="10">
        <f>((Q13-P13)-(R13-P13))/(R13-P13)</f>
        <v>8.8829787234042445E-2</v>
      </c>
      <c r="AB13" s="20">
        <v>7.2499999999999995E-2</v>
      </c>
      <c r="AC13" s="25">
        <v>2.2000000000000002</v>
      </c>
      <c r="AE13" s="26">
        <v>2.1680110939663599E-3</v>
      </c>
      <c r="AF13" s="26">
        <v>1.8750366218096559E-3</v>
      </c>
      <c r="AG13" s="26">
        <v>1.8750366218078796E-3</v>
      </c>
      <c r="AH13" s="26">
        <v>1.8750366218114323E-3</v>
      </c>
      <c r="AI13" s="26">
        <v>1.8945682532844899E-3</v>
      </c>
      <c r="AJ13" s="55">
        <f t="shared" si="6"/>
        <v>1.9375378425359635E-3</v>
      </c>
      <c r="AL13" s="3">
        <f t="shared" si="7"/>
        <v>2.1781200578512712</v>
      </c>
      <c r="AM13" s="27">
        <f t="shared" si="8"/>
        <v>8.8829787234042445E-2</v>
      </c>
      <c r="AN13" s="3">
        <f t="shared" si="12"/>
        <v>1.9375378425359635E-3</v>
      </c>
      <c r="AO13" s="46">
        <f t="shared" si="13"/>
        <v>0.83196793769079758</v>
      </c>
      <c r="AP13" s="47">
        <v>0.34</v>
      </c>
      <c r="AQ13" s="59">
        <v>22.034003152339405</v>
      </c>
    </row>
    <row r="14" spans="2:43" ht="17.350000000000001" customHeight="1" x14ac:dyDescent="0.45">
      <c r="B14" s="62"/>
      <c r="C14" s="4" t="s">
        <v>26</v>
      </c>
      <c r="D14" s="4" t="s">
        <v>27</v>
      </c>
      <c r="E14" s="4">
        <v>3575.2</v>
      </c>
      <c r="F14" s="3">
        <v>939.61803067669177</v>
      </c>
      <c r="G14" s="4">
        <v>5776</v>
      </c>
      <c r="H14" s="4">
        <f t="shared" si="0"/>
        <v>2200.8000000000002</v>
      </c>
      <c r="I14" s="9">
        <f t="shared" si="1"/>
        <v>0.11358267716535424</v>
      </c>
      <c r="J14" s="4">
        <f t="shared" si="2"/>
        <v>2.3422283610447892</v>
      </c>
      <c r="K14" s="4">
        <f t="shared" si="3"/>
        <v>2.1033268647883205</v>
      </c>
      <c r="L14" s="17">
        <v>2.7</v>
      </c>
      <c r="M14" s="17">
        <f>L14/K14-1</f>
        <v>0.28368065144821375</v>
      </c>
      <c r="N14" s="20">
        <f t="shared" si="11"/>
        <v>0.93828474725935507</v>
      </c>
      <c r="O14" s="2"/>
      <c r="P14" s="4">
        <v>18.350000000000001</v>
      </c>
      <c r="Q14" s="4">
        <v>74.92</v>
      </c>
      <c r="R14" s="4">
        <v>69.150000000000006</v>
      </c>
      <c r="S14" s="10">
        <f>((Q14-P14)-(R14-P14))/(R14-P14)</f>
        <v>0.11358267716535424</v>
      </c>
      <c r="AE14" s="26">
        <v>3.6133518232777107E-3</v>
      </c>
      <c r="AF14" s="26">
        <v>3.593820191799324E-3</v>
      </c>
      <c r="AG14" s="26">
        <v>2.7539600382837648E-3</v>
      </c>
      <c r="AH14" s="26">
        <v>2.8711498271434266E-3</v>
      </c>
      <c r="AI14" s="26">
        <v>3.7696048750959221E-3</v>
      </c>
      <c r="AJ14" s="55">
        <f t="shared" si="6"/>
        <v>3.3203773511200295E-3</v>
      </c>
      <c r="AL14" s="32">
        <f t="shared" si="7"/>
        <v>2.1033268647883205</v>
      </c>
      <c r="AM14" s="49">
        <f t="shared" si="8"/>
        <v>0.11358267716535424</v>
      </c>
      <c r="AN14" s="32">
        <f t="shared" si="12"/>
        <v>3.3203773511200295E-3</v>
      </c>
      <c r="AO14" s="46">
        <f t="shared" si="13"/>
        <v>0.93828474725935507</v>
      </c>
      <c r="AP14" s="47">
        <v>0.34</v>
      </c>
      <c r="AQ14" s="59">
        <v>0.14267909050834893</v>
      </c>
    </row>
    <row r="15" spans="2:43" ht="73.5" customHeight="1" x14ac:dyDescent="0.45">
      <c r="AJ15" s="56"/>
      <c r="AL15" s="34"/>
      <c r="AM15" s="35"/>
      <c r="AN15" s="34"/>
      <c r="AQ15" s="60"/>
    </row>
    <row r="16" spans="2:43" ht="17.350000000000001" customHeight="1" x14ac:dyDescent="0.45">
      <c r="B16" s="62" t="s">
        <v>30</v>
      </c>
      <c r="C16" s="4" t="s">
        <v>28</v>
      </c>
      <c r="D16" s="4" t="s">
        <v>1</v>
      </c>
      <c r="E16" s="4">
        <v>3579</v>
      </c>
      <c r="F16" s="3">
        <v>939.61803067669177</v>
      </c>
      <c r="G16" s="4">
        <v>5672.6</v>
      </c>
      <c r="H16" s="4">
        <f>G16-E16</f>
        <v>2093.6000000000004</v>
      </c>
      <c r="I16" s="9">
        <f>S16</f>
        <v>4.0761532828899237E-2</v>
      </c>
      <c r="J16" s="4">
        <f t="shared" si="2"/>
        <v>2.2281394477841561</v>
      </c>
      <c r="K16" s="4">
        <f>J16/(1+I16)</f>
        <v>2.1408741363911084</v>
      </c>
      <c r="L16" s="17">
        <v>2.7</v>
      </c>
      <c r="M16" s="17">
        <f>L16/K16-1</f>
        <v>0.26116708782862674</v>
      </c>
      <c r="N16" s="20">
        <f>(I16)*(L16/M16)</f>
        <v>0.42140125523873379</v>
      </c>
      <c r="P16" s="4">
        <v>17.77</v>
      </c>
      <c r="Q16" s="4">
        <v>60.41</v>
      </c>
      <c r="R16" s="4">
        <v>58.74</v>
      </c>
      <c r="S16" s="10">
        <f>((Q16-P16)-(R16-P16))/(R16-P16)</f>
        <v>4.0761532828899237E-2</v>
      </c>
      <c r="AB16" s="63" t="s">
        <v>33</v>
      </c>
      <c r="AC16" s="63"/>
      <c r="AE16" s="26">
        <v>1.2695560460187494E-3</v>
      </c>
      <c r="AF16" s="26">
        <v>1.2304927830584234E-3</v>
      </c>
      <c r="AG16" s="26">
        <v>1.2304927830655288E-3</v>
      </c>
      <c r="AH16" s="26">
        <v>1.2109611515853658E-3</v>
      </c>
      <c r="AI16" s="26">
        <v>1.2304927830655288E-3</v>
      </c>
      <c r="AJ16" s="55">
        <f t="shared" si="6"/>
        <v>1.2343991093587193E-3</v>
      </c>
      <c r="AL16" s="33">
        <f t="shared" si="7"/>
        <v>2.1408741363911084</v>
      </c>
      <c r="AM16" s="50">
        <f t="shared" si="8"/>
        <v>4.0761532828899237E-2</v>
      </c>
      <c r="AN16" s="33">
        <f t="shared" si="12"/>
        <v>1.2343991093587193E-3</v>
      </c>
      <c r="AO16" s="46">
        <f>N16</f>
        <v>0.42140125523873379</v>
      </c>
      <c r="AP16" s="47">
        <v>0.33</v>
      </c>
      <c r="AQ16" s="59">
        <v>298.79936062858997</v>
      </c>
    </row>
    <row r="17" spans="2:43" ht="17.350000000000001" customHeight="1" x14ac:dyDescent="0.45">
      <c r="B17" s="62"/>
      <c r="C17" s="4" t="s">
        <v>28</v>
      </c>
      <c r="D17" s="4" t="s">
        <v>2</v>
      </c>
      <c r="E17" s="4">
        <v>3573.4</v>
      </c>
      <c r="F17" s="3">
        <v>939.61803067669177</v>
      </c>
      <c r="G17" s="4">
        <v>5620.8</v>
      </c>
      <c r="H17" s="4">
        <f>G17-E17</f>
        <v>2047.4</v>
      </c>
      <c r="I17" s="9">
        <f t="shared" si="1"/>
        <v>3.784813139728644E-2</v>
      </c>
      <c r="J17" s="4">
        <f t="shared" si="2"/>
        <v>2.1789705318080248</v>
      </c>
      <c r="K17" s="4">
        <f t="shared" si="3"/>
        <v>2.0995080743407137</v>
      </c>
      <c r="L17" s="17">
        <v>2.7</v>
      </c>
      <c r="M17" s="17">
        <f>L17/K17-1</f>
        <v>0.28601553525715895</v>
      </c>
      <c r="N17" s="20">
        <f t="shared" ref="N17:N19" si="14">(I17)*(L17/M17)</f>
        <v>0.35728812660750597</v>
      </c>
      <c r="P17" s="4">
        <v>18.18</v>
      </c>
      <c r="Q17" s="4">
        <v>61.78</v>
      </c>
      <c r="R17" s="4">
        <v>60.19</v>
      </c>
      <c r="S17" s="10">
        <f t="shared" si="5"/>
        <v>3.784813139728644E-2</v>
      </c>
      <c r="AB17" s="6" t="s">
        <v>31</v>
      </c>
      <c r="AC17" s="6" t="s">
        <v>32</v>
      </c>
      <c r="AE17" s="26">
        <v>2.4219223031698434E-3</v>
      </c>
      <c r="AF17" s="26">
        <v>2.3828590402175109E-3</v>
      </c>
      <c r="AG17" s="26">
        <v>2.2852008828309067E-3</v>
      </c>
      <c r="AH17" s="26">
        <v>2.2656692513578491E-3</v>
      </c>
      <c r="AI17" s="26">
        <v>2.2656692513578491E-3</v>
      </c>
      <c r="AJ17" s="55">
        <f t="shared" si="6"/>
        <v>2.3242641457867919E-3</v>
      </c>
      <c r="AL17" s="3">
        <f t="shared" si="7"/>
        <v>2.0995080743407137</v>
      </c>
      <c r="AM17" s="27">
        <f t="shared" si="8"/>
        <v>3.784813139728644E-2</v>
      </c>
      <c r="AN17" s="3">
        <f t="shared" si="12"/>
        <v>2.3242641457867919E-3</v>
      </c>
      <c r="AO17" s="46">
        <f t="shared" ref="AO17:AO19" si="15">N17</f>
        <v>0.35728812660750597</v>
      </c>
      <c r="AP17" s="47">
        <v>0.33</v>
      </c>
      <c r="AQ17" s="59">
        <v>5.4135856487067358</v>
      </c>
    </row>
    <row r="18" spans="2:43" ht="17.350000000000001" customHeight="1" x14ac:dyDescent="0.45">
      <c r="B18" s="62"/>
      <c r="C18" s="4" t="s">
        <v>28</v>
      </c>
      <c r="D18" s="4" t="s">
        <v>3</v>
      </c>
      <c r="E18" s="4">
        <v>3555.8</v>
      </c>
      <c r="F18" s="3">
        <v>939.61803067669177</v>
      </c>
      <c r="G18" s="4">
        <v>5638.8</v>
      </c>
      <c r="H18" s="4">
        <f>G18-E18</f>
        <v>2083</v>
      </c>
      <c r="I18" s="9">
        <f t="shared" si="1"/>
        <v>9.6097273975289388E-2</v>
      </c>
      <c r="J18" s="4">
        <f t="shared" si="2"/>
        <v>2.2168582679281603</v>
      </c>
      <c r="K18" s="4">
        <f t="shared" si="3"/>
        <v>2.0225013970595254</v>
      </c>
      <c r="L18" s="17">
        <v>2.7</v>
      </c>
      <c r="M18" s="17">
        <f>L18/K18-1</f>
        <v>0.33498053644139714</v>
      </c>
      <c r="N18" s="20">
        <f t="shared" si="14"/>
        <v>0.77456034457892387</v>
      </c>
      <c r="P18" s="4">
        <v>19.309999999999999</v>
      </c>
      <c r="Q18" s="4">
        <v>75.2</v>
      </c>
      <c r="R18" s="4">
        <v>70.3</v>
      </c>
      <c r="S18" s="10">
        <f t="shared" si="5"/>
        <v>9.6097273975289388E-2</v>
      </c>
      <c r="AB18" s="20">
        <v>6.6000000000000003E-2</v>
      </c>
      <c r="AC18" s="25">
        <v>2.2599999999999998</v>
      </c>
      <c r="AE18" s="26">
        <v>3.0859977733941335E-3</v>
      </c>
      <c r="AF18" s="26">
        <v>3.1250610363482423E-3</v>
      </c>
      <c r="AG18" s="26">
        <v>3.1445926678266289E-3</v>
      </c>
      <c r="AH18" s="26">
        <v>3.085997773396798E-3</v>
      </c>
      <c r="AI18" s="26">
        <v>3.046934510436472E-3</v>
      </c>
      <c r="AJ18" s="55">
        <f t="shared" si="6"/>
        <v>3.0977167522804549E-3</v>
      </c>
      <c r="AL18" s="3">
        <f t="shared" si="7"/>
        <v>2.0225013970595254</v>
      </c>
      <c r="AM18" s="27">
        <f t="shared" si="8"/>
        <v>9.6097273975289388E-2</v>
      </c>
      <c r="AN18" s="3">
        <f t="shared" si="12"/>
        <v>3.0977167522804549E-3</v>
      </c>
      <c r="AO18" s="46">
        <f t="shared" si="15"/>
        <v>0.77456034457892387</v>
      </c>
      <c r="AP18" s="47">
        <v>0.34</v>
      </c>
      <c r="AQ18" s="59">
        <v>0.32120585608479896</v>
      </c>
    </row>
    <row r="19" spans="2:43" ht="17.350000000000001" customHeight="1" x14ac:dyDescent="0.45">
      <c r="B19" s="62"/>
      <c r="C19" s="4" t="s">
        <v>28</v>
      </c>
      <c r="D19" s="4" t="s">
        <v>4</v>
      </c>
      <c r="E19" s="4">
        <v>3981.6</v>
      </c>
      <c r="F19" s="3">
        <v>939.618030676692</v>
      </c>
      <c r="G19" s="4">
        <v>6166.6</v>
      </c>
      <c r="H19" s="4">
        <f>G19-E19</f>
        <v>2185.0000000000005</v>
      </c>
      <c r="I19" s="9">
        <f t="shared" si="1"/>
        <v>8.8534664874207802E-2</v>
      </c>
      <c r="J19" s="4">
        <f t="shared" si="2"/>
        <v>2.3254130174858521</v>
      </c>
      <c r="K19" s="4">
        <f t="shared" si="3"/>
        <v>2.1362783313424192</v>
      </c>
      <c r="L19" s="17">
        <v>2.7</v>
      </c>
      <c r="M19" s="17">
        <f>L19/K19-1</f>
        <v>0.26388025398513637</v>
      </c>
      <c r="N19" s="20">
        <f t="shared" si="14"/>
        <v>0.90587905517866352</v>
      </c>
      <c r="P19" s="4">
        <v>18.95</v>
      </c>
      <c r="Q19" s="4">
        <v>75.63</v>
      </c>
      <c r="R19" s="4">
        <v>71.02</v>
      </c>
      <c r="S19" s="10">
        <f t="shared" si="5"/>
        <v>8.8534664874207802E-2</v>
      </c>
      <c r="AE19" s="26">
        <v>3.2031875622564598E-3</v>
      </c>
      <c r="AF19" s="26">
        <v>3.3594406140764477E-3</v>
      </c>
      <c r="AG19" s="26">
        <v>3.2422508252096804E-3</v>
      </c>
      <c r="AH19" s="26">
        <v>3.3399089825962847E-3</v>
      </c>
      <c r="AI19" s="26">
        <v>3.7696048750959221E-3</v>
      </c>
      <c r="AJ19" s="55">
        <f t="shared" si="6"/>
        <v>3.3828785718469589E-3</v>
      </c>
      <c r="AL19" s="3">
        <f t="shared" si="7"/>
        <v>2.1362783313424192</v>
      </c>
      <c r="AM19" s="27">
        <f t="shared" si="8"/>
        <v>8.8534664874207802E-2</v>
      </c>
      <c r="AN19" s="3">
        <f t="shared" si="12"/>
        <v>3.3828785718469589E-3</v>
      </c>
      <c r="AO19" s="46">
        <f t="shared" si="15"/>
        <v>0.90587905517866352</v>
      </c>
      <c r="AP19" s="47">
        <v>0.34</v>
      </c>
      <c r="AQ19" s="59">
        <v>0.11361470459402538</v>
      </c>
    </row>
    <row r="20" spans="2:43" ht="17.350000000000001" customHeight="1" x14ac:dyDescent="0.45">
      <c r="B20" s="62"/>
      <c r="C20" s="4" t="s">
        <v>26</v>
      </c>
      <c r="D20" s="4" t="s">
        <v>27</v>
      </c>
      <c r="E20" s="4">
        <v>3575.2</v>
      </c>
      <c r="F20" s="3">
        <v>939.61803067669177</v>
      </c>
      <c r="G20" s="4">
        <v>5800.8</v>
      </c>
      <c r="H20" s="4">
        <f>G20-E20</f>
        <v>2225.6000000000004</v>
      </c>
      <c r="I20" s="9">
        <f>S20</f>
        <v>5.6084656084655952E-2</v>
      </c>
      <c r="J20" s="4">
        <f>H20/F20</f>
        <v>2.3686220648588163</v>
      </c>
      <c r="K20" s="4">
        <f>J20/(1+I20)</f>
        <v>2.2428335183282382</v>
      </c>
      <c r="L20" s="17">
        <v>2.7</v>
      </c>
      <c r="M20" s="17">
        <f>L20/K20-1</f>
        <v>0.2038343363142372</v>
      </c>
      <c r="N20" s="20">
        <f>(I20)*(L20/M20)</f>
        <v>0.74290021086106028</v>
      </c>
      <c r="O20" s="2"/>
      <c r="P20" s="4">
        <v>18.54</v>
      </c>
      <c r="Q20" s="4">
        <v>48.48</v>
      </c>
      <c r="R20" s="4">
        <v>46.89</v>
      </c>
      <c r="S20" s="10">
        <f>((Q20-P20)-(R20-P20))/(R20-P20)</f>
        <v>5.6084656084655952E-2</v>
      </c>
      <c r="AE20" s="26">
        <v>1.0937713627221513E-3</v>
      </c>
      <c r="AF20" s="26">
        <v>1.074239731245541E-3</v>
      </c>
      <c r="AG20" s="26">
        <v>1.0937713627221513E-3</v>
      </c>
      <c r="AH20" s="26">
        <v>1.074239731245541E-3</v>
      </c>
      <c r="AI20" s="3"/>
      <c r="AJ20" s="55">
        <f t="shared" si="6"/>
        <v>1.0840055469838461E-3</v>
      </c>
      <c r="AL20" s="3">
        <f t="shared" si="7"/>
        <v>2.2428335183282382</v>
      </c>
      <c r="AM20" s="27">
        <f t="shared" si="8"/>
        <v>5.6084656084655952E-2</v>
      </c>
      <c r="AN20" s="3">
        <f t="shared" si="12"/>
        <v>1.0840055469838461E-3</v>
      </c>
      <c r="AO20" s="46">
        <f>N20</f>
        <v>0.74290021086106028</v>
      </c>
      <c r="AP20" s="47">
        <v>0.34</v>
      </c>
      <c r="AQ20" s="59">
        <v>597.4918815671075</v>
      </c>
    </row>
    <row r="23" spans="2:43" x14ac:dyDescent="0.45">
      <c r="S23" s="13"/>
    </row>
    <row r="24" spans="2:43" x14ac:dyDescent="0.45">
      <c r="S24" s="15"/>
    </row>
  </sheetData>
  <mergeCells count="10">
    <mergeCell ref="B16:B20"/>
    <mergeCell ref="P2:S2"/>
    <mergeCell ref="B5:B9"/>
    <mergeCell ref="B11:B14"/>
    <mergeCell ref="C2:N2"/>
    <mergeCell ref="AE2:AJ2"/>
    <mergeCell ref="AL2:AQ2"/>
    <mergeCell ref="AB5:AC5"/>
    <mergeCell ref="AB11:AC11"/>
    <mergeCell ref="AB16:AC1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2854-F9EF-4F51-930F-1924F1359A8C}">
  <dimension ref="B2:AQ42"/>
  <sheetViews>
    <sheetView zoomScale="70" zoomScaleNormal="70" workbookViewId="0">
      <selection activeCell="E22" sqref="E22"/>
    </sheetView>
  </sheetViews>
  <sheetFormatPr defaultColWidth="9" defaultRowHeight="14.25" x14ac:dyDescent="0.45"/>
  <cols>
    <col min="1" max="1" width="9" style="1"/>
    <col min="2" max="2" width="5" style="1" customWidth="1"/>
    <col min="3" max="3" width="10.1328125" style="1" customWidth="1"/>
    <col min="4" max="4" width="9" style="1"/>
    <col min="5" max="6" width="9.1328125" style="1" bestFit="1" customWidth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10.3984375" style="1" customWidth="1"/>
    <col min="15" max="15" width="4" style="1" customWidth="1"/>
    <col min="16" max="16" width="8.1328125" style="1" customWidth="1"/>
    <col min="17" max="17" width="12.1328125" style="1" customWidth="1"/>
    <col min="18" max="18" width="11.1328125" style="1" customWidth="1"/>
    <col min="19" max="19" width="9.33203125" style="1" bestFit="1" customWidth="1"/>
    <col min="20" max="27" width="9" style="1"/>
    <col min="28" max="29" width="13.1328125" style="1" customWidth="1"/>
    <col min="30" max="16384" width="9" style="1"/>
  </cols>
  <sheetData>
    <row r="2" spans="2:43" ht="18" customHeight="1" x14ac:dyDescent="0.45">
      <c r="C2" s="64" t="s">
        <v>16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2"/>
      <c r="P2" s="61" t="s">
        <v>11</v>
      </c>
      <c r="Q2" s="61"/>
      <c r="R2" s="61"/>
      <c r="S2" s="61"/>
      <c r="AE2" s="61" t="s">
        <v>60</v>
      </c>
      <c r="AF2" s="61"/>
      <c r="AG2" s="61"/>
      <c r="AH2" s="61"/>
      <c r="AI2" s="61"/>
      <c r="AJ2" s="61"/>
      <c r="AL2" s="64" t="s">
        <v>61</v>
      </c>
      <c r="AM2" s="65"/>
      <c r="AN2" s="65"/>
      <c r="AO2" s="65"/>
      <c r="AP2" s="65"/>
      <c r="AQ2" s="65"/>
    </row>
    <row r="3" spans="2:43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7" t="s">
        <v>47</v>
      </c>
      <c r="M3" s="7" t="s">
        <v>48</v>
      </c>
      <c r="N3" s="7" t="s">
        <v>49</v>
      </c>
      <c r="O3" s="2"/>
      <c r="P3" s="6" t="s">
        <v>18</v>
      </c>
      <c r="Q3" s="6" t="s">
        <v>24</v>
      </c>
      <c r="R3" s="6" t="s">
        <v>25</v>
      </c>
      <c r="S3" s="6" t="s">
        <v>11</v>
      </c>
      <c r="AE3" s="6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L3" s="7" t="s">
        <v>13</v>
      </c>
      <c r="AM3" s="6" t="s">
        <v>11</v>
      </c>
      <c r="AN3" s="6" t="s">
        <v>40</v>
      </c>
      <c r="AO3" s="6" t="s">
        <v>49</v>
      </c>
      <c r="AP3" s="6" t="s">
        <v>54</v>
      </c>
      <c r="AQ3" s="6" t="s">
        <v>52</v>
      </c>
    </row>
    <row r="4" spans="2:43" x14ac:dyDescent="0.45">
      <c r="C4" s="2" t="s">
        <v>14</v>
      </c>
      <c r="D4" s="2" t="s">
        <v>14</v>
      </c>
      <c r="E4" s="2" t="s">
        <v>8</v>
      </c>
      <c r="F4" s="2" t="s">
        <v>21</v>
      </c>
      <c r="G4" s="2" t="s">
        <v>8</v>
      </c>
      <c r="H4" s="2" t="s">
        <v>8</v>
      </c>
      <c r="I4" s="2" t="s">
        <v>17</v>
      </c>
      <c r="J4" s="5" t="s">
        <v>15</v>
      </c>
      <c r="K4" s="5" t="s">
        <v>15</v>
      </c>
      <c r="L4" s="24" t="s">
        <v>50</v>
      </c>
      <c r="M4" s="24" t="s">
        <v>50</v>
      </c>
      <c r="N4" s="24" t="s">
        <v>51</v>
      </c>
      <c r="O4" s="2"/>
      <c r="P4" s="2" t="s">
        <v>8</v>
      </c>
      <c r="Q4" s="2" t="s">
        <v>8</v>
      </c>
      <c r="R4" s="2" t="s">
        <v>8</v>
      </c>
      <c r="S4" s="2" t="s">
        <v>17</v>
      </c>
      <c r="AE4" s="2" t="s">
        <v>41</v>
      </c>
      <c r="AF4" s="2" t="s">
        <v>41</v>
      </c>
      <c r="AG4" s="2" t="s">
        <v>41</v>
      </c>
      <c r="AH4" s="2" t="s">
        <v>41</v>
      </c>
      <c r="AI4" s="2" t="s">
        <v>41</v>
      </c>
      <c r="AJ4" s="2" t="s">
        <v>41</v>
      </c>
      <c r="AL4" s="29" t="s">
        <v>15</v>
      </c>
      <c r="AM4" s="4" t="s">
        <v>17</v>
      </c>
      <c r="AN4" s="4" t="s">
        <v>41</v>
      </c>
      <c r="AO4" s="19" t="s">
        <v>17</v>
      </c>
      <c r="AP4" s="19" t="s">
        <v>14</v>
      </c>
      <c r="AQ4" s="19" t="s">
        <v>53</v>
      </c>
    </row>
    <row r="5" spans="2:43" ht="21.85" customHeight="1" x14ac:dyDescent="0.45">
      <c r="B5" s="62" t="s">
        <v>29</v>
      </c>
      <c r="C5" s="4" t="s">
        <v>10</v>
      </c>
      <c r="D5" s="4" t="s">
        <v>5</v>
      </c>
      <c r="E5" s="4">
        <v>3577</v>
      </c>
      <c r="F5" s="3">
        <v>939.61803067669177</v>
      </c>
      <c r="G5" s="4">
        <v>5493.2</v>
      </c>
      <c r="H5" s="4">
        <f>G5-E5</f>
        <v>1916.1999999999998</v>
      </c>
      <c r="I5" s="9">
        <f>S5</f>
        <v>7.6316350458324425E-2</v>
      </c>
      <c r="J5" s="4">
        <f>H5/F5</f>
        <v>2.0393393245338167</v>
      </c>
      <c r="K5" s="4">
        <f>J5/(1+I5)</f>
        <v>1.8947397051669903</v>
      </c>
      <c r="L5" s="17">
        <v>2.71</v>
      </c>
      <c r="M5" s="17">
        <f>L5/K5-1</f>
        <v>0.43027561654499547</v>
      </c>
      <c r="N5" s="20">
        <f>(I5)*(L5/M5)</f>
        <v>0.48066239821524154</v>
      </c>
      <c r="O5" s="2"/>
      <c r="P5" s="4">
        <v>18.78</v>
      </c>
      <c r="Q5" s="4">
        <v>69.27</v>
      </c>
      <c r="R5" s="4">
        <v>65.69</v>
      </c>
      <c r="S5" s="8">
        <f>((Q5-P5)-(R5-P5))/(R5-P5)</f>
        <v>7.6316350458324425E-2</v>
      </c>
      <c r="AB5" s="63" t="s">
        <v>33</v>
      </c>
      <c r="AC5" s="63"/>
      <c r="AE5" s="26">
        <v>2.5586437235105564E-3</v>
      </c>
      <c r="AF5" s="26">
        <v>2.4023906716941212E-3</v>
      </c>
      <c r="AG5" s="26">
        <v>2.597706986463777E-3</v>
      </c>
      <c r="AH5" s="26">
        <v>2.5391120920374988E-3</v>
      </c>
      <c r="AI5" s="26">
        <v>2.5586437235105564E-3</v>
      </c>
      <c r="AJ5" s="55">
        <f>AVERAGE(AE5:AI5)</f>
        <v>2.5312994394433019E-3</v>
      </c>
      <c r="AL5" s="3">
        <f>K5</f>
        <v>1.8947397051669903</v>
      </c>
      <c r="AM5" s="27">
        <f>S5</f>
        <v>7.6316350458324425E-2</v>
      </c>
      <c r="AN5" s="3">
        <f>AJ5</f>
        <v>2.5312994394433019E-3</v>
      </c>
      <c r="AO5" s="46">
        <f>N5</f>
        <v>0.48066239821524154</v>
      </c>
      <c r="AP5" s="47">
        <v>0.34200000000000003</v>
      </c>
      <c r="AQ5" s="47">
        <v>2.5276212539384448</v>
      </c>
    </row>
    <row r="6" spans="2:43" ht="21.85" customHeight="1" x14ac:dyDescent="0.45">
      <c r="B6" s="62"/>
      <c r="C6" s="4" t="s">
        <v>10</v>
      </c>
      <c r="D6" s="4" t="s">
        <v>6</v>
      </c>
      <c r="E6" s="4">
        <v>3550.8</v>
      </c>
      <c r="F6" s="3">
        <v>939.61803067669177</v>
      </c>
      <c r="G6" s="4">
        <v>5543.4</v>
      </c>
      <c r="H6" s="4">
        <f t="shared" ref="H6:H20" si="0">G6-E6</f>
        <v>1992.5999999999995</v>
      </c>
      <c r="I6" s="9">
        <f t="shared" ref="I6:I20" si="1">S6</f>
        <v>9.6030729833546741E-2</v>
      </c>
      <c r="J6" s="4">
        <f t="shared" ref="J6:J20" si="2">H6/F6</f>
        <v>2.1206489604770291</v>
      </c>
      <c r="K6" s="4">
        <f t="shared" ref="K6:K20" si="3">J6/(1+I6)</f>
        <v>1.9348444370707474</v>
      </c>
      <c r="L6" s="17">
        <v>2.71</v>
      </c>
      <c r="M6" s="17">
        <f>L6/K6-1</f>
        <v>0.4006293984558249</v>
      </c>
      <c r="N6" s="20">
        <f t="shared" ref="N6:N15" si="4">(I6)*(L6/M6)</f>
        <v>0.64958607344340258</v>
      </c>
      <c r="O6" s="2"/>
      <c r="P6" s="4">
        <v>17.87</v>
      </c>
      <c r="Q6" s="4">
        <v>60.67</v>
      </c>
      <c r="R6" s="4">
        <v>56.92</v>
      </c>
      <c r="S6" s="8">
        <f>((Q6-P6)-(R6-P6))/(R6-P6)</f>
        <v>9.6030729833546741E-2</v>
      </c>
      <c r="AB6" s="6" t="s">
        <v>31</v>
      </c>
      <c r="AC6" s="6" t="s">
        <v>32</v>
      </c>
      <c r="AE6" s="26">
        <v>2.031289673626091E-3</v>
      </c>
      <c r="AF6" s="26">
        <v>1.8945682532844899E-3</v>
      </c>
      <c r="AG6" s="26">
        <v>1.8750366218114323E-3</v>
      </c>
      <c r="AH6" s="26">
        <v>1.8945682532915953E-3</v>
      </c>
      <c r="AI6" s="26">
        <v>1.8945682532915953E-3</v>
      </c>
      <c r="AJ6" s="55">
        <f t="shared" ref="AJ6:AJ20" si="5">AVERAGE(AE6:AI6)</f>
        <v>1.9180062110610407E-3</v>
      </c>
      <c r="AL6" s="3">
        <f t="shared" ref="AL6:AL20" si="6">K6</f>
        <v>1.9348444370707474</v>
      </c>
      <c r="AM6" s="27">
        <f t="shared" ref="AM6:AM20" si="7">S6</f>
        <v>9.6030729833546741E-2</v>
      </c>
      <c r="AN6" s="3">
        <f t="shared" ref="AN6:AN9" si="8">AJ6</f>
        <v>1.9180062110610407E-3</v>
      </c>
      <c r="AO6" s="46">
        <f t="shared" ref="AO6:AO9" si="9">N6</f>
        <v>0.64958607344340258</v>
      </c>
      <c r="AP6" s="47">
        <v>0.34200000000000003</v>
      </c>
      <c r="AQ6" s="47">
        <v>23.641659094985162</v>
      </c>
    </row>
    <row r="7" spans="2:43" ht="21.85" customHeight="1" x14ac:dyDescent="0.45">
      <c r="B7" s="62"/>
      <c r="C7" s="4" t="s">
        <v>10</v>
      </c>
      <c r="D7" s="4" t="s">
        <v>7</v>
      </c>
      <c r="E7" s="4">
        <v>3564.6</v>
      </c>
      <c r="F7" s="3">
        <v>939.61803067669177</v>
      </c>
      <c r="G7" s="4">
        <v>5632.8</v>
      </c>
      <c r="H7" s="4">
        <f t="shared" si="0"/>
        <v>2068.2000000000003</v>
      </c>
      <c r="I7" s="9">
        <f t="shared" si="1"/>
        <v>0.11954206602768888</v>
      </c>
      <c r="J7" s="4">
        <f t="shared" si="2"/>
        <v>2.2011071866197898</v>
      </c>
      <c r="K7" s="4">
        <f t="shared" si="3"/>
        <v>1.9660781433873795</v>
      </c>
      <c r="L7" s="17">
        <v>2.71</v>
      </c>
      <c r="M7" s="17">
        <f t="shared" ref="M7:M9" si="10">L7/K7-1</f>
        <v>0.3783785802790669</v>
      </c>
      <c r="N7" s="20">
        <f t="shared" si="4"/>
        <v>0.85617689747687675</v>
      </c>
      <c r="O7" s="2"/>
      <c r="P7" s="4">
        <v>17.45</v>
      </c>
      <c r="Q7" s="4">
        <v>59.5</v>
      </c>
      <c r="R7" s="4">
        <v>55.01</v>
      </c>
      <c r="S7" s="8">
        <f>((Q7-P7)-(R7-P7))/(R7-P7)</f>
        <v>0.11954206602768888</v>
      </c>
      <c r="AB7" s="20">
        <v>0.112</v>
      </c>
      <c r="AC7" s="25">
        <v>1.9650000000000001</v>
      </c>
      <c r="AE7" s="26">
        <v>2.1680110939659158E-3</v>
      </c>
      <c r="AF7" s="26">
        <v>2.1875427254443025E-3</v>
      </c>
      <c r="AG7" s="26">
        <v>2.1094161995343086E-3</v>
      </c>
      <c r="AH7" s="26">
        <v>2.1094161995378613E-3</v>
      </c>
      <c r="AI7" s="26">
        <v>2.0898845680576983E-3</v>
      </c>
      <c r="AJ7" s="55">
        <f t="shared" si="5"/>
        <v>2.1328541573080173E-3</v>
      </c>
      <c r="AL7" s="3">
        <f t="shared" si="6"/>
        <v>1.9660781433873795</v>
      </c>
      <c r="AM7" s="27">
        <f t="shared" si="7"/>
        <v>0.11954206602768888</v>
      </c>
      <c r="AN7" s="3">
        <f t="shared" si="8"/>
        <v>2.1328541573080173E-3</v>
      </c>
      <c r="AO7" s="46">
        <f t="shared" si="9"/>
        <v>0.85617689747687675</v>
      </c>
      <c r="AP7" s="3">
        <v>0.34399999999999997</v>
      </c>
      <c r="AQ7" s="47">
        <v>10.792218901392721</v>
      </c>
    </row>
    <row r="8" spans="2:43" ht="21.85" customHeight="1" x14ac:dyDescent="0.45">
      <c r="B8" s="62"/>
      <c r="C8" s="4" t="s">
        <v>10</v>
      </c>
      <c r="D8" s="4" t="s">
        <v>27</v>
      </c>
      <c r="E8" s="4">
        <v>3595.2</v>
      </c>
      <c r="F8" s="3">
        <v>939.61803067669177</v>
      </c>
      <c r="G8" s="4">
        <v>5676.8</v>
      </c>
      <c r="H8" s="4">
        <f>G8-E8</f>
        <v>2081.6000000000004</v>
      </c>
      <c r="I8" s="9">
        <f t="shared" si="1"/>
        <v>0.13162271323354713</v>
      </c>
      <c r="J8" s="4">
        <f t="shared" si="2"/>
        <v>2.215368300777369</v>
      </c>
      <c r="K8" s="4">
        <f t="shared" si="3"/>
        <v>1.9576916183018995</v>
      </c>
      <c r="L8" s="17">
        <v>2.71</v>
      </c>
      <c r="M8" s="17">
        <f t="shared" si="10"/>
        <v>0.38428339512974574</v>
      </c>
      <c r="N8" s="20">
        <f t="shared" si="4"/>
        <v>0.92821484712468727</v>
      </c>
      <c r="O8" s="2"/>
      <c r="P8" s="4">
        <v>17.899999999999999</v>
      </c>
      <c r="Q8" s="4">
        <v>65.53</v>
      </c>
      <c r="R8" s="4">
        <v>59.99</v>
      </c>
      <c r="S8" s="8">
        <f>((Q8-P8)-(R8-P8))/(R8-P8)</f>
        <v>0.13162271323354713</v>
      </c>
      <c r="AE8" s="26">
        <v>2.7148967753269915E-3</v>
      </c>
      <c r="AF8" s="26">
        <v>2.6367702494169976E-3</v>
      </c>
      <c r="AG8" s="26">
        <v>2.597706986463777E-3</v>
      </c>
      <c r="AH8" s="26">
        <v>2.5781753549836139E-3</v>
      </c>
      <c r="AI8" s="26">
        <v>2.636770249424103E-3</v>
      </c>
      <c r="AJ8" s="55">
        <f t="shared" si="5"/>
        <v>2.6328639231230967E-3</v>
      </c>
      <c r="AL8" s="3">
        <f t="shared" si="6"/>
        <v>1.9576916183018995</v>
      </c>
      <c r="AM8" s="27">
        <f t="shared" si="7"/>
        <v>0.13162271323354713</v>
      </c>
      <c r="AN8" s="3">
        <f t="shared" si="8"/>
        <v>2.6328639231230967E-3</v>
      </c>
      <c r="AO8" s="46">
        <f t="shared" si="9"/>
        <v>0.92821484712468727</v>
      </c>
      <c r="AP8" s="3">
        <v>0.34399999999999997</v>
      </c>
      <c r="AQ8" s="47">
        <v>1.7429536490818622</v>
      </c>
    </row>
    <row r="9" spans="2:43" ht="21.85" customHeight="1" x14ac:dyDescent="0.45">
      <c r="B9" s="62"/>
      <c r="C9" s="4" t="s">
        <v>10</v>
      </c>
      <c r="D9" s="4" t="s">
        <v>5</v>
      </c>
      <c r="E9" s="4">
        <v>3577</v>
      </c>
      <c r="F9" s="3">
        <v>939.61803067669177</v>
      </c>
      <c r="G9" s="4">
        <v>5614.8</v>
      </c>
      <c r="H9" s="4">
        <f>G9-E9</f>
        <v>2037.8000000000002</v>
      </c>
      <c r="I9" s="9">
        <f>S9</f>
        <v>0.14385679414157856</v>
      </c>
      <c r="J9" s="4">
        <f>H9/F9</f>
        <v>2.1687536142025952</v>
      </c>
      <c r="K9" s="4">
        <f>J9/(1+I9)</f>
        <v>1.8960009900803738</v>
      </c>
      <c r="L9" s="17">
        <v>2.71</v>
      </c>
      <c r="M9" s="17">
        <f t="shared" si="10"/>
        <v>0.42932414812985931</v>
      </c>
      <c r="N9" s="20">
        <f t="shared" si="4"/>
        <v>0.90805959511450052</v>
      </c>
      <c r="O9" s="2"/>
      <c r="P9" s="4">
        <v>19.11</v>
      </c>
      <c r="Q9" s="4">
        <v>89.4</v>
      </c>
      <c r="R9" s="4">
        <v>80.56</v>
      </c>
      <c r="S9" s="8">
        <f>((Q9-P9)-(R9-P9))/(R9-P9)</f>
        <v>0.14385679414157856</v>
      </c>
      <c r="AE9" s="26">
        <v>2.0898845680576983E-3</v>
      </c>
      <c r="AF9" s="26">
        <v>2.0508213051044777E-3</v>
      </c>
      <c r="AG9" s="26">
        <v>2.0117580421512571E-3</v>
      </c>
      <c r="AH9" s="26">
        <v>2.0703529365775353E-3</v>
      </c>
      <c r="AI9" s="26">
        <v>2.0508213051044777E-3</v>
      </c>
      <c r="AJ9" s="55">
        <f t="shared" si="5"/>
        <v>2.0547276313990894E-3</v>
      </c>
      <c r="AL9" s="32">
        <f t="shared" si="6"/>
        <v>1.8960009900803738</v>
      </c>
      <c r="AM9" s="49">
        <f t="shared" si="7"/>
        <v>0.14385679414157856</v>
      </c>
      <c r="AN9" s="32">
        <f t="shared" si="8"/>
        <v>2.0547276313990894E-3</v>
      </c>
      <c r="AO9" s="46">
        <f t="shared" si="9"/>
        <v>0.90805959511450052</v>
      </c>
      <c r="AP9" s="3">
        <v>0.34399999999999997</v>
      </c>
      <c r="AQ9" s="47">
        <v>14.349388285701364</v>
      </c>
    </row>
    <row r="10" spans="2:43" ht="64.900000000000006" customHeight="1" x14ac:dyDescent="0.45">
      <c r="C10" s="2"/>
      <c r="D10" s="2"/>
      <c r="E10" s="2"/>
      <c r="G10" s="2"/>
      <c r="H10" s="2"/>
      <c r="I10" s="11"/>
      <c r="J10" s="2"/>
      <c r="K10" s="2"/>
      <c r="L10" s="2"/>
      <c r="M10" s="2"/>
      <c r="N10" s="2"/>
      <c r="O10" s="2"/>
      <c r="P10" s="2"/>
      <c r="Q10" s="2"/>
      <c r="R10" s="2"/>
      <c r="S10" s="12"/>
      <c r="AJ10" s="56"/>
      <c r="AL10" s="34"/>
      <c r="AM10" s="35"/>
      <c r="AN10" s="34"/>
      <c r="AQ10" s="48"/>
    </row>
    <row r="11" spans="2:43" ht="21.85" customHeight="1" x14ac:dyDescent="0.45">
      <c r="B11" s="62" t="s">
        <v>26</v>
      </c>
      <c r="C11" s="4" t="s">
        <v>26</v>
      </c>
      <c r="D11" s="4" t="s">
        <v>1</v>
      </c>
      <c r="E11" s="4">
        <v>3579</v>
      </c>
      <c r="F11" s="3">
        <v>939.61803067669177</v>
      </c>
      <c r="G11" s="4">
        <v>5582.2</v>
      </c>
      <c r="H11" s="4">
        <f t="shared" si="0"/>
        <v>2003.1999999999998</v>
      </c>
      <c r="I11" s="9">
        <f t="shared" si="1"/>
        <v>5.7142857142856933E-2</v>
      </c>
      <c r="J11" s="4">
        <f t="shared" si="2"/>
        <v>2.1319301403330249</v>
      </c>
      <c r="K11" s="4">
        <f t="shared" si="3"/>
        <v>2.016690673287997</v>
      </c>
      <c r="L11" s="17">
        <v>2.71</v>
      </c>
      <c r="M11" s="17">
        <f>L11/K11-1</f>
        <v>0.34378565632062785</v>
      </c>
      <c r="N11" s="20">
        <f>(I11)*(L11/M11)</f>
        <v>0.45044678278466777</v>
      </c>
      <c r="O11" s="2"/>
      <c r="P11" s="4">
        <v>18.989999999999998</v>
      </c>
      <c r="Q11" s="4">
        <v>52.29</v>
      </c>
      <c r="R11" s="4">
        <v>50.49</v>
      </c>
      <c r="S11" s="10">
        <f>((Q11-P11)-(R11-P11))/(R11-P11)</f>
        <v>5.7142857142856933E-2</v>
      </c>
      <c r="AB11" s="63" t="s">
        <v>33</v>
      </c>
      <c r="AC11" s="63"/>
      <c r="AE11" s="26">
        <v>1.8555049903317133E-3</v>
      </c>
      <c r="AF11" s="26">
        <v>1.6015937811282299E-3</v>
      </c>
      <c r="AG11" s="26">
        <v>1.5625305181750093E-3</v>
      </c>
      <c r="AH11" s="26">
        <v>1.503935623738073E-3</v>
      </c>
      <c r="AI11" s="26">
        <v>1.523467255218236E-3</v>
      </c>
      <c r="AJ11" s="55">
        <f t="shared" si="5"/>
        <v>1.6094064337182524E-3</v>
      </c>
      <c r="AL11" s="33">
        <f t="shared" si="6"/>
        <v>2.016690673287997</v>
      </c>
      <c r="AM11" s="50">
        <f t="shared" si="7"/>
        <v>5.7142857142856933E-2</v>
      </c>
      <c r="AN11" s="33">
        <f>AJ11</f>
        <v>1.6094064337182524E-3</v>
      </c>
      <c r="AO11" s="46">
        <f>N11</f>
        <v>0.45044678278466777</v>
      </c>
      <c r="AP11" s="47">
        <v>0.34200000000000003</v>
      </c>
      <c r="AQ11" s="47">
        <v>72.820419249846893</v>
      </c>
    </row>
    <row r="12" spans="2:43" ht="21.85" customHeight="1" x14ac:dyDescent="0.45">
      <c r="B12" s="62"/>
      <c r="C12" s="4" t="s">
        <v>26</v>
      </c>
      <c r="D12" s="4" t="s">
        <v>2</v>
      </c>
      <c r="E12" s="4">
        <v>3573.4</v>
      </c>
      <c r="F12" s="3">
        <v>939.61803067669177</v>
      </c>
      <c r="G12" s="4">
        <v>5629.4</v>
      </c>
      <c r="H12" s="4">
        <f t="shared" si="0"/>
        <v>2055.9999999999995</v>
      </c>
      <c r="I12" s="9">
        <f t="shared" si="1"/>
        <v>6.9455103607060725E-2</v>
      </c>
      <c r="J12" s="4">
        <f t="shared" si="2"/>
        <v>2.1881231871628883</v>
      </c>
      <c r="K12" s="4">
        <f t="shared" si="3"/>
        <v>2.0460168732495467</v>
      </c>
      <c r="L12" s="17">
        <v>2.71</v>
      </c>
      <c r="M12" s="17">
        <f>L12/K12-1</f>
        <v>0.32452475609152476</v>
      </c>
      <c r="N12" s="20">
        <f t="shared" si="4"/>
        <v>0.57999683303683147</v>
      </c>
      <c r="O12" s="2"/>
      <c r="P12" s="4">
        <v>16.7</v>
      </c>
      <c r="Q12" s="4">
        <v>44.57</v>
      </c>
      <c r="R12" s="4">
        <v>42.76</v>
      </c>
      <c r="S12" s="10">
        <f>((Q12-P12)-(R12-P12))/(R12-P12)</f>
        <v>6.9455103607060725E-2</v>
      </c>
      <c r="AB12" s="6" t="s">
        <v>31</v>
      </c>
      <c r="AC12" s="6" t="s">
        <v>32</v>
      </c>
      <c r="AE12" s="26">
        <v>1.4844039922654595E-3</v>
      </c>
      <c r="AF12" s="26">
        <v>1.3281509404468039E-3</v>
      </c>
      <c r="AG12" s="26">
        <v>1.2890876774953597E-3</v>
      </c>
      <c r="AH12" s="26">
        <v>1.3672142034018009E-3</v>
      </c>
      <c r="AI12" s="26">
        <v>1.289087677491807E-3</v>
      </c>
      <c r="AJ12" s="55">
        <f t="shared" si="5"/>
        <v>1.3515888982202461E-3</v>
      </c>
      <c r="AL12" s="3">
        <f t="shared" si="6"/>
        <v>2.0460168732495467</v>
      </c>
      <c r="AM12" s="27">
        <f t="shared" si="7"/>
        <v>6.9455103607060725E-2</v>
      </c>
      <c r="AN12" s="3">
        <f t="shared" ref="AN12:AN20" si="11">AJ12</f>
        <v>1.3515888982202461E-3</v>
      </c>
      <c r="AO12" s="46">
        <f t="shared" ref="AO12:AO14" si="12">N12</f>
        <v>0.57999683303683147</v>
      </c>
      <c r="AP12" s="47">
        <v>0.34200000000000003</v>
      </c>
      <c r="AQ12" s="47">
        <v>191.11743360723705</v>
      </c>
    </row>
    <row r="13" spans="2:43" ht="21.85" customHeight="1" x14ac:dyDescent="0.45">
      <c r="B13" s="62"/>
      <c r="C13" s="4" t="s">
        <v>26</v>
      </c>
      <c r="D13" s="4" t="s">
        <v>3</v>
      </c>
      <c r="E13" s="4">
        <v>3555.8</v>
      </c>
      <c r="F13" s="3">
        <v>939.61803067669177</v>
      </c>
      <c r="G13" s="4">
        <v>5668</v>
      </c>
      <c r="H13" s="4">
        <f t="shared" si="0"/>
        <v>2112.1999999999998</v>
      </c>
      <c r="I13" s="9">
        <f t="shared" si="1"/>
        <v>9.3951093951094009E-2</v>
      </c>
      <c r="J13" s="4">
        <f t="shared" si="2"/>
        <v>2.2479347256446758</v>
      </c>
      <c r="K13" s="4">
        <f t="shared" si="3"/>
        <v>2.054876802148133</v>
      </c>
      <c r="L13" s="17">
        <v>2.71</v>
      </c>
      <c r="M13" s="17">
        <f t="shared" ref="M13" si="13">L13/K13-1</f>
        <v>0.31881385646429639</v>
      </c>
      <c r="N13" s="20">
        <f t="shared" si="4"/>
        <v>0.79860852797023252</v>
      </c>
      <c r="O13" s="2"/>
      <c r="P13" s="4">
        <v>17.649999999999999</v>
      </c>
      <c r="Q13" s="4">
        <v>51.65</v>
      </c>
      <c r="R13" s="4">
        <v>48.73</v>
      </c>
      <c r="S13" s="10">
        <f>((Q13-P13)-(R13-P13))/(R13-P13)</f>
        <v>9.3951093951094009E-2</v>
      </c>
      <c r="AB13" s="20">
        <v>9.4E-2</v>
      </c>
      <c r="AC13" s="25">
        <v>2.0649999999999999</v>
      </c>
      <c r="AE13" s="26">
        <v>1.3281509404468039E-3</v>
      </c>
      <c r="AF13" s="26">
        <v>1.30861930897197E-3</v>
      </c>
      <c r="AG13" s="26">
        <v>1.30861930897197E-3</v>
      </c>
      <c r="AH13" s="26">
        <v>1.30861930897197E-3</v>
      </c>
      <c r="AI13" s="26">
        <v>1.30861930897197E-3</v>
      </c>
      <c r="AJ13" s="55">
        <f>AVERAGE(AE13:AI13)</f>
        <v>1.3125256352669369E-3</v>
      </c>
      <c r="AL13" s="3">
        <f t="shared" si="6"/>
        <v>2.054876802148133</v>
      </c>
      <c r="AM13" s="27">
        <f t="shared" si="7"/>
        <v>9.3951093951094009E-2</v>
      </c>
      <c r="AN13" s="3">
        <f t="shared" si="11"/>
        <v>1.3125256352669369E-3</v>
      </c>
      <c r="AO13" s="46">
        <f t="shared" si="12"/>
        <v>0.79860852797023252</v>
      </c>
      <c r="AP13" s="3">
        <v>0.34399999999999997</v>
      </c>
      <c r="AQ13" s="47">
        <v>221.54039519476154</v>
      </c>
    </row>
    <row r="14" spans="2:43" ht="21.85" customHeight="1" x14ac:dyDescent="0.45">
      <c r="B14" s="62"/>
      <c r="C14" s="4" t="s">
        <v>26</v>
      </c>
      <c r="D14" s="4" t="s">
        <v>4</v>
      </c>
      <c r="E14" s="4">
        <v>3981.6</v>
      </c>
      <c r="F14" s="3">
        <v>939.61803067669177</v>
      </c>
      <c r="G14" s="4">
        <v>6126</v>
      </c>
      <c r="H14" s="4">
        <f t="shared" si="0"/>
        <v>2144.4</v>
      </c>
      <c r="I14" s="9">
        <f t="shared" si="1"/>
        <v>0.10994263862332682</v>
      </c>
      <c r="J14" s="4">
        <f t="shared" si="2"/>
        <v>2.2822039701128887</v>
      </c>
      <c r="K14" s="4">
        <f t="shared" si="3"/>
        <v>2.0561458679914573</v>
      </c>
      <c r="L14" s="17">
        <v>2.71</v>
      </c>
      <c r="M14" s="17">
        <f>L14/K14-1</f>
        <v>0.31799987646171179</v>
      </c>
      <c r="N14" s="20">
        <f t="shared" si="4"/>
        <v>0.93693291325881733</v>
      </c>
      <c r="O14" s="2"/>
      <c r="P14" s="4">
        <v>18.57</v>
      </c>
      <c r="Q14" s="4">
        <v>53.4</v>
      </c>
      <c r="R14" s="4">
        <v>49.95</v>
      </c>
      <c r="S14" s="10">
        <f>((Q14-P14)-(R14-P14))/(R14-P14)</f>
        <v>0.10994263862332682</v>
      </c>
      <c r="AE14" s="26">
        <v>2.3633274087373479E-3</v>
      </c>
      <c r="AF14" s="26">
        <v>2.3242641457841273E-3</v>
      </c>
      <c r="AG14" s="26">
        <v>2.2266059883975231E-3</v>
      </c>
      <c r="AH14" s="26">
        <v>2.2852008828380121E-3</v>
      </c>
      <c r="AI14" s="26">
        <v>2.2461376198776861E-3</v>
      </c>
      <c r="AJ14" s="55">
        <f t="shared" si="5"/>
        <v>2.2891072091269392E-3</v>
      </c>
      <c r="AL14" s="32">
        <f t="shared" si="6"/>
        <v>2.0561458679914573</v>
      </c>
      <c r="AM14" s="49">
        <f t="shared" si="7"/>
        <v>0.10994263862332682</v>
      </c>
      <c r="AN14" s="32">
        <f t="shared" si="11"/>
        <v>2.2891072091269392E-3</v>
      </c>
      <c r="AO14" s="46">
        <f t="shared" si="12"/>
        <v>0.93693291325881733</v>
      </c>
      <c r="AP14" s="3">
        <v>0.34399999999999997</v>
      </c>
      <c r="AQ14" s="47">
        <v>6.1047159611294095</v>
      </c>
    </row>
    <row r="15" spans="2:43" ht="21.85" customHeight="1" x14ac:dyDescent="0.45">
      <c r="B15" s="62"/>
      <c r="C15" s="4" t="s">
        <v>26</v>
      </c>
      <c r="D15" s="4" t="s">
        <v>6</v>
      </c>
      <c r="E15" s="4">
        <v>3580.8</v>
      </c>
      <c r="F15" s="3">
        <v>939.61803067669177</v>
      </c>
      <c r="G15" s="4">
        <v>5682</v>
      </c>
      <c r="H15" s="4">
        <f>G15-E15</f>
        <v>2101.1999999999998</v>
      </c>
      <c r="I15" s="9">
        <f>S15</f>
        <v>0.13374411018484977</v>
      </c>
      <c r="J15" s="4">
        <f>H15/F15</f>
        <v>2.2362278408884544</v>
      </c>
      <c r="K15" s="4">
        <f>J15/(1+I15)</f>
        <v>1.9724273059498865</v>
      </c>
      <c r="L15" s="17">
        <v>2.71</v>
      </c>
      <c r="M15" s="17">
        <f>L15/K15-1</f>
        <v>0.37394163618867138</v>
      </c>
      <c r="N15" s="20">
        <f t="shared" si="4"/>
        <v>0.96925964782929741</v>
      </c>
      <c r="O15" s="2"/>
      <c r="P15" s="4">
        <v>16.64</v>
      </c>
      <c r="Q15" s="4">
        <v>79.2</v>
      </c>
      <c r="R15" s="4">
        <v>71.819999999999993</v>
      </c>
      <c r="S15" s="8">
        <f>((Q15-P15)-(R15-P15))/(R15-P15)</f>
        <v>0.13374411018484977</v>
      </c>
      <c r="AE15" s="26">
        <v>2.8516181956677045E-3</v>
      </c>
      <c r="AF15" s="26">
        <v>2.7344284068071545E-3</v>
      </c>
      <c r="AG15" s="26">
        <v>2.61723861794394E-3</v>
      </c>
      <c r="AH15" s="26">
        <v>2.6758335123702182E-3</v>
      </c>
      <c r="AI15" s="26">
        <v>2.7344284068036018E-3</v>
      </c>
      <c r="AJ15" s="55">
        <f t="shared" si="5"/>
        <v>2.7227094279185238E-3</v>
      </c>
      <c r="AL15" s="32">
        <f t="shared" ref="AL15" si="14">K15</f>
        <v>1.9724273059498865</v>
      </c>
      <c r="AM15" s="49">
        <f t="shared" ref="AM15" si="15">S15</f>
        <v>0.13374411018484977</v>
      </c>
      <c r="AN15" s="32">
        <f t="shared" ref="AN15" si="16">AJ15</f>
        <v>2.7227094279185238E-3</v>
      </c>
      <c r="AO15" s="51">
        <f t="shared" ref="AO15" si="17">N15</f>
        <v>0.96925964782929741</v>
      </c>
      <c r="AP15" s="3">
        <v>0.34399999999999997</v>
      </c>
      <c r="AQ15" s="57">
        <v>1.2560438454204883</v>
      </c>
    </row>
    <row r="16" spans="2:43" ht="79.5" customHeight="1" x14ac:dyDescent="0.45">
      <c r="AJ16" s="56"/>
      <c r="AL16" s="34"/>
      <c r="AM16" s="35"/>
      <c r="AN16" s="34"/>
      <c r="AO16" s="53"/>
      <c r="AP16" s="54"/>
      <c r="AQ16" s="54"/>
    </row>
    <row r="17" spans="2:43" ht="21.85" customHeight="1" x14ac:dyDescent="0.45">
      <c r="B17" s="62" t="s">
        <v>30</v>
      </c>
      <c r="C17" s="4" t="s">
        <v>28</v>
      </c>
      <c r="D17" s="4" t="s">
        <v>1</v>
      </c>
      <c r="E17" s="4">
        <v>3579</v>
      </c>
      <c r="F17" s="3">
        <v>939.61803067669177</v>
      </c>
      <c r="G17" s="4">
        <v>5621</v>
      </c>
      <c r="H17" s="4">
        <f t="shared" si="0"/>
        <v>2042</v>
      </c>
      <c r="I17" s="9">
        <f t="shared" si="1"/>
        <v>4.5409015025041716E-2</v>
      </c>
      <c r="J17" s="4">
        <f t="shared" si="2"/>
        <v>2.1732235156549704</v>
      </c>
      <c r="K17" s="4">
        <f t="shared" si="3"/>
        <v>2.0788260713467381</v>
      </c>
      <c r="L17" s="17">
        <v>2.71</v>
      </c>
      <c r="M17" s="17">
        <f>L17/K17-1</f>
        <v>0.30362036408575754</v>
      </c>
      <c r="N17" s="20">
        <f>(I17)*(L17/M17)</f>
        <v>0.40530361357153633</v>
      </c>
      <c r="P17" s="4">
        <v>15.98</v>
      </c>
      <c r="Q17" s="4">
        <v>47.29</v>
      </c>
      <c r="R17" s="4">
        <v>45.93</v>
      </c>
      <c r="S17" s="10">
        <f>((Q17-P17)-(R17-P17))/(R17-P17)</f>
        <v>4.5409015025041716E-2</v>
      </c>
      <c r="AB17" s="63" t="s">
        <v>33</v>
      </c>
      <c r="AC17" s="63"/>
      <c r="AE17" s="26">
        <v>2.0312896736278674E-3</v>
      </c>
      <c r="AF17" s="26">
        <v>1.9922264106710941E-3</v>
      </c>
      <c r="AG17" s="26">
        <v>2.3047325143039643E-3</v>
      </c>
      <c r="AH17" s="26">
        <v>2.3047325143039643E-3</v>
      </c>
      <c r="AI17" s="26">
        <v>2.3242641457841273E-3</v>
      </c>
      <c r="AJ17" s="55">
        <f t="shared" si="5"/>
        <v>2.1914490517382034E-3</v>
      </c>
      <c r="AL17" s="33">
        <f t="shared" si="6"/>
        <v>2.0788260713467381</v>
      </c>
      <c r="AM17" s="50">
        <f t="shared" si="7"/>
        <v>4.5409015025041716E-2</v>
      </c>
      <c r="AN17" s="33">
        <f t="shared" si="11"/>
        <v>2.1914490517382034E-3</v>
      </c>
      <c r="AO17" s="52">
        <f t="shared" ref="AO17:AO19" si="18">N17</f>
        <v>0.40530361357153633</v>
      </c>
      <c r="AP17" s="47">
        <v>0.34</v>
      </c>
      <c r="AQ17" s="58">
        <v>8.7338834199091426</v>
      </c>
    </row>
    <row r="18" spans="2:43" ht="21.85" customHeight="1" x14ac:dyDescent="0.45">
      <c r="B18" s="62"/>
      <c r="C18" s="4" t="s">
        <v>28</v>
      </c>
      <c r="D18" s="4" t="s">
        <v>2</v>
      </c>
      <c r="E18" s="4">
        <v>3543.4</v>
      </c>
      <c r="F18" s="3">
        <v>939.61803067669177</v>
      </c>
      <c r="G18" s="4">
        <v>5694.2</v>
      </c>
      <c r="H18" s="4">
        <f t="shared" si="0"/>
        <v>2150.7999999999997</v>
      </c>
      <c r="I18" s="9">
        <f t="shared" si="1"/>
        <v>7.8056951423785534E-2</v>
      </c>
      <c r="J18" s="4">
        <f t="shared" si="2"/>
        <v>2.2890152485165083</v>
      </c>
      <c r="K18" s="4">
        <f t="shared" si="3"/>
        <v>2.1232785944132311</v>
      </c>
      <c r="L18" s="17">
        <v>2.71</v>
      </c>
      <c r="M18" s="17">
        <f>L18/K18-1</f>
        <v>0.27632803680616846</v>
      </c>
      <c r="N18" s="20">
        <f t="shared" ref="N18:N20" si="19">(I18)*(L18/M18)</f>
        <v>0.76551891296806951</v>
      </c>
      <c r="P18" s="4">
        <v>23.21</v>
      </c>
      <c r="Q18" s="4">
        <v>55.39</v>
      </c>
      <c r="R18" s="4">
        <v>53.06</v>
      </c>
      <c r="S18" s="10">
        <f>((Q18-P18)-(R18-P18))/(R18-P18)</f>
        <v>7.8056951423785534E-2</v>
      </c>
      <c r="AB18" s="6" t="s">
        <v>31</v>
      </c>
      <c r="AC18" s="6" t="s">
        <v>32</v>
      </c>
      <c r="AE18" s="26">
        <v>1.6797203070373357E-3</v>
      </c>
      <c r="AF18" s="26">
        <v>1.5234672552217887E-3</v>
      </c>
      <c r="AG18" s="26">
        <v>1.523467255218236E-3</v>
      </c>
      <c r="AH18" s="26">
        <v>1.5039356237451784E-3</v>
      </c>
      <c r="AI18" s="26">
        <v>1.5039356237309676E-3</v>
      </c>
      <c r="AJ18" s="55">
        <f t="shared" si="5"/>
        <v>1.5469052129907014E-3</v>
      </c>
      <c r="AL18" s="3">
        <f t="shared" si="6"/>
        <v>2.1232785944132311</v>
      </c>
      <c r="AM18" s="27">
        <f t="shared" si="7"/>
        <v>7.8056951423785534E-2</v>
      </c>
      <c r="AN18" s="3">
        <f t="shared" si="11"/>
        <v>1.5469052129907014E-3</v>
      </c>
      <c r="AO18" s="46">
        <f t="shared" si="18"/>
        <v>0.76551891296806951</v>
      </c>
      <c r="AP18" s="3">
        <v>0.34399999999999997</v>
      </c>
      <c r="AQ18" s="47">
        <v>91.417756589907754</v>
      </c>
    </row>
    <row r="19" spans="2:43" ht="21.85" customHeight="1" x14ac:dyDescent="0.45">
      <c r="B19" s="62"/>
      <c r="C19" s="4" t="s">
        <v>28</v>
      </c>
      <c r="D19" s="4" t="s">
        <v>3</v>
      </c>
      <c r="E19" s="4">
        <v>3555.8</v>
      </c>
      <c r="F19" s="3">
        <v>939.61803067669177</v>
      </c>
      <c r="G19" s="4">
        <v>5754.4</v>
      </c>
      <c r="H19" s="4">
        <f t="shared" si="0"/>
        <v>2198.5999999999995</v>
      </c>
      <c r="I19" s="9">
        <f t="shared" si="1"/>
        <v>9.9105071262843708E-2</v>
      </c>
      <c r="J19" s="4">
        <f t="shared" si="2"/>
        <v>2.3398869840935439</v>
      </c>
      <c r="K19" s="4">
        <f t="shared" si="3"/>
        <v>2.1289019997015148</v>
      </c>
      <c r="L19" s="17">
        <v>2.71</v>
      </c>
      <c r="M19" s="17">
        <f t="shared" ref="M19:M20" si="20">L19/K19-1</f>
        <v>0.27295666986078215</v>
      </c>
      <c r="N19" s="20">
        <f t="shared" si="19"/>
        <v>0.983946438309382</v>
      </c>
      <c r="P19" s="4">
        <v>19.21</v>
      </c>
      <c r="Q19" s="4">
        <v>52.37</v>
      </c>
      <c r="R19" s="4">
        <v>49.38</v>
      </c>
      <c r="S19" s="10">
        <f>((Q19-P19)-(R19-P19))/(R19-P19)</f>
        <v>9.9105071262843708E-2</v>
      </c>
      <c r="AB19" s="20">
        <v>8.0500000000000002E-2</v>
      </c>
      <c r="AC19" s="25">
        <v>2.1349999999999998</v>
      </c>
      <c r="AE19" s="26">
        <v>1.5234672552217887E-3</v>
      </c>
      <c r="AF19" s="26">
        <v>1.5039356237416257E-3</v>
      </c>
      <c r="AG19" s="26">
        <v>1.5039356237451784E-3</v>
      </c>
      <c r="AH19" s="26">
        <v>1.503935623738073E-3</v>
      </c>
      <c r="AI19" s="26">
        <v>1.5039356237451784E-3</v>
      </c>
      <c r="AJ19" s="55">
        <f t="shared" si="5"/>
        <v>1.5078419500383689E-3</v>
      </c>
      <c r="AL19" s="3">
        <f t="shared" si="6"/>
        <v>2.1289019997015148</v>
      </c>
      <c r="AM19" s="27">
        <f t="shared" si="7"/>
        <v>9.9105071262843708E-2</v>
      </c>
      <c r="AN19" s="3">
        <f t="shared" si="11"/>
        <v>1.5078419500383689E-3</v>
      </c>
      <c r="AO19" s="46">
        <f t="shared" si="18"/>
        <v>0.983946438309382</v>
      </c>
      <c r="AP19" s="3">
        <v>0.34399999999999997</v>
      </c>
      <c r="AQ19" s="47">
        <v>105.63437015283893</v>
      </c>
    </row>
    <row r="20" spans="2:43" ht="21.85" customHeight="1" x14ac:dyDescent="0.45">
      <c r="B20" s="62"/>
      <c r="C20" s="4" t="s">
        <v>28</v>
      </c>
      <c r="D20" s="4" t="s">
        <v>4</v>
      </c>
      <c r="E20" s="4">
        <v>3981.6</v>
      </c>
      <c r="F20" s="3">
        <v>939.618030676692</v>
      </c>
      <c r="G20" s="4">
        <v>6144.8</v>
      </c>
      <c r="H20" s="4">
        <f t="shared" si="0"/>
        <v>2163.2000000000003</v>
      </c>
      <c r="I20" s="9">
        <f t="shared" si="1"/>
        <v>0.11525518788558609</v>
      </c>
      <c r="J20" s="4">
        <f t="shared" si="2"/>
        <v>2.3022121004235219</v>
      </c>
      <c r="K20" s="4">
        <f t="shared" si="3"/>
        <v>2.0642917651773396</v>
      </c>
      <c r="L20" s="17">
        <v>2.71</v>
      </c>
      <c r="M20" s="17">
        <f t="shared" si="20"/>
        <v>0.31279892005343002</v>
      </c>
      <c r="N20" s="20">
        <f t="shared" si="19"/>
        <v>0.99853784378982635</v>
      </c>
      <c r="P20" s="4">
        <v>19.77</v>
      </c>
      <c r="Q20" s="4">
        <v>59.54</v>
      </c>
      <c r="R20" s="4">
        <v>55.43</v>
      </c>
      <c r="S20" s="10">
        <f>((Q20-P20)-(R20-P20))/(R20-P20)</f>
        <v>0.11525518788558609</v>
      </c>
      <c r="AE20" s="26">
        <v>2.3242641457841273E-3</v>
      </c>
      <c r="AF20" s="26">
        <v>2.2461376198776861E-3</v>
      </c>
      <c r="AG20" s="26">
        <v>2.2266059883975231E-3</v>
      </c>
      <c r="AH20" s="26">
        <v>2.2656692513578491E-3</v>
      </c>
      <c r="AI20" s="26">
        <v>2.2461376198776861E-3</v>
      </c>
      <c r="AJ20" s="55">
        <f t="shared" si="5"/>
        <v>2.2617629250589744E-3</v>
      </c>
      <c r="AL20" s="3">
        <f t="shared" si="6"/>
        <v>2.0642917651773396</v>
      </c>
      <c r="AM20" s="27">
        <f t="shared" si="7"/>
        <v>0.11525518788558609</v>
      </c>
      <c r="AN20" s="3">
        <f t="shared" si="11"/>
        <v>2.2617629250589744E-3</v>
      </c>
      <c r="AO20" s="46">
        <f>N20</f>
        <v>0.99853784378982635</v>
      </c>
      <c r="AP20" s="3">
        <v>0.34399999999999997</v>
      </c>
      <c r="AQ20" s="47">
        <v>6.7447892892838883</v>
      </c>
    </row>
    <row r="41" spans="19:19" x14ac:dyDescent="0.45">
      <c r="S41" s="15"/>
    </row>
    <row r="42" spans="19:19" x14ac:dyDescent="0.45">
      <c r="S42" s="13"/>
    </row>
  </sheetData>
  <mergeCells count="10">
    <mergeCell ref="AE2:AJ2"/>
    <mergeCell ref="AL2:AQ2"/>
    <mergeCell ref="B17:B20"/>
    <mergeCell ref="AB5:AC5"/>
    <mergeCell ref="AB11:AC11"/>
    <mergeCell ref="AB17:AC17"/>
    <mergeCell ref="P2:S2"/>
    <mergeCell ref="B5:B9"/>
    <mergeCell ref="B11:B15"/>
    <mergeCell ref="C2:N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DFA6-7666-43AD-A8AF-2ABD0E725009}">
  <dimension ref="B2:J392"/>
  <sheetViews>
    <sheetView zoomScale="70" zoomScaleNormal="70" workbookViewId="0">
      <selection activeCell="Q21" sqref="Q21"/>
    </sheetView>
  </sheetViews>
  <sheetFormatPr defaultRowHeight="14.25" x14ac:dyDescent="0.45"/>
  <cols>
    <col min="1" max="16384" width="9.06640625" style="1"/>
  </cols>
  <sheetData>
    <row r="2" spans="2:3" x14ac:dyDescent="0.45">
      <c r="B2" s="4" t="s">
        <v>42</v>
      </c>
      <c r="C2" s="4" t="s">
        <v>43</v>
      </c>
    </row>
    <row r="3" spans="2:3" x14ac:dyDescent="0.45">
      <c r="B3" s="4">
        <v>21.108663940295699</v>
      </c>
      <c r="C3" s="4">
        <v>1.63902694E-4</v>
      </c>
    </row>
    <row r="4" spans="2:3" x14ac:dyDescent="0.45">
      <c r="B4" s="4">
        <v>21.108683471927201</v>
      </c>
      <c r="C4" s="4">
        <v>1.9197525199999999E-4</v>
      </c>
    </row>
    <row r="5" spans="2:3" x14ac:dyDescent="0.45">
      <c r="B5" s="4">
        <v>21.108703003558698</v>
      </c>
      <c r="C5" s="4">
        <v>2.1028344199999999E-4</v>
      </c>
    </row>
    <row r="6" spans="2:3" x14ac:dyDescent="0.45">
      <c r="B6" s="4">
        <v>21.1087225351901</v>
      </c>
      <c r="C6" s="4">
        <v>2.7619292600000001E-4</v>
      </c>
    </row>
    <row r="7" spans="2:3" x14ac:dyDescent="0.45">
      <c r="B7" s="4">
        <v>21.108742066821598</v>
      </c>
      <c r="C7" s="4">
        <v>2.42017638E-4</v>
      </c>
    </row>
    <row r="8" spans="2:3" x14ac:dyDescent="0.45">
      <c r="B8" s="4">
        <v>21.1087615984531</v>
      </c>
      <c r="C8" s="4">
        <v>2.3896627300000001E-4</v>
      </c>
    </row>
    <row r="9" spans="2:3" x14ac:dyDescent="0.45">
      <c r="B9" s="4">
        <v>21.108781130084601</v>
      </c>
      <c r="C9" s="4">
        <v>2.5544364399999997E-4</v>
      </c>
    </row>
    <row r="10" spans="2:3" x14ac:dyDescent="0.45">
      <c r="B10" s="4">
        <v>21.108800661716099</v>
      </c>
      <c r="C10" s="4">
        <v>1.773287E-4</v>
      </c>
    </row>
    <row r="11" spans="2:3" x14ac:dyDescent="0.45">
      <c r="B11" s="4">
        <v>21.108820193347501</v>
      </c>
      <c r="C11" s="4">
        <v>1.9929852799999999E-4</v>
      </c>
    </row>
    <row r="12" spans="2:3" x14ac:dyDescent="0.45">
      <c r="B12" s="4">
        <v>21.108839724978999</v>
      </c>
      <c r="C12" s="4">
        <v>2.5727446299999998E-4</v>
      </c>
    </row>
    <row r="13" spans="2:3" x14ac:dyDescent="0.45">
      <c r="B13" s="4">
        <v>21.108859256610501</v>
      </c>
      <c r="C13" s="4">
        <v>3.0182439200000002E-4</v>
      </c>
    </row>
    <row r="14" spans="2:3" x14ac:dyDescent="0.45">
      <c r="B14" s="4">
        <v>21.108878788241999</v>
      </c>
      <c r="C14" s="4">
        <v>1.88923887E-4</v>
      </c>
    </row>
    <row r="15" spans="2:3" x14ac:dyDescent="0.45">
      <c r="B15" s="4">
        <v>21.108898319873401</v>
      </c>
      <c r="C15" s="4">
        <v>2.6764910399999998E-4</v>
      </c>
    </row>
    <row r="16" spans="2:3" x14ac:dyDescent="0.45">
      <c r="B16" s="4">
        <v>21.108917851504899</v>
      </c>
      <c r="C16" s="4">
        <v>2.4751009499999999E-4</v>
      </c>
    </row>
    <row r="17" spans="2:10" x14ac:dyDescent="0.45">
      <c r="B17" s="4">
        <v>21.1089373831364</v>
      </c>
      <c r="C17" s="4">
        <v>2.5056146000000001E-4</v>
      </c>
    </row>
    <row r="18" spans="2:10" x14ac:dyDescent="0.45">
      <c r="B18" s="4">
        <v>21.108956914767901</v>
      </c>
      <c r="C18" s="4">
        <v>2.9206002399999998E-4</v>
      </c>
    </row>
    <row r="19" spans="2:10" x14ac:dyDescent="0.45">
      <c r="B19" s="4">
        <v>21.1089764463993</v>
      </c>
      <c r="C19" s="4">
        <v>3.5003595900000002E-4</v>
      </c>
    </row>
    <row r="20" spans="2:10" x14ac:dyDescent="0.45">
      <c r="B20" s="4">
        <v>21.108995978030801</v>
      </c>
      <c r="C20" s="4">
        <v>2.6947992299999998E-4</v>
      </c>
    </row>
    <row r="21" spans="2:10" x14ac:dyDescent="0.45">
      <c r="B21" s="4">
        <v>21.109015509662299</v>
      </c>
      <c r="C21" s="4">
        <v>2.9999357300000001E-4</v>
      </c>
    </row>
    <row r="22" spans="2:10" x14ac:dyDescent="0.45">
      <c r="B22" s="4">
        <v>21.109035041293801</v>
      </c>
      <c r="C22" s="4">
        <v>2.6764910399999998E-4</v>
      </c>
    </row>
    <row r="23" spans="2:10" x14ac:dyDescent="0.45">
      <c r="B23" s="4">
        <v>21.109054572925299</v>
      </c>
      <c r="C23" s="4">
        <v>3.0670657599999999E-4</v>
      </c>
    </row>
    <row r="24" spans="2:10" x14ac:dyDescent="0.45">
      <c r="B24" s="4">
        <v>21.109074104556701</v>
      </c>
      <c r="C24" s="4">
        <v>2.5056146000000001E-4</v>
      </c>
      <c r="H24" s="43" t="s">
        <v>45</v>
      </c>
      <c r="I24" s="4">
        <v>21.10926942</v>
      </c>
      <c r="J24" s="3">
        <v>1.2E-2</v>
      </c>
    </row>
    <row r="25" spans="2:10" x14ac:dyDescent="0.45">
      <c r="B25" s="4">
        <v>21.109093636188199</v>
      </c>
      <c r="C25" s="4">
        <v>1.9624716300000001E-4</v>
      </c>
      <c r="H25" s="43" t="s">
        <v>46</v>
      </c>
      <c r="I25" s="4">
        <v>21.110695230000001</v>
      </c>
      <c r="J25" s="3">
        <v>5.0000000000000001E-3</v>
      </c>
    </row>
    <row r="26" spans="2:10" x14ac:dyDescent="0.45">
      <c r="B26" s="4">
        <v>21.1091131678197</v>
      </c>
      <c r="C26" s="4">
        <v>2.37135454E-4</v>
      </c>
    </row>
    <row r="27" spans="2:10" x14ac:dyDescent="0.45">
      <c r="B27" s="4">
        <v>21.109132699451202</v>
      </c>
      <c r="C27" s="4">
        <v>3.3538940700000001E-4</v>
      </c>
      <c r="H27" s="43" t="s">
        <v>44</v>
      </c>
      <c r="I27" s="44">
        <f>I25-I24</f>
        <v>1.425810000000638E-3</v>
      </c>
    </row>
    <row r="28" spans="2:10" x14ac:dyDescent="0.45">
      <c r="B28" s="4">
        <v>21.1091522310826</v>
      </c>
      <c r="C28" s="4">
        <v>3.1586067099999998E-4</v>
      </c>
    </row>
    <row r="29" spans="2:10" x14ac:dyDescent="0.45">
      <c r="B29" s="4">
        <v>21.109171762714102</v>
      </c>
      <c r="C29" s="4">
        <v>3.1036821400000001E-4</v>
      </c>
    </row>
    <row r="30" spans="2:10" x14ac:dyDescent="0.45">
      <c r="B30" s="4">
        <v>21.109191294345599</v>
      </c>
      <c r="C30" s="4">
        <v>8.5656254900000003E-4</v>
      </c>
    </row>
    <row r="31" spans="2:10" x14ac:dyDescent="0.45">
      <c r="B31" s="4">
        <v>21.109210825977101</v>
      </c>
      <c r="C31" s="4">
        <v>2.9333215679999999E-3</v>
      </c>
    </row>
    <row r="32" spans="2:10" x14ac:dyDescent="0.45">
      <c r="B32" s="4">
        <v>21.109230357608599</v>
      </c>
      <c r="C32" s="4">
        <v>6.6035033900000003E-3</v>
      </c>
    </row>
    <row r="33" spans="2:3" x14ac:dyDescent="0.45">
      <c r="B33" s="4">
        <v>21.109249889240001</v>
      </c>
      <c r="C33" s="4">
        <v>1.0894943125999999E-2</v>
      </c>
    </row>
    <row r="34" spans="2:3" x14ac:dyDescent="0.45">
      <c r="B34" s="4">
        <v>21.109269420871499</v>
      </c>
      <c r="C34" s="4">
        <v>1.1867108015000001E-2</v>
      </c>
    </row>
    <row r="35" spans="2:3" x14ac:dyDescent="0.45">
      <c r="B35" s="4">
        <v>21.109288952503</v>
      </c>
      <c r="C35" s="4">
        <v>8.3037239680000003E-3</v>
      </c>
    </row>
    <row r="36" spans="2:3" x14ac:dyDescent="0.45">
      <c r="B36" s="4">
        <v>21.109308484134498</v>
      </c>
      <c r="C36" s="4">
        <v>3.9414925639999999E-3</v>
      </c>
    </row>
    <row r="37" spans="2:3" x14ac:dyDescent="0.45">
      <c r="B37" s="4">
        <v>21.1093280157659</v>
      </c>
      <c r="C37" s="4">
        <v>7.3450794900000002E-4</v>
      </c>
    </row>
    <row r="38" spans="2:3" x14ac:dyDescent="0.45">
      <c r="B38" s="4">
        <v>21.109347547397402</v>
      </c>
      <c r="C38" s="4">
        <v>-2.3699508019999998E-3</v>
      </c>
    </row>
    <row r="39" spans="2:3" x14ac:dyDescent="0.45">
      <c r="B39" s="4">
        <v>21.1093670790289</v>
      </c>
      <c r="C39" s="4">
        <v>-4.1952773449999998E-3</v>
      </c>
    </row>
    <row r="40" spans="2:3" x14ac:dyDescent="0.45">
      <c r="B40" s="4">
        <v>21.109386610660401</v>
      </c>
      <c r="C40" s="4">
        <v>-4.7451333179999999E-3</v>
      </c>
    </row>
    <row r="41" spans="2:3" x14ac:dyDescent="0.45">
      <c r="B41" s="4">
        <v>21.1094061422918</v>
      </c>
      <c r="C41" s="4">
        <v>-4.8702392830000003E-3</v>
      </c>
    </row>
    <row r="42" spans="2:3" x14ac:dyDescent="0.45">
      <c r="B42" s="4">
        <v>21.109425673923301</v>
      </c>
      <c r="C42" s="4">
        <v>-4.3936160700000001E-3</v>
      </c>
    </row>
    <row r="43" spans="2:3" x14ac:dyDescent="0.45">
      <c r="B43" s="4">
        <v>21.109445205554799</v>
      </c>
      <c r="C43" s="4">
        <v>-3.2249432749999998E-3</v>
      </c>
    </row>
    <row r="44" spans="2:3" x14ac:dyDescent="0.45">
      <c r="B44" s="4">
        <v>21.1094647371863</v>
      </c>
      <c r="C44" s="4">
        <v>-2.747709789E-3</v>
      </c>
    </row>
    <row r="45" spans="2:3" x14ac:dyDescent="0.45">
      <c r="B45" s="4">
        <v>21.109484268817798</v>
      </c>
      <c r="C45" s="4">
        <v>-2.6262654619999999E-3</v>
      </c>
    </row>
    <row r="46" spans="2:3" x14ac:dyDescent="0.45">
      <c r="B46" s="4">
        <v>21.1095038004492</v>
      </c>
      <c r="C46" s="4">
        <v>-1.8310797430000001E-3</v>
      </c>
    </row>
    <row r="47" spans="2:3" x14ac:dyDescent="0.45">
      <c r="B47" s="4">
        <v>21.109523332080698</v>
      </c>
      <c r="C47" s="4">
        <v>-1.479562495E-3</v>
      </c>
    </row>
    <row r="48" spans="2:3" x14ac:dyDescent="0.45">
      <c r="B48" s="4">
        <v>21.1095428637122</v>
      </c>
      <c r="C48" s="4">
        <v>-9.3031679500000001E-4</v>
      </c>
    </row>
    <row r="49" spans="2:3" x14ac:dyDescent="0.45">
      <c r="B49" s="4">
        <v>21.109562395343701</v>
      </c>
      <c r="C49" s="4">
        <v>-8.8698741199999998E-4</v>
      </c>
    </row>
    <row r="50" spans="2:3" x14ac:dyDescent="0.45">
      <c r="B50" s="4">
        <v>21.1095819269751</v>
      </c>
      <c r="C50" s="4">
        <v>-6.4104739300000001E-4</v>
      </c>
    </row>
    <row r="51" spans="2:3" x14ac:dyDescent="0.45">
      <c r="B51" s="4">
        <v>21.109601458606601</v>
      </c>
      <c r="C51" s="4">
        <v>-8.8332577399999996E-4</v>
      </c>
    </row>
    <row r="52" spans="2:3" x14ac:dyDescent="0.45">
      <c r="B52" s="4">
        <v>21.109620990238099</v>
      </c>
      <c r="C52" s="4">
        <v>-6.9047950599999996E-4</v>
      </c>
    </row>
    <row r="53" spans="2:3" x14ac:dyDescent="0.45">
      <c r="B53" s="4">
        <v>21.109640521869601</v>
      </c>
      <c r="C53" s="4">
        <v>-6.75832954E-4</v>
      </c>
    </row>
    <row r="54" spans="2:3" x14ac:dyDescent="0.45">
      <c r="B54" s="4">
        <v>21.109660053500999</v>
      </c>
      <c r="C54" s="4">
        <v>-5.7391736300000003E-4</v>
      </c>
    </row>
    <row r="55" spans="2:3" x14ac:dyDescent="0.45">
      <c r="B55" s="4">
        <v>21.109679585132501</v>
      </c>
      <c r="C55" s="4">
        <v>-4.36605938E-4</v>
      </c>
    </row>
    <row r="56" spans="2:3" x14ac:dyDescent="0.45">
      <c r="B56" s="4">
        <v>21.109699116763998</v>
      </c>
      <c r="C56" s="4">
        <v>-3.0783833500000002E-4</v>
      </c>
    </row>
    <row r="57" spans="2:3" x14ac:dyDescent="0.45">
      <c r="B57" s="4">
        <v>21.1097186483955</v>
      </c>
      <c r="C57" s="4">
        <v>-1.5221871999999999E-4</v>
      </c>
    </row>
    <row r="58" spans="2:3" x14ac:dyDescent="0.45">
      <c r="B58" s="4">
        <v>21.109738180027001</v>
      </c>
      <c r="C58" s="4">
        <v>-1.47946809E-4</v>
      </c>
    </row>
    <row r="59" spans="2:3" x14ac:dyDescent="0.45">
      <c r="B59" s="4">
        <v>21.1097577116584</v>
      </c>
      <c r="C59" s="42">
        <v>-1.49072949999999E-5</v>
      </c>
    </row>
    <row r="60" spans="2:3" x14ac:dyDescent="0.45">
      <c r="B60" s="4">
        <v>21.109777243289901</v>
      </c>
      <c r="C60" s="42">
        <v>4.0111680000001404E-6</v>
      </c>
    </row>
    <row r="61" spans="2:3" x14ac:dyDescent="0.45">
      <c r="B61" s="4">
        <v>21.109796774921399</v>
      </c>
      <c r="C61" s="42">
        <v>4.9171369999999999E-5</v>
      </c>
    </row>
    <row r="62" spans="2:3" x14ac:dyDescent="0.45">
      <c r="B62" s="4">
        <v>21.109816306552901</v>
      </c>
      <c r="C62" s="42">
        <v>1.9878266000000301E-5</v>
      </c>
    </row>
    <row r="63" spans="2:3" x14ac:dyDescent="0.45">
      <c r="B63" s="4">
        <v>21.109835838184299</v>
      </c>
      <c r="C63" s="42">
        <v>2.29296310000002E-5</v>
      </c>
    </row>
    <row r="64" spans="2:3" x14ac:dyDescent="0.45">
      <c r="B64" s="4">
        <v>21.109855369815801</v>
      </c>
      <c r="C64" s="42">
        <v>7.0530925000000306E-5</v>
      </c>
    </row>
    <row r="65" spans="2:3" x14ac:dyDescent="0.45">
      <c r="B65" s="4">
        <v>21.109874901447299</v>
      </c>
      <c r="C65" s="42">
        <v>-4.6641490999999803E-5</v>
      </c>
    </row>
    <row r="66" spans="2:3" x14ac:dyDescent="0.45">
      <c r="B66" s="4">
        <v>21.1098944330788</v>
      </c>
      <c r="C66" s="42">
        <v>6.9310379000000206E-5</v>
      </c>
    </row>
    <row r="67" spans="2:3" x14ac:dyDescent="0.45">
      <c r="B67" s="4">
        <v>21.109913964710302</v>
      </c>
      <c r="C67" s="4">
        <v>1.08367851E-4</v>
      </c>
    </row>
    <row r="68" spans="2:3" x14ac:dyDescent="0.45">
      <c r="B68" s="4">
        <v>21.1099334963417</v>
      </c>
      <c r="C68" s="42">
        <v>8.4567204000000302E-5</v>
      </c>
    </row>
    <row r="69" spans="2:3" x14ac:dyDescent="0.45">
      <c r="B69" s="4">
        <v>21.109953027973202</v>
      </c>
      <c r="C69" s="42">
        <v>9.8603483000000297E-5</v>
      </c>
    </row>
    <row r="70" spans="2:3" x14ac:dyDescent="0.45">
      <c r="B70" s="4">
        <v>21.109972559604699</v>
      </c>
      <c r="C70" s="4">
        <v>2.0540125799999999E-4</v>
      </c>
    </row>
    <row r="71" spans="2:3" x14ac:dyDescent="0.45">
      <c r="B71" s="4">
        <v>21.109992091236201</v>
      </c>
      <c r="C71" s="4">
        <v>1.0409594E-4</v>
      </c>
    </row>
    <row r="72" spans="2:3" x14ac:dyDescent="0.45">
      <c r="B72" s="4">
        <v>21.110011622867599</v>
      </c>
      <c r="C72" s="4">
        <v>1.3155822500000001E-4</v>
      </c>
    </row>
    <row r="73" spans="2:3" x14ac:dyDescent="0.45">
      <c r="B73" s="4">
        <v>21.110031154499101</v>
      </c>
      <c r="C73" s="4">
        <v>1.8526224900000001E-4</v>
      </c>
    </row>
    <row r="74" spans="2:3" x14ac:dyDescent="0.45">
      <c r="B74" s="4">
        <v>21.110050686130599</v>
      </c>
      <c r="C74" s="4">
        <v>1.6329242099999999E-4</v>
      </c>
    </row>
    <row r="75" spans="2:3" x14ac:dyDescent="0.45">
      <c r="B75" s="4">
        <v>21.1100702177621</v>
      </c>
      <c r="C75" s="4">
        <v>1.5902051E-4</v>
      </c>
    </row>
    <row r="76" spans="2:3" x14ac:dyDescent="0.45">
      <c r="B76" s="4">
        <v>21.110089749393499</v>
      </c>
      <c r="C76" s="4">
        <v>2.0479098499999999E-4</v>
      </c>
    </row>
    <row r="77" spans="2:3" x14ac:dyDescent="0.45">
      <c r="B77" s="4">
        <v>21.110109281025</v>
      </c>
      <c r="C77" s="4">
        <v>2.6337719300000001E-4</v>
      </c>
    </row>
    <row r="78" spans="2:3" x14ac:dyDescent="0.45">
      <c r="B78" s="4">
        <v>21.110128812656502</v>
      </c>
      <c r="C78" s="4">
        <v>2.9206002399999998E-4</v>
      </c>
    </row>
    <row r="79" spans="2:3" x14ac:dyDescent="0.45">
      <c r="B79" s="4">
        <v>21.110148344288</v>
      </c>
      <c r="C79" s="4">
        <v>1.4254313900000001E-4</v>
      </c>
    </row>
    <row r="80" spans="2:3" x14ac:dyDescent="0.45">
      <c r="B80" s="4">
        <v>21.110167875919501</v>
      </c>
      <c r="C80" s="4">
        <v>2.0173962E-4</v>
      </c>
    </row>
    <row r="81" spans="2:3" x14ac:dyDescent="0.45">
      <c r="B81" s="4">
        <v>21.1101874075509</v>
      </c>
      <c r="C81" s="4">
        <v>2.4628954899999999E-4</v>
      </c>
    </row>
    <row r="82" spans="2:3" x14ac:dyDescent="0.45">
      <c r="B82" s="4">
        <v>21.110206939182401</v>
      </c>
      <c r="C82" s="4">
        <v>2.3408408899999999E-4</v>
      </c>
    </row>
    <row r="83" spans="2:3" x14ac:dyDescent="0.45">
      <c r="B83" s="4">
        <v>21.110226470813899</v>
      </c>
      <c r="C83" s="4">
        <v>2.0967316900000001E-4</v>
      </c>
    </row>
    <row r="84" spans="2:3" x14ac:dyDescent="0.45">
      <c r="B84" s="4">
        <v>21.1102460024454</v>
      </c>
      <c r="C84" s="4">
        <v>2.42627911E-4</v>
      </c>
    </row>
    <row r="85" spans="2:3" x14ac:dyDescent="0.45">
      <c r="B85" s="4">
        <v>21.110265534076799</v>
      </c>
      <c r="C85" s="4">
        <v>2.3225327000000001E-4</v>
      </c>
    </row>
    <row r="86" spans="2:3" x14ac:dyDescent="0.45">
      <c r="B86" s="4">
        <v>21.1102850657083</v>
      </c>
      <c r="C86" s="4">
        <v>2.0845262300000001E-4</v>
      </c>
    </row>
    <row r="87" spans="2:3" x14ac:dyDescent="0.45">
      <c r="B87" s="4">
        <v>21.110304597339798</v>
      </c>
      <c r="C87" s="4">
        <v>2.7436210700000001E-4</v>
      </c>
    </row>
    <row r="88" spans="2:3" x14ac:dyDescent="0.45">
      <c r="B88" s="4">
        <v>21.1103241289713</v>
      </c>
      <c r="C88" s="4">
        <v>2.9144975099999997E-4</v>
      </c>
    </row>
    <row r="89" spans="2:3" x14ac:dyDescent="0.45">
      <c r="B89" s="4">
        <v>21.110343660602702</v>
      </c>
      <c r="C89" s="4">
        <v>1.4315341200000001E-4</v>
      </c>
    </row>
    <row r="90" spans="2:3" x14ac:dyDescent="0.45">
      <c r="B90" s="4">
        <v>21.1103631922342</v>
      </c>
      <c r="C90" s="4">
        <v>2.5361282500000002E-4</v>
      </c>
    </row>
    <row r="91" spans="2:3" x14ac:dyDescent="0.45">
      <c r="B91" s="4">
        <v>21.110382723865701</v>
      </c>
      <c r="C91" s="4">
        <v>2.3896627300000001E-4</v>
      </c>
    </row>
    <row r="92" spans="2:3" x14ac:dyDescent="0.45">
      <c r="B92" s="4">
        <v>21.110402255497199</v>
      </c>
      <c r="C92" s="4">
        <v>2.4689982199999999E-4</v>
      </c>
    </row>
    <row r="93" spans="2:3" x14ac:dyDescent="0.45">
      <c r="B93" s="4">
        <v>21.110421787128701</v>
      </c>
      <c r="C93" s="4">
        <v>1.9380607099999999E-4</v>
      </c>
    </row>
    <row r="94" spans="2:3" x14ac:dyDescent="0.45">
      <c r="B94" s="4">
        <v>21.110441318760099</v>
      </c>
      <c r="C94" s="4">
        <v>2.2737108600000001E-4</v>
      </c>
    </row>
    <row r="95" spans="2:3" x14ac:dyDescent="0.45">
      <c r="B95" s="4">
        <v>21.1104608503916</v>
      </c>
      <c r="C95" s="4">
        <v>2.3896627300000001E-4</v>
      </c>
    </row>
    <row r="96" spans="2:3" x14ac:dyDescent="0.45">
      <c r="B96" s="4">
        <v>21.110480382023098</v>
      </c>
      <c r="C96" s="4">
        <v>2.84736748E-4</v>
      </c>
    </row>
    <row r="97" spans="2:3" x14ac:dyDescent="0.45">
      <c r="B97" s="4">
        <v>21.1104999136546</v>
      </c>
      <c r="C97" s="4">
        <v>1.52307507E-4</v>
      </c>
    </row>
    <row r="98" spans="2:3" x14ac:dyDescent="0.45">
      <c r="B98" s="4">
        <v>21.110519445285998</v>
      </c>
      <c r="C98" s="4">
        <v>2.2309917499999999E-4</v>
      </c>
    </row>
    <row r="99" spans="2:3" x14ac:dyDescent="0.45">
      <c r="B99" s="4">
        <v>21.1105389769175</v>
      </c>
      <c r="C99" s="4">
        <v>2.00519074E-4</v>
      </c>
    </row>
    <row r="100" spans="2:3" x14ac:dyDescent="0.45">
      <c r="B100" s="4">
        <v>21.110558508549001</v>
      </c>
      <c r="C100" s="4">
        <v>2.5300255200000002E-4</v>
      </c>
    </row>
    <row r="101" spans="2:3" x14ac:dyDescent="0.45">
      <c r="B101" s="4">
        <v>21.110578040180499</v>
      </c>
      <c r="C101" s="4">
        <v>1.3888150099999999E-4</v>
      </c>
    </row>
    <row r="102" spans="2:3" x14ac:dyDescent="0.45">
      <c r="B102" s="4">
        <v>21.110597571812001</v>
      </c>
      <c r="C102" s="4">
        <v>2.48120368E-4</v>
      </c>
    </row>
    <row r="103" spans="2:3" x14ac:dyDescent="0.45">
      <c r="B103" s="4">
        <v>21.110617103443399</v>
      </c>
      <c r="C103" s="4">
        <v>1.2545549500000001E-4</v>
      </c>
    </row>
    <row r="104" spans="2:3" x14ac:dyDescent="0.45">
      <c r="B104" s="4">
        <v>21.110636635074901</v>
      </c>
      <c r="C104" s="4">
        <v>3.3722022600000002E-4</v>
      </c>
    </row>
    <row r="105" spans="2:3" x14ac:dyDescent="0.45">
      <c r="B105" s="4">
        <v>21.110656166706399</v>
      </c>
      <c r="C105" s="42">
        <v>6.1376830000000305E-5</v>
      </c>
    </row>
    <row r="106" spans="2:3" x14ac:dyDescent="0.45">
      <c r="B106" s="4">
        <v>21.1106756983379</v>
      </c>
      <c r="C106" s="4">
        <v>1.073819737E-3</v>
      </c>
    </row>
    <row r="107" spans="2:3" x14ac:dyDescent="0.45">
      <c r="B107" s="4">
        <v>21.110695229969298</v>
      </c>
      <c r="C107" s="4">
        <v>4.8154035E-3</v>
      </c>
    </row>
    <row r="108" spans="2:3" x14ac:dyDescent="0.45">
      <c r="B108" s="4">
        <v>21.1107147616008</v>
      </c>
      <c r="C108" s="4">
        <v>5.1260324570000003E-3</v>
      </c>
    </row>
    <row r="109" spans="2:3" x14ac:dyDescent="0.45">
      <c r="B109" s="4">
        <v>21.110734293232301</v>
      </c>
      <c r="C109" s="4">
        <v>3.5063679150000001E-3</v>
      </c>
    </row>
    <row r="110" spans="2:3" x14ac:dyDescent="0.45">
      <c r="B110" s="4">
        <v>21.110753824863799</v>
      </c>
      <c r="C110" s="4">
        <v>7.5769832300000002E-4</v>
      </c>
    </row>
    <row r="111" spans="2:3" x14ac:dyDescent="0.45">
      <c r="B111" s="4">
        <v>21.110773356495201</v>
      </c>
      <c r="C111" s="4">
        <v>-1.5064145069999999E-3</v>
      </c>
    </row>
    <row r="112" spans="2:3" x14ac:dyDescent="0.45">
      <c r="B112" s="4">
        <v>21.110792888126699</v>
      </c>
      <c r="C112" s="4">
        <v>-7.6005062799999995E-4</v>
      </c>
    </row>
    <row r="113" spans="2:3" x14ac:dyDescent="0.45">
      <c r="B113" s="4">
        <v>21.110812419758201</v>
      </c>
      <c r="C113" s="4">
        <v>1.0958839699999999E-4</v>
      </c>
    </row>
    <row r="114" spans="2:3" x14ac:dyDescent="0.45">
      <c r="B114" s="4">
        <v>21.110831951389699</v>
      </c>
      <c r="C114" s="4">
        <v>3.1525039799999997E-4</v>
      </c>
    </row>
    <row r="115" spans="2:3" x14ac:dyDescent="0.45">
      <c r="B115" s="4">
        <v>21.1108514830212</v>
      </c>
      <c r="C115" s="42">
        <v>8.4567204000000302E-5</v>
      </c>
    </row>
    <row r="116" spans="2:3" x14ac:dyDescent="0.45">
      <c r="B116" s="4">
        <v>21.110871014652599</v>
      </c>
      <c r="C116" s="4">
        <v>-1.89445373E-4</v>
      </c>
    </row>
    <row r="117" spans="2:3" x14ac:dyDescent="0.45">
      <c r="B117" s="4">
        <v>21.1108905462841</v>
      </c>
      <c r="C117" s="4">
        <v>-3.8290191399999998E-4</v>
      </c>
    </row>
    <row r="118" spans="2:3" x14ac:dyDescent="0.45">
      <c r="B118" s="4">
        <v>21.110910077915602</v>
      </c>
      <c r="C118" s="4">
        <v>-7.1855206399999998E-4</v>
      </c>
    </row>
    <row r="119" spans="2:3" x14ac:dyDescent="0.45">
      <c r="B119" s="4">
        <v>21.1109296095471</v>
      </c>
      <c r="C119" s="4">
        <v>4.7025974000000002E-4</v>
      </c>
    </row>
    <row r="120" spans="2:3" x14ac:dyDescent="0.45">
      <c r="B120" s="4">
        <v>21.110949141178502</v>
      </c>
      <c r="C120" s="4">
        <v>-7.60660901E-4</v>
      </c>
    </row>
    <row r="121" spans="2:3" x14ac:dyDescent="0.45">
      <c r="B121" s="4">
        <v>21.110968672809999</v>
      </c>
      <c r="C121" s="4">
        <v>-5.0556678700000004E-4</v>
      </c>
    </row>
    <row r="122" spans="2:3" x14ac:dyDescent="0.45">
      <c r="B122" s="4">
        <v>21.110988204441501</v>
      </c>
      <c r="C122" s="4">
        <v>-7.2648561299999996E-4</v>
      </c>
    </row>
    <row r="123" spans="2:3" x14ac:dyDescent="0.45">
      <c r="B123" s="4">
        <v>21.111007736072999</v>
      </c>
      <c r="C123" s="4">
        <v>-7.49065714E-4</v>
      </c>
    </row>
    <row r="124" spans="2:3" x14ac:dyDescent="0.45">
      <c r="B124" s="4">
        <v>21.111027267704401</v>
      </c>
      <c r="C124" s="4">
        <v>-6.1419538099999999E-4</v>
      </c>
    </row>
    <row r="125" spans="2:3" x14ac:dyDescent="0.45">
      <c r="B125" s="4">
        <v>21.111046799335899</v>
      </c>
      <c r="C125" s="4">
        <v>-3.3652116599999999E-4</v>
      </c>
    </row>
    <row r="126" spans="2:3" x14ac:dyDescent="0.45">
      <c r="B126" s="4">
        <v>21.1110663309674</v>
      </c>
      <c r="C126" s="4">
        <v>-3.3285952800000002E-4</v>
      </c>
    </row>
    <row r="127" spans="2:3" x14ac:dyDescent="0.45">
      <c r="B127" s="4">
        <v>21.111085862598902</v>
      </c>
      <c r="C127" s="4">
        <v>-1.6320363399999999E-4</v>
      </c>
    </row>
    <row r="128" spans="2:3" x14ac:dyDescent="0.45">
      <c r="B128" s="4">
        <v>21.1111053942304</v>
      </c>
      <c r="C128" s="4">
        <v>-1.34520803E-4</v>
      </c>
    </row>
    <row r="129" spans="2:3" x14ac:dyDescent="0.45">
      <c r="B129" s="4">
        <v>21.111124925861802</v>
      </c>
      <c r="C129" s="42">
        <v>1.1944716999999999E-5</v>
      </c>
    </row>
    <row r="130" spans="2:3" x14ac:dyDescent="0.45">
      <c r="B130" s="4">
        <v>21.1111444574933</v>
      </c>
      <c r="C130" s="4">
        <v>1.01044575E-4</v>
      </c>
    </row>
    <row r="131" spans="2:3" x14ac:dyDescent="0.45">
      <c r="B131" s="4">
        <v>21.111163989124801</v>
      </c>
      <c r="C131" s="4">
        <v>1.7244651600000001E-4</v>
      </c>
    </row>
    <row r="132" spans="2:3" x14ac:dyDescent="0.45">
      <c r="B132" s="4">
        <v>21.111183520756299</v>
      </c>
      <c r="C132" s="4">
        <v>-1.14381794E-4</v>
      </c>
    </row>
    <row r="133" spans="2:3" x14ac:dyDescent="0.45">
      <c r="B133" s="4">
        <v>21.111203052387701</v>
      </c>
      <c r="C133" s="4">
        <v>1.8953416E-4</v>
      </c>
    </row>
    <row r="134" spans="2:3" x14ac:dyDescent="0.45">
      <c r="B134" s="4">
        <v>21.111222584019199</v>
      </c>
      <c r="C134" s="4">
        <v>-1.3207971100000001E-4</v>
      </c>
    </row>
    <row r="135" spans="2:3" x14ac:dyDescent="0.45">
      <c r="B135" s="4">
        <v>21.1112421156507</v>
      </c>
      <c r="C135" s="4">
        <v>3.9946807199999997E-4</v>
      </c>
    </row>
    <row r="136" spans="2:3" x14ac:dyDescent="0.45">
      <c r="B136" s="4">
        <v>21.111261647282198</v>
      </c>
      <c r="C136" s="42">
        <v>1.6826900999999999E-5</v>
      </c>
    </row>
    <row r="137" spans="2:3" x14ac:dyDescent="0.45">
      <c r="B137" s="4">
        <v>21.1112811789137</v>
      </c>
      <c r="C137" s="4">
        <v>3.9946807199999997E-4</v>
      </c>
    </row>
    <row r="138" spans="2:3" x14ac:dyDescent="0.45">
      <c r="B138" s="4">
        <v>21.111300710545098</v>
      </c>
      <c r="C138" s="4">
        <v>-3.86563552E-4</v>
      </c>
    </row>
    <row r="139" spans="2:3" x14ac:dyDescent="0.45">
      <c r="B139" s="4">
        <v>21.1113202421766</v>
      </c>
      <c r="C139" s="4">
        <v>2.9845844999999999E-3</v>
      </c>
    </row>
    <row r="140" spans="2:3" x14ac:dyDescent="0.45">
      <c r="B140" s="4">
        <v>21.111339773808101</v>
      </c>
      <c r="C140" s="4">
        <v>2.7001972819999998E-3</v>
      </c>
    </row>
    <row r="141" spans="2:3" x14ac:dyDescent="0.45">
      <c r="B141" s="4">
        <v>21.111359305439599</v>
      </c>
      <c r="C141" s="4">
        <v>1.3045029310000001E-3</v>
      </c>
    </row>
    <row r="142" spans="2:3" x14ac:dyDescent="0.45">
      <c r="B142" s="4">
        <v>21.111378837071001</v>
      </c>
      <c r="C142" s="4">
        <v>1.53528053E-4</v>
      </c>
    </row>
    <row r="143" spans="2:3" x14ac:dyDescent="0.45">
      <c r="B143" s="4">
        <v>21.111398368702499</v>
      </c>
      <c r="C143" s="4">
        <v>2.7619292600000001E-4</v>
      </c>
    </row>
    <row r="144" spans="2:3" x14ac:dyDescent="0.45">
      <c r="B144" s="4">
        <v>21.111417900334001</v>
      </c>
      <c r="C144" s="4">
        <v>1.494297834E-3</v>
      </c>
    </row>
    <row r="145" spans="2:3" x14ac:dyDescent="0.45">
      <c r="B145" s="4">
        <v>21.111437431965498</v>
      </c>
      <c r="C145" s="4">
        <v>1.591331241E-3</v>
      </c>
    </row>
    <row r="146" spans="2:3" x14ac:dyDescent="0.45">
      <c r="B146" s="4">
        <v>21.1114569635969</v>
      </c>
      <c r="C146" s="4">
        <v>1.094569019E-3</v>
      </c>
    </row>
    <row r="147" spans="2:3" x14ac:dyDescent="0.45">
      <c r="B147" s="4">
        <v>21.111476495228398</v>
      </c>
      <c r="C147" s="4">
        <v>1.2111311620000001E-3</v>
      </c>
    </row>
    <row r="148" spans="2:3" x14ac:dyDescent="0.45">
      <c r="B148" s="4">
        <v>21.1114960268599</v>
      </c>
      <c r="C148" s="4">
        <v>5.4776441100000005E-4</v>
      </c>
    </row>
    <row r="149" spans="2:3" x14ac:dyDescent="0.45">
      <c r="B149" s="4">
        <v>21.111515558491401</v>
      </c>
      <c r="C149" s="4">
        <v>1.2587324559999999E-3</v>
      </c>
    </row>
    <row r="150" spans="2:3" x14ac:dyDescent="0.45">
      <c r="B150" s="4">
        <v>21.111535090122899</v>
      </c>
      <c r="C150" s="4">
        <v>-6.0504128600000001E-4</v>
      </c>
    </row>
    <row r="151" spans="2:3" x14ac:dyDescent="0.45">
      <c r="B151" s="4">
        <v>21.111554621754301</v>
      </c>
      <c r="C151" s="4">
        <v>-5.1350033600000003E-4</v>
      </c>
    </row>
    <row r="152" spans="2:3" x14ac:dyDescent="0.45">
      <c r="B152" s="4">
        <v>21.111574153385799</v>
      </c>
      <c r="C152" s="4">
        <v>-1.2177553780000001E-3</v>
      </c>
    </row>
    <row r="153" spans="2:3" x14ac:dyDescent="0.45">
      <c r="B153" s="4">
        <v>21.111593685017301</v>
      </c>
      <c r="C153" s="4">
        <v>-1.3038038710000001E-3</v>
      </c>
    </row>
    <row r="154" spans="2:3" x14ac:dyDescent="0.45">
      <c r="B154" s="4">
        <v>21.111613216648799</v>
      </c>
      <c r="C154" s="4">
        <v>-3.9144573600000002E-4</v>
      </c>
    </row>
    <row r="155" spans="2:3" x14ac:dyDescent="0.45">
      <c r="B155" s="4">
        <v>21.111632748280201</v>
      </c>
      <c r="C155" s="4">
        <v>-1.033452932E-3</v>
      </c>
    </row>
    <row r="156" spans="2:3" x14ac:dyDescent="0.45">
      <c r="B156" s="4">
        <v>21.111652279911699</v>
      </c>
      <c r="C156" s="4">
        <v>-2.26061753E-4</v>
      </c>
    </row>
    <row r="157" spans="2:3" x14ac:dyDescent="0.45">
      <c r="B157" s="4">
        <v>21.1116718115432</v>
      </c>
      <c r="C157" s="4">
        <v>-8.4487857499999995E-4</v>
      </c>
    </row>
    <row r="158" spans="2:3" x14ac:dyDescent="0.45">
      <c r="B158" s="4">
        <v>21.111691343174702</v>
      </c>
      <c r="C158" s="4">
        <v>-1.3391052999999999E-4</v>
      </c>
    </row>
    <row r="159" spans="2:3" x14ac:dyDescent="0.45">
      <c r="B159" s="4">
        <v>21.111710874806199</v>
      </c>
      <c r="C159" s="4">
        <v>-2.4009803200000001E-4</v>
      </c>
    </row>
    <row r="160" spans="2:3" x14ac:dyDescent="0.45">
      <c r="B160" s="4">
        <v>21.111730406437601</v>
      </c>
      <c r="C160" s="4">
        <v>-1.6137281500000001E-4</v>
      </c>
    </row>
    <row r="161" spans="2:3" x14ac:dyDescent="0.45">
      <c r="B161" s="4">
        <v>21.111749938069099</v>
      </c>
      <c r="C161" s="4">
        <v>-2.54744584E-4</v>
      </c>
    </row>
    <row r="162" spans="2:3" x14ac:dyDescent="0.45">
      <c r="B162" s="4">
        <v>21.111769469700601</v>
      </c>
      <c r="C162" s="42">
        <v>-2.8943573999999899E-5</v>
      </c>
    </row>
    <row r="163" spans="2:3" x14ac:dyDescent="0.45">
      <c r="B163" s="4">
        <v>21.111789001332099</v>
      </c>
      <c r="C163" s="4">
        <v>-2.2240011500000001E-4</v>
      </c>
    </row>
    <row r="164" spans="2:3" x14ac:dyDescent="0.45">
      <c r="B164" s="4">
        <v>21.111808532963501</v>
      </c>
      <c r="C164" s="4">
        <v>4.8734738399999999E-4</v>
      </c>
    </row>
    <row r="165" spans="2:3" x14ac:dyDescent="0.45">
      <c r="B165" s="4">
        <v>21.111828064594999</v>
      </c>
      <c r="C165" s="4">
        <v>7.6746269099999995E-4</v>
      </c>
    </row>
    <row r="166" spans="2:3" x14ac:dyDescent="0.45">
      <c r="B166" s="4">
        <v>21.1118475962265</v>
      </c>
      <c r="C166" s="4">
        <v>8.7792210399999997E-4</v>
      </c>
    </row>
    <row r="167" spans="2:3" x14ac:dyDescent="0.45">
      <c r="B167" s="4">
        <v>21.111867127858002</v>
      </c>
      <c r="C167" s="4">
        <v>7.2596412699999998E-4</v>
      </c>
    </row>
    <row r="168" spans="2:3" x14ac:dyDescent="0.45">
      <c r="B168" s="4">
        <v>21.1118866594894</v>
      </c>
      <c r="C168" s="4">
        <v>1.58410237E-4</v>
      </c>
    </row>
    <row r="169" spans="2:3" x14ac:dyDescent="0.45">
      <c r="B169" s="4">
        <v>21.111906191120902</v>
      </c>
      <c r="C169" s="42">
        <v>8.5177477000000304E-5</v>
      </c>
    </row>
    <row r="170" spans="2:3" x14ac:dyDescent="0.45">
      <c r="B170" s="4">
        <v>21.1119257227524</v>
      </c>
      <c r="C170" s="4">
        <v>-1.7540909399999999E-4</v>
      </c>
    </row>
    <row r="171" spans="2:3" x14ac:dyDescent="0.45">
      <c r="B171" s="4">
        <v>21.111945254383901</v>
      </c>
      <c r="C171" s="4">
        <v>1.0043430199999999E-4</v>
      </c>
    </row>
    <row r="172" spans="2:3" x14ac:dyDescent="0.45">
      <c r="B172" s="4">
        <v>21.111964786015399</v>
      </c>
      <c r="C172" s="42">
        <v>-3.01641199999996E-5</v>
      </c>
    </row>
    <row r="173" spans="2:3" x14ac:dyDescent="0.45">
      <c r="B173" s="4">
        <v>21.111984317646801</v>
      </c>
      <c r="C173" s="4">
        <v>-1.7418854800000001E-4</v>
      </c>
    </row>
    <row r="174" spans="2:3" x14ac:dyDescent="0.45">
      <c r="B174" s="4">
        <v>21.112003849278299</v>
      </c>
      <c r="C174" s="4">
        <v>-1.11940702E-4</v>
      </c>
    </row>
    <row r="175" spans="2:3" x14ac:dyDescent="0.45">
      <c r="B175" s="4">
        <v>21.1120233809098</v>
      </c>
      <c r="C175" s="4">
        <v>2.5849500899999999E-4</v>
      </c>
    </row>
    <row r="176" spans="2:3" x14ac:dyDescent="0.45">
      <c r="B176" s="4">
        <v>21.112042912541298</v>
      </c>
      <c r="C176" s="42">
        <v>-4.9082582999999597E-5</v>
      </c>
    </row>
    <row r="177" spans="2:3" x14ac:dyDescent="0.45">
      <c r="B177" s="4">
        <v>21.1120624441727</v>
      </c>
      <c r="C177" s="4">
        <v>3.7993933599999999E-4</v>
      </c>
    </row>
    <row r="178" spans="2:3" x14ac:dyDescent="0.45">
      <c r="B178" s="4">
        <v>21.112081975804202</v>
      </c>
      <c r="C178" s="42">
        <v>-4.1149033999999697E-5</v>
      </c>
    </row>
    <row r="179" spans="2:3" x14ac:dyDescent="0.45">
      <c r="B179" s="4">
        <v>21.1121015074357</v>
      </c>
      <c r="C179" s="4">
        <v>4.7148028599999997E-4</v>
      </c>
    </row>
    <row r="180" spans="2:3" x14ac:dyDescent="0.45">
      <c r="B180" s="4">
        <v>21.112121039067201</v>
      </c>
      <c r="C180" s="4">
        <v>2.36525181E-4</v>
      </c>
    </row>
    <row r="181" spans="2:3" x14ac:dyDescent="0.45">
      <c r="B181" s="4">
        <v>21.1121405706986</v>
      </c>
      <c r="C181" s="4">
        <v>1.64512967E-4</v>
      </c>
    </row>
    <row r="182" spans="2:3" x14ac:dyDescent="0.45">
      <c r="B182" s="4">
        <v>21.112160102330101</v>
      </c>
      <c r="C182" s="42">
        <v>-4.5326539999997898E-6</v>
      </c>
    </row>
    <row r="183" spans="2:3" x14ac:dyDescent="0.45">
      <c r="B183" s="4">
        <v>21.112179633961599</v>
      </c>
      <c r="C183" s="4">
        <v>1.399095246E-3</v>
      </c>
    </row>
    <row r="184" spans="2:3" x14ac:dyDescent="0.45">
      <c r="B184" s="4">
        <v>21.112199165593101</v>
      </c>
      <c r="C184" s="4">
        <v>9.2674394399999997E-4</v>
      </c>
    </row>
    <row r="185" spans="2:3" x14ac:dyDescent="0.45">
      <c r="B185" s="4">
        <v>21.112218697224598</v>
      </c>
      <c r="C185" s="4">
        <v>1.024387624E-3</v>
      </c>
    </row>
    <row r="186" spans="2:3" x14ac:dyDescent="0.45">
      <c r="B186" s="4">
        <v>21.112238228856</v>
      </c>
      <c r="C186" s="4">
        <v>-2.5230349199999999E-4</v>
      </c>
    </row>
    <row r="187" spans="2:3" x14ac:dyDescent="0.45">
      <c r="B187" s="4">
        <v>21.112257760487498</v>
      </c>
      <c r="C187" s="4">
        <v>2.9450111599999999E-4</v>
      </c>
    </row>
    <row r="188" spans="2:3" x14ac:dyDescent="0.45">
      <c r="B188" s="4">
        <v>21.112277292119</v>
      </c>
      <c r="C188" s="4">
        <v>-1.9188646500000001E-4</v>
      </c>
    </row>
    <row r="189" spans="2:3" x14ac:dyDescent="0.45">
      <c r="B189" s="4">
        <v>21.112296823750501</v>
      </c>
      <c r="C189" s="42">
        <v>-2.7723027999999799E-5</v>
      </c>
    </row>
    <row r="190" spans="2:3" x14ac:dyDescent="0.45">
      <c r="B190" s="4">
        <v>21.1123163553819</v>
      </c>
      <c r="C190" s="42">
        <v>6.8700106000000094E-5</v>
      </c>
    </row>
    <row r="191" spans="2:3" x14ac:dyDescent="0.45">
      <c r="B191" s="4">
        <v>21.112335887013401</v>
      </c>
      <c r="C191" s="42">
        <v>-2.7723027999999799E-5</v>
      </c>
    </row>
    <row r="192" spans="2:3" x14ac:dyDescent="0.45">
      <c r="B192" s="4">
        <v>21.112355418644899</v>
      </c>
      <c r="C192" s="4">
        <v>2.4445872999999998E-4</v>
      </c>
    </row>
    <row r="193" spans="2:3" x14ac:dyDescent="0.45">
      <c r="B193" s="4">
        <v>21.112374950276401</v>
      </c>
      <c r="C193" s="4">
        <v>-1.0400715299999999E-4</v>
      </c>
    </row>
    <row r="194" spans="2:3" x14ac:dyDescent="0.45">
      <c r="B194" s="4">
        <v>21.112394481907899</v>
      </c>
      <c r="C194" s="4">
        <v>1.2118358400000001E-4</v>
      </c>
    </row>
    <row r="195" spans="2:3" x14ac:dyDescent="0.45">
      <c r="B195" s="4">
        <v>21.112414013539301</v>
      </c>
      <c r="C195" s="42">
        <v>-6.8001045999999601E-5</v>
      </c>
    </row>
    <row r="196" spans="2:3" x14ac:dyDescent="0.45">
      <c r="B196" s="4">
        <v>21.112433545170799</v>
      </c>
      <c r="C196" s="4">
        <v>1.1019867E-4</v>
      </c>
    </row>
    <row r="197" spans="2:3" x14ac:dyDescent="0.45">
      <c r="B197" s="4">
        <v>21.1124530768023</v>
      </c>
      <c r="C197" s="42">
        <v>-2.9553847E-5</v>
      </c>
    </row>
    <row r="198" spans="2:3" x14ac:dyDescent="0.45">
      <c r="B198" s="4">
        <v>21.112472608433801</v>
      </c>
      <c r="C198" s="42">
        <v>-1.49072949999999E-5</v>
      </c>
    </row>
    <row r="199" spans="2:3" x14ac:dyDescent="0.45">
      <c r="B199" s="4">
        <v>21.1124921400652</v>
      </c>
      <c r="C199" s="42">
        <v>-7.58401899999964E-6</v>
      </c>
    </row>
    <row r="200" spans="2:3" x14ac:dyDescent="0.45">
      <c r="B200" s="4">
        <v>21.112511671696701</v>
      </c>
      <c r="C200" s="42">
        <v>5.95460110000001E-5</v>
      </c>
    </row>
    <row r="201" spans="2:3" x14ac:dyDescent="0.45">
      <c r="B201" s="4">
        <v>21.112531203328199</v>
      </c>
      <c r="C201" s="42">
        <v>7.7243927999999997E-5</v>
      </c>
    </row>
    <row r="202" spans="2:3" x14ac:dyDescent="0.45">
      <c r="B202" s="4">
        <v>21.112550734959701</v>
      </c>
      <c r="C202" s="4">
        <v>2.18216991E-4</v>
      </c>
    </row>
    <row r="203" spans="2:3" x14ac:dyDescent="0.45">
      <c r="B203" s="4">
        <v>21.112570266591099</v>
      </c>
      <c r="C203" s="4">
        <v>2.6886964999999998E-4</v>
      </c>
    </row>
    <row r="204" spans="2:3" x14ac:dyDescent="0.45">
      <c r="B204" s="4">
        <v>21.112589798222601</v>
      </c>
      <c r="C204" s="4">
        <v>2.8778811300000001E-4</v>
      </c>
    </row>
    <row r="205" spans="2:3" x14ac:dyDescent="0.45">
      <c r="B205" s="4">
        <v>21.112609329854099</v>
      </c>
      <c r="C205" s="4">
        <v>3.1891203599999999E-4</v>
      </c>
    </row>
    <row r="206" spans="2:3" x14ac:dyDescent="0.45">
      <c r="B206" s="4">
        <v>21.1126288614856</v>
      </c>
      <c r="C206" s="4">
        <v>1.4925614200000001E-4</v>
      </c>
    </row>
    <row r="207" spans="2:3" x14ac:dyDescent="0.45">
      <c r="B207" s="4">
        <v>21.112648393117102</v>
      </c>
      <c r="C207" s="4">
        <v>6.0940198399999995E-4</v>
      </c>
    </row>
    <row r="208" spans="2:3" x14ac:dyDescent="0.45">
      <c r="B208" s="4">
        <v>21.1126679247485</v>
      </c>
      <c r="C208" s="4">
        <v>1.1586476839999999E-3</v>
      </c>
    </row>
    <row r="209" spans="2:3" x14ac:dyDescent="0.45">
      <c r="B209" s="4">
        <v>21.112687456380002</v>
      </c>
      <c r="C209" s="4">
        <v>1.106164206E-3</v>
      </c>
    </row>
    <row r="210" spans="2:3" x14ac:dyDescent="0.45">
      <c r="B210" s="4">
        <v>21.112706988011499</v>
      </c>
      <c r="C210" s="4">
        <v>8.7792210399999997E-4</v>
      </c>
    </row>
    <row r="211" spans="2:3" x14ac:dyDescent="0.45">
      <c r="B211" s="4">
        <v>21.112726519643001</v>
      </c>
      <c r="C211" s="4">
        <v>4.9222956799999996E-4</v>
      </c>
    </row>
    <row r="212" spans="2:3" x14ac:dyDescent="0.45">
      <c r="B212" s="4">
        <v>21.112746051274399</v>
      </c>
      <c r="C212" s="4">
        <v>3.5125650499999997E-4</v>
      </c>
    </row>
    <row r="213" spans="2:3" x14ac:dyDescent="0.45">
      <c r="B213" s="4">
        <v>21.112765582905901</v>
      </c>
      <c r="C213" s="42">
        <v>4.7950824000000299E-5</v>
      </c>
    </row>
    <row r="214" spans="2:3" x14ac:dyDescent="0.45">
      <c r="B214" s="4">
        <v>21.112785114537399</v>
      </c>
      <c r="C214" s="42">
        <v>5.8325465E-5</v>
      </c>
    </row>
    <row r="215" spans="2:3" x14ac:dyDescent="0.45">
      <c r="B215" s="4">
        <v>21.1128046461689</v>
      </c>
      <c r="C215" s="4">
        <v>-2.0531247099999999E-4</v>
      </c>
    </row>
    <row r="216" spans="2:3" x14ac:dyDescent="0.45">
      <c r="B216" s="4">
        <v>21.112824177800402</v>
      </c>
      <c r="C216" s="4">
        <v>-1.8090155099999999E-4</v>
      </c>
    </row>
    <row r="217" spans="2:3" x14ac:dyDescent="0.45">
      <c r="B217" s="4">
        <v>21.1128437094318</v>
      </c>
      <c r="C217" s="4">
        <v>-2.79765777E-4</v>
      </c>
    </row>
    <row r="218" spans="2:3" x14ac:dyDescent="0.45">
      <c r="B218" s="4">
        <v>21.112863241063302</v>
      </c>
      <c r="C218" s="4">
        <v>-1.02786607E-4</v>
      </c>
    </row>
    <row r="219" spans="2:3" x14ac:dyDescent="0.45">
      <c r="B219" s="4">
        <v>21.1128827726948</v>
      </c>
      <c r="C219" s="4">
        <v>-1.6259336099999999E-4</v>
      </c>
    </row>
    <row r="220" spans="2:3" x14ac:dyDescent="0.45">
      <c r="B220" s="4">
        <v>21.112902304326301</v>
      </c>
      <c r="C220" s="42">
        <v>-8.8750327999999803E-5</v>
      </c>
    </row>
    <row r="221" spans="2:3" x14ac:dyDescent="0.45">
      <c r="B221" s="4">
        <v>21.1129218359577</v>
      </c>
      <c r="C221" s="4">
        <v>-1.2658725399999999E-4</v>
      </c>
    </row>
    <row r="222" spans="2:3" x14ac:dyDescent="0.45">
      <c r="B222" s="4">
        <v>21.112941367589201</v>
      </c>
      <c r="C222" s="42">
        <v>-8.1942919999997004E-6</v>
      </c>
    </row>
    <row r="223" spans="2:3" x14ac:dyDescent="0.45">
      <c r="B223" s="4">
        <v>21.112960899220699</v>
      </c>
      <c r="C223" s="42">
        <v>-4.2369579999999899E-5</v>
      </c>
    </row>
    <row r="224" spans="2:3" x14ac:dyDescent="0.45">
      <c r="B224" s="4">
        <v>21.1129804308522</v>
      </c>
      <c r="C224" s="42">
        <v>3.87967290000004E-5</v>
      </c>
    </row>
    <row r="225" spans="2:3" x14ac:dyDescent="0.45">
      <c r="B225" s="4">
        <v>21.112999962483599</v>
      </c>
      <c r="C225" s="42">
        <v>6.8089833000000105E-5</v>
      </c>
    </row>
    <row r="226" spans="2:3" x14ac:dyDescent="0.45">
      <c r="B226" s="4">
        <v>21.1130194941151</v>
      </c>
      <c r="C226" s="42">
        <v>8.4567204000000302E-5</v>
      </c>
    </row>
    <row r="227" spans="2:3" x14ac:dyDescent="0.45">
      <c r="B227" s="4">
        <v>21.113039025746598</v>
      </c>
      <c r="C227" s="4">
        <v>1.1569112699999999E-4</v>
      </c>
    </row>
    <row r="228" spans="2:3" x14ac:dyDescent="0.45">
      <c r="B228" s="4">
        <v>21.1130585573781</v>
      </c>
      <c r="C228" s="4">
        <v>1.20573311E-4</v>
      </c>
    </row>
    <row r="229" spans="2:3" x14ac:dyDescent="0.45">
      <c r="B229" s="4">
        <v>21.113078089009601</v>
      </c>
      <c r="C229" s="4">
        <v>1.3644040900000001E-4</v>
      </c>
    </row>
    <row r="230" spans="2:3" x14ac:dyDescent="0.45">
      <c r="B230" s="4">
        <v>21.113097620641</v>
      </c>
      <c r="C230" s="4">
        <v>2.3347381600000001E-4</v>
      </c>
    </row>
    <row r="231" spans="2:3" x14ac:dyDescent="0.45">
      <c r="B231" s="4">
        <v>21.113117152272501</v>
      </c>
      <c r="C231" s="4">
        <v>2.0479098499999999E-4</v>
      </c>
    </row>
    <row r="232" spans="2:3" x14ac:dyDescent="0.45">
      <c r="B232" s="4">
        <v>21.113136683903999</v>
      </c>
      <c r="C232" s="4">
        <v>1.71836243E-4</v>
      </c>
    </row>
    <row r="233" spans="2:3" x14ac:dyDescent="0.45">
      <c r="B233" s="4">
        <v>21.113156215535501</v>
      </c>
      <c r="C233" s="4">
        <v>2.07232077E-4</v>
      </c>
    </row>
    <row r="234" spans="2:3" x14ac:dyDescent="0.45">
      <c r="B234" s="4">
        <v>21.113175747166899</v>
      </c>
      <c r="C234" s="4">
        <v>1.4864586900000001E-4</v>
      </c>
    </row>
    <row r="235" spans="2:3" x14ac:dyDescent="0.45">
      <c r="B235" s="4">
        <v>21.113195278798401</v>
      </c>
      <c r="C235" s="4">
        <v>2.5422309800000002E-4</v>
      </c>
    </row>
    <row r="236" spans="2:3" x14ac:dyDescent="0.45">
      <c r="B236" s="4">
        <v>21.113214810429898</v>
      </c>
      <c r="C236" s="4">
        <v>2.6276692000000001E-4</v>
      </c>
    </row>
    <row r="237" spans="2:3" x14ac:dyDescent="0.45">
      <c r="B237" s="4">
        <v>21.1132343420614</v>
      </c>
      <c r="C237" s="4">
        <v>2.0234989300000001E-4</v>
      </c>
    </row>
    <row r="238" spans="2:3" x14ac:dyDescent="0.45">
      <c r="B238" s="4">
        <v>21.113253873692798</v>
      </c>
      <c r="C238" s="4">
        <v>2.5666418999999998E-4</v>
      </c>
    </row>
    <row r="239" spans="2:3" x14ac:dyDescent="0.45">
      <c r="B239" s="4">
        <v>21.1132734053243</v>
      </c>
      <c r="C239" s="4">
        <v>2.73141561E-4</v>
      </c>
    </row>
    <row r="240" spans="2:3" x14ac:dyDescent="0.45">
      <c r="B240" s="4">
        <v>21.113292936955801</v>
      </c>
      <c r="C240" s="4">
        <v>6.0818143800000005E-4</v>
      </c>
    </row>
    <row r="241" spans="2:3" x14ac:dyDescent="0.45">
      <c r="B241" s="4">
        <v>21.113312468587299</v>
      </c>
      <c r="C241" s="4">
        <v>4.9528093300000003E-4</v>
      </c>
    </row>
    <row r="242" spans="2:3" x14ac:dyDescent="0.45">
      <c r="B242" s="4">
        <v>21.113332000218801</v>
      </c>
      <c r="C242" s="4">
        <v>5.1847130700000002E-4</v>
      </c>
    </row>
    <row r="243" spans="2:3" x14ac:dyDescent="0.45">
      <c r="B243" s="4">
        <v>21.113351531850199</v>
      </c>
      <c r="C243" s="4">
        <v>6.6737791900000005E-4</v>
      </c>
    </row>
    <row r="244" spans="2:3" x14ac:dyDescent="0.45">
      <c r="B244" s="4">
        <v>21.113371063481701</v>
      </c>
      <c r="C244" s="4">
        <v>3.8299070100000001E-4</v>
      </c>
    </row>
    <row r="245" spans="2:3" x14ac:dyDescent="0.45">
      <c r="B245" s="4">
        <v>21.113390595113199</v>
      </c>
      <c r="C245" s="4">
        <v>5.4715413799999999E-4</v>
      </c>
    </row>
    <row r="246" spans="2:3" x14ac:dyDescent="0.45">
      <c r="B246" s="4">
        <v>21.1134101267447</v>
      </c>
      <c r="C246" s="4">
        <v>3.8421124700000001E-4</v>
      </c>
    </row>
    <row r="247" spans="2:3" x14ac:dyDescent="0.45">
      <c r="B247" s="4">
        <v>21.113429658376099</v>
      </c>
      <c r="C247" s="4">
        <v>3.8909343099999998E-4</v>
      </c>
    </row>
    <row r="248" spans="2:3" x14ac:dyDescent="0.45">
      <c r="B248" s="4">
        <v>21.1134491900076</v>
      </c>
      <c r="C248" s="4">
        <v>-1.0095578799999999E-4</v>
      </c>
    </row>
    <row r="249" spans="2:3" x14ac:dyDescent="0.45">
      <c r="B249" s="4">
        <v>21.113468721639101</v>
      </c>
      <c r="C249" s="4">
        <v>3.45153775E-4</v>
      </c>
    </row>
    <row r="250" spans="2:3" x14ac:dyDescent="0.45">
      <c r="B250" s="4">
        <v>21.113488253270599</v>
      </c>
      <c r="C250" s="42">
        <v>8.3956931000000204E-5</v>
      </c>
    </row>
    <row r="251" spans="2:3" x14ac:dyDescent="0.45">
      <c r="B251" s="4">
        <v>21.113507784902101</v>
      </c>
      <c r="C251" s="4">
        <v>1.5657941799999999E-4</v>
      </c>
    </row>
    <row r="252" spans="2:3" x14ac:dyDescent="0.45">
      <c r="B252" s="4">
        <v>21.113527316533499</v>
      </c>
      <c r="C252" s="4">
        <v>3.57969508E-4</v>
      </c>
    </row>
    <row r="253" spans="2:3" x14ac:dyDescent="0.45">
      <c r="B253" s="4">
        <v>21.113546848165001</v>
      </c>
      <c r="C253" s="4">
        <v>6.1306362199999996E-4</v>
      </c>
    </row>
    <row r="254" spans="2:3" x14ac:dyDescent="0.45">
      <c r="B254" s="4">
        <v>21.113566379796499</v>
      </c>
      <c r="C254" s="4">
        <v>1.452188997E-3</v>
      </c>
    </row>
    <row r="255" spans="2:3" x14ac:dyDescent="0.45">
      <c r="B255" s="4">
        <v>21.113585911428</v>
      </c>
      <c r="C255" s="4">
        <v>1.4015363380000001E-3</v>
      </c>
    </row>
    <row r="256" spans="2:3" x14ac:dyDescent="0.45">
      <c r="B256" s="4">
        <v>21.113605443059399</v>
      </c>
      <c r="C256" s="4">
        <v>1.579736054E-3</v>
      </c>
    </row>
    <row r="257" spans="2:3" x14ac:dyDescent="0.45">
      <c r="B257" s="4">
        <v>21.1136249746909</v>
      </c>
      <c r="C257" s="4">
        <v>8.2665917199999995E-4</v>
      </c>
    </row>
    <row r="258" spans="2:3" x14ac:dyDescent="0.45">
      <c r="B258" s="4">
        <v>21.113644506322402</v>
      </c>
      <c r="C258" s="4">
        <v>3.7444687900000002E-4</v>
      </c>
    </row>
    <row r="259" spans="2:3" x14ac:dyDescent="0.45">
      <c r="B259" s="4">
        <v>21.1136640379539</v>
      </c>
      <c r="C259" s="4">
        <v>-1.4855708200000001E-4</v>
      </c>
    </row>
    <row r="260" spans="2:3" x14ac:dyDescent="0.45">
      <c r="B260" s="4">
        <v>21.113683569585302</v>
      </c>
      <c r="C260" s="4">
        <v>-1.3207971100000001E-4</v>
      </c>
    </row>
    <row r="261" spans="2:3" x14ac:dyDescent="0.45">
      <c r="B261" s="4">
        <v>21.113703101216799</v>
      </c>
      <c r="C261" s="4">
        <v>-3.9266628200000002E-4</v>
      </c>
    </row>
    <row r="262" spans="2:3" x14ac:dyDescent="0.45">
      <c r="B262" s="4">
        <v>21.113722632848301</v>
      </c>
      <c r="C262" s="4">
        <v>-4.5186276300000002E-4</v>
      </c>
    </row>
    <row r="263" spans="2:3" x14ac:dyDescent="0.45">
      <c r="B263" s="4">
        <v>21.113742164479799</v>
      </c>
      <c r="C263" s="4">
        <v>-3.7313754599999999E-4</v>
      </c>
    </row>
    <row r="264" spans="2:3" x14ac:dyDescent="0.45">
      <c r="B264" s="4">
        <v>21.1137616961113</v>
      </c>
      <c r="C264" s="4">
        <v>-1.29638619E-4</v>
      </c>
    </row>
    <row r="265" spans="2:3" x14ac:dyDescent="0.45">
      <c r="B265" s="4">
        <v>21.113781227742699</v>
      </c>
      <c r="C265" s="4">
        <v>-1.01566061E-4</v>
      </c>
    </row>
    <row r="266" spans="2:3" x14ac:dyDescent="0.45">
      <c r="B266" s="4">
        <v>21.1138007593742</v>
      </c>
      <c r="C266" s="42">
        <v>-6.3634729999999598E-6</v>
      </c>
    </row>
    <row r="267" spans="2:3" x14ac:dyDescent="0.45">
      <c r="B267" s="4">
        <v>21.113820291005698</v>
      </c>
      <c r="C267" s="4">
        <v>1.05926759E-4</v>
      </c>
    </row>
    <row r="268" spans="2:3" x14ac:dyDescent="0.45">
      <c r="B268" s="4">
        <v>21.1138398226372</v>
      </c>
      <c r="C268" s="42">
        <v>4.8561097000000403E-5</v>
      </c>
    </row>
    <row r="269" spans="2:3" x14ac:dyDescent="0.45">
      <c r="B269" s="4">
        <v>21.113859354268602</v>
      </c>
      <c r="C269" s="42">
        <v>-3.5046303999999601E-5</v>
      </c>
    </row>
    <row r="270" spans="2:3" x14ac:dyDescent="0.45">
      <c r="B270" s="4">
        <v>21.1138788859001</v>
      </c>
      <c r="C270" s="42">
        <v>7.9685020000000307E-5</v>
      </c>
    </row>
    <row r="271" spans="2:3" x14ac:dyDescent="0.45">
      <c r="B271" s="4">
        <v>21.113898417531601</v>
      </c>
      <c r="C271" s="4">
        <v>1.10808943E-4</v>
      </c>
    </row>
    <row r="272" spans="2:3" x14ac:dyDescent="0.45">
      <c r="B272" s="4">
        <v>21.113917949163099</v>
      </c>
      <c r="C272" s="4">
        <v>1.21793857E-4</v>
      </c>
    </row>
    <row r="273" spans="2:3" x14ac:dyDescent="0.45">
      <c r="B273" s="4">
        <v>21.113937480794501</v>
      </c>
      <c r="C273" s="4">
        <v>1.3766095500000001E-4</v>
      </c>
    </row>
    <row r="274" spans="2:3" x14ac:dyDescent="0.45">
      <c r="B274" s="4">
        <v>21.113957012425999</v>
      </c>
      <c r="C274" s="42">
        <v>9.7382937000000197E-5</v>
      </c>
    </row>
    <row r="275" spans="2:3" x14ac:dyDescent="0.45">
      <c r="B275" s="4">
        <v>21.1139765440575</v>
      </c>
      <c r="C275" s="42">
        <v>4.8561097000000403E-5</v>
      </c>
    </row>
    <row r="276" spans="2:3" x14ac:dyDescent="0.45">
      <c r="B276" s="4">
        <v>21.113996075688998</v>
      </c>
      <c r="C276" s="4">
        <v>1.1874249199999999E-4</v>
      </c>
    </row>
    <row r="277" spans="2:3" x14ac:dyDescent="0.45">
      <c r="B277" s="4">
        <v>21.1140156073205</v>
      </c>
      <c r="C277" s="42">
        <v>4.9171369999999999E-5</v>
      </c>
    </row>
    <row r="278" spans="2:3" x14ac:dyDescent="0.45">
      <c r="B278" s="4">
        <v>21.114035138951898</v>
      </c>
      <c r="C278" s="42">
        <v>9.1890480000000104E-5</v>
      </c>
    </row>
    <row r="279" spans="2:3" x14ac:dyDescent="0.45">
      <c r="B279" s="4">
        <v>21.1140546705834</v>
      </c>
      <c r="C279" s="42">
        <v>5.1002189000000197E-5</v>
      </c>
    </row>
    <row r="280" spans="2:3" x14ac:dyDescent="0.45">
      <c r="B280" s="4">
        <v>21.114074202214901</v>
      </c>
      <c r="C280" s="4">
        <v>1.6756433200000001E-4</v>
      </c>
    </row>
    <row r="281" spans="2:3" x14ac:dyDescent="0.45">
      <c r="B281" s="4">
        <v>21.114093733846399</v>
      </c>
      <c r="C281" s="4">
        <v>1.3094795200000001E-4</v>
      </c>
    </row>
    <row r="282" spans="2:3" x14ac:dyDescent="0.45">
      <c r="B282" s="4">
        <v>21.114113265477801</v>
      </c>
      <c r="C282" s="4">
        <v>1.0653703199999999E-4</v>
      </c>
    </row>
    <row r="283" spans="2:3" x14ac:dyDescent="0.45">
      <c r="B283" s="4">
        <v>21.114132797109299</v>
      </c>
      <c r="C283" s="4">
        <v>2.2309917499999999E-4</v>
      </c>
    </row>
    <row r="284" spans="2:3" x14ac:dyDescent="0.45">
      <c r="B284" s="4">
        <v>21.114152328740801</v>
      </c>
      <c r="C284" s="4">
        <v>2.4628954899999999E-4</v>
      </c>
    </row>
    <row r="285" spans="2:3" x14ac:dyDescent="0.45">
      <c r="B285" s="4">
        <v>21.114171860372299</v>
      </c>
      <c r="C285" s="4">
        <v>5.1297885000000005E-4</v>
      </c>
    </row>
    <row r="286" spans="2:3" x14ac:dyDescent="0.45">
      <c r="B286" s="4">
        <v>21.1141913920038</v>
      </c>
      <c r="C286" s="4">
        <v>9.0111247799999996E-4</v>
      </c>
    </row>
    <row r="287" spans="2:3" x14ac:dyDescent="0.45">
      <c r="B287" s="4">
        <v>21.114210923635198</v>
      </c>
      <c r="C287" s="4">
        <v>8.9745084000000005E-4</v>
      </c>
    </row>
    <row r="288" spans="2:3" x14ac:dyDescent="0.45">
      <c r="B288" s="4">
        <v>21.1142304552667</v>
      </c>
      <c r="C288" s="4">
        <v>7.7417569400000004E-4</v>
      </c>
    </row>
    <row r="289" spans="2:3" x14ac:dyDescent="0.45">
      <c r="B289" s="4">
        <v>21.114249986898201</v>
      </c>
      <c r="C289" s="4">
        <v>5.5874932499999999E-4</v>
      </c>
    </row>
    <row r="290" spans="2:3" x14ac:dyDescent="0.45">
      <c r="B290" s="4">
        <v>21.114269518529699</v>
      </c>
      <c r="C290" s="4">
        <v>1.02265121E-4</v>
      </c>
    </row>
    <row r="291" spans="2:3" x14ac:dyDescent="0.45">
      <c r="B291" s="4">
        <v>21.114289050161101</v>
      </c>
      <c r="C291" s="4">
        <v>1.9319579799999999E-4</v>
      </c>
    </row>
    <row r="292" spans="2:3" x14ac:dyDescent="0.45">
      <c r="B292" s="4">
        <v>21.114308581792599</v>
      </c>
      <c r="C292" s="4">
        <v>-1.1316124799999999E-4</v>
      </c>
    </row>
    <row r="293" spans="2:3" x14ac:dyDescent="0.45">
      <c r="B293" s="4">
        <v>21.114328113424101</v>
      </c>
      <c r="C293" s="42">
        <v>4.6120005000000203E-5</v>
      </c>
    </row>
    <row r="294" spans="2:3" x14ac:dyDescent="0.45">
      <c r="B294" s="4">
        <v>21.114347645055599</v>
      </c>
      <c r="C294" s="42">
        <v>4.7950824000000299E-5</v>
      </c>
    </row>
    <row r="295" spans="2:3" x14ac:dyDescent="0.45">
      <c r="B295" s="4">
        <v>21.114367176687001</v>
      </c>
      <c r="C295" s="4">
        <v>1.10808943E-4</v>
      </c>
    </row>
    <row r="296" spans="2:3" x14ac:dyDescent="0.45">
      <c r="B296" s="4">
        <v>21.114386708318499</v>
      </c>
      <c r="C296" s="4">
        <v>1.04706213E-4</v>
      </c>
    </row>
    <row r="297" spans="2:3" x14ac:dyDescent="0.45">
      <c r="B297" s="4">
        <v>21.11440623995</v>
      </c>
      <c r="C297" s="42">
        <v>-3.7487395999999802E-5</v>
      </c>
    </row>
    <row r="298" spans="2:3" x14ac:dyDescent="0.45">
      <c r="B298" s="4">
        <v>21.114425771581502</v>
      </c>
      <c r="C298" s="42">
        <v>7.9074747000000195E-5</v>
      </c>
    </row>
    <row r="299" spans="2:3" x14ac:dyDescent="0.45">
      <c r="B299" s="4">
        <v>21.114445303213</v>
      </c>
      <c r="C299" s="42">
        <v>-4.8472310000000001E-5</v>
      </c>
    </row>
    <row r="300" spans="2:3" x14ac:dyDescent="0.45">
      <c r="B300" s="4">
        <v>21.114464834844402</v>
      </c>
      <c r="C300" s="42">
        <v>2.53707230000004E-5</v>
      </c>
    </row>
    <row r="301" spans="2:3" x14ac:dyDescent="0.45">
      <c r="B301" s="4">
        <v>21.114484366475899</v>
      </c>
      <c r="C301" s="4">
        <v>1.1019867E-4</v>
      </c>
    </row>
    <row r="302" spans="2:3" x14ac:dyDescent="0.45">
      <c r="B302" s="4">
        <v>21.114503898107401</v>
      </c>
      <c r="C302" s="4">
        <v>1.41322593E-4</v>
      </c>
    </row>
    <row r="303" spans="2:3" x14ac:dyDescent="0.45">
      <c r="B303" s="4">
        <v>21.114523429738899</v>
      </c>
      <c r="C303" s="42">
        <v>9.4941845000000403E-5</v>
      </c>
    </row>
    <row r="304" spans="2:3" x14ac:dyDescent="0.45">
      <c r="B304" s="4">
        <v>21.114542961370301</v>
      </c>
      <c r="C304" s="42">
        <v>9.5552117999999999E-5</v>
      </c>
    </row>
    <row r="305" spans="2:3" x14ac:dyDescent="0.45">
      <c r="B305" s="4">
        <v>21.114562493001799</v>
      </c>
      <c r="C305" s="4">
        <v>1.6329242099999999E-4</v>
      </c>
    </row>
    <row r="306" spans="2:3" x14ac:dyDescent="0.45">
      <c r="B306" s="4">
        <v>21.1145820246333</v>
      </c>
      <c r="C306" s="4">
        <v>1.23624676E-4</v>
      </c>
    </row>
    <row r="307" spans="2:3" x14ac:dyDescent="0.45">
      <c r="B307" s="4">
        <v>21.114601556264802</v>
      </c>
      <c r="C307" s="4">
        <v>1.70005424E-4</v>
      </c>
    </row>
    <row r="308" spans="2:3" x14ac:dyDescent="0.45">
      <c r="B308" s="4">
        <v>21.1146210878963</v>
      </c>
      <c r="C308" s="4">
        <v>2.01129347E-4</v>
      </c>
    </row>
    <row r="309" spans="2:3" x14ac:dyDescent="0.45">
      <c r="B309" s="4">
        <v>21.114640619527702</v>
      </c>
      <c r="C309" s="4">
        <v>1.0348566699999999E-4</v>
      </c>
    </row>
    <row r="310" spans="2:3" x14ac:dyDescent="0.45">
      <c r="B310" s="4">
        <v>21.1146601511592</v>
      </c>
      <c r="C310" s="4">
        <v>2.2859163199999999E-4</v>
      </c>
    </row>
    <row r="311" spans="2:3" x14ac:dyDescent="0.45">
      <c r="B311" s="4">
        <v>21.114679682790701</v>
      </c>
      <c r="C311" s="4">
        <v>2.1638617199999999E-4</v>
      </c>
    </row>
    <row r="312" spans="2:3" x14ac:dyDescent="0.45">
      <c r="B312" s="4">
        <v>21.114699214422199</v>
      </c>
      <c r="C312" s="4">
        <v>2.18827264E-4</v>
      </c>
    </row>
    <row r="313" spans="2:3" x14ac:dyDescent="0.45">
      <c r="B313" s="4">
        <v>21.114718746053601</v>
      </c>
      <c r="C313" s="4">
        <v>2.5361282500000002E-4</v>
      </c>
    </row>
    <row r="314" spans="2:3" x14ac:dyDescent="0.45">
      <c r="B314" s="4">
        <v>21.114738277685099</v>
      </c>
      <c r="C314" s="4">
        <v>1.6268214799999999E-4</v>
      </c>
    </row>
    <row r="315" spans="2:3" x14ac:dyDescent="0.45">
      <c r="B315" s="4">
        <v>21.1147578093166</v>
      </c>
      <c r="C315" s="4">
        <v>2.0906289600000001E-4</v>
      </c>
    </row>
    <row r="316" spans="2:3" x14ac:dyDescent="0.45">
      <c r="B316" s="4">
        <v>21.114777340948098</v>
      </c>
      <c r="C316" s="4">
        <v>4.28761176E-4</v>
      </c>
    </row>
    <row r="317" spans="2:3" x14ac:dyDescent="0.45">
      <c r="B317" s="4">
        <v>21.1147968725795</v>
      </c>
      <c r="C317" s="4">
        <v>4.16555716E-4</v>
      </c>
    </row>
    <row r="318" spans="2:3" x14ac:dyDescent="0.45">
      <c r="B318" s="4">
        <v>21.114816404210998</v>
      </c>
      <c r="C318" s="4">
        <v>2.9450111599999999E-4</v>
      </c>
    </row>
    <row r="319" spans="2:3" x14ac:dyDescent="0.45">
      <c r="B319" s="4">
        <v>21.1148359358425</v>
      </c>
      <c r="C319" s="4">
        <v>2.4628954899999999E-4</v>
      </c>
    </row>
    <row r="320" spans="2:3" x14ac:dyDescent="0.45">
      <c r="B320" s="4">
        <v>21.114855467474001</v>
      </c>
      <c r="C320" s="4">
        <v>1.47425323E-4</v>
      </c>
    </row>
    <row r="321" spans="2:3" x14ac:dyDescent="0.45">
      <c r="B321" s="4">
        <v>21.114874999105499</v>
      </c>
      <c r="C321" s="42">
        <v>5.3443281000000398E-5</v>
      </c>
    </row>
    <row r="322" spans="2:3" x14ac:dyDescent="0.45">
      <c r="B322" s="4">
        <v>21.114894530736901</v>
      </c>
      <c r="C322" s="4">
        <v>1.2545549500000001E-4</v>
      </c>
    </row>
    <row r="323" spans="2:3" x14ac:dyDescent="0.45">
      <c r="B323" s="4">
        <v>21.114914062368399</v>
      </c>
      <c r="C323" s="4">
        <v>2.1028344199999999E-4</v>
      </c>
    </row>
    <row r="324" spans="2:3" x14ac:dyDescent="0.45">
      <c r="B324" s="4">
        <v>21.114933593999901</v>
      </c>
      <c r="C324" s="4">
        <v>3.1769148999999998E-4</v>
      </c>
    </row>
    <row r="325" spans="2:3" x14ac:dyDescent="0.45">
      <c r="B325" s="4">
        <v>21.114953125631398</v>
      </c>
      <c r="C325" s="4">
        <v>2.3530463499999999E-4</v>
      </c>
    </row>
    <row r="326" spans="2:3" x14ac:dyDescent="0.45">
      <c r="B326" s="4">
        <v>21.1149726572628</v>
      </c>
      <c r="C326" s="4">
        <v>1.6146160200000001E-4</v>
      </c>
    </row>
    <row r="327" spans="2:3" x14ac:dyDescent="0.45">
      <c r="B327" s="4">
        <v>21.114992188894298</v>
      </c>
      <c r="C327" s="4">
        <v>2.24929994E-4</v>
      </c>
    </row>
    <row r="328" spans="2:3" x14ac:dyDescent="0.45">
      <c r="B328" s="4">
        <v>21.1150117205258</v>
      </c>
      <c r="C328" s="4">
        <v>2.3469436199999999E-4</v>
      </c>
    </row>
    <row r="329" spans="2:3" x14ac:dyDescent="0.45">
      <c r="B329" s="4">
        <v>21.115031252157301</v>
      </c>
      <c r="C329" s="4">
        <v>2.9999357300000001E-4</v>
      </c>
    </row>
    <row r="330" spans="2:3" x14ac:dyDescent="0.45">
      <c r="B330" s="4">
        <v>21.1150507837887</v>
      </c>
      <c r="C330" s="4">
        <v>2.18827264E-4</v>
      </c>
    </row>
    <row r="331" spans="2:3" x14ac:dyDescent="0.45">
      <c r="B331" s="4">
        <v>21.115070315420201</v>
      </c>
      <c r="C331" s="4">
        <v>1.95026617E-4</v>
      </c>
    </row>
    <row r="332" spans="2:3" x14ac:dyDescent="0.45">
      <c r="B332" s="4">
        <v>21.115089847051699</v>
      </c>
      <c r="C332" s="4">
        <v>2.5727446299999998E-4</v>
      </c>
    </row>
    <row r="333" spans="2:3" x14ac:dyDescent="0.45">
      <c r="B333" s="4">
        <v>21.115109378683201</v>
      </c>
      <c r="C333" s="4">
        <v>2.5727446299999998E-4</v>
      </c>
    </row>
    <row r="334" spans="2:3" x14ac:dyDescent="0.45">
      <c r="B334" s="4">
        <v>21.115128910314699</v>
      </c>
      <c r="C334" s="4">
        <v>2.3347381600000001E-4</v>
      </c>
    </row>
    <row r="335" spans="2:3" x14ac:dyDescent="0.45">
      <c r="B335" s="4">
        <v>21.115148441946101</v>
      </c>
      <c r="C335" s="4">
        <v>2.0845262300000001E-4</v>
      </c>
    </row>
    <row r="336" spans="2:3" x14ac:dyDescent="0.45">
      <c r="B336" s="4">
        <v>21.115167973577599</v>
      </c>
      <c r="C336" s="4">
        <v>2.60936101E-4</v>
      </c>
    </row>
    <row r="337" spans="2:3" x14ac:dyDescent="0.45">
      <c r="B337" s="4">
        <v>21.1151875052091</v>
      </c>
      <c r="C337" s="4">
        <v>2.9511138899999999E-4</v>
      </c>
    </row>
    <row r="338" spans="2:3" x14ac:dyDescent="0.45">
      <c r="B338" s="4">
        <v>21.115207036840602</v>
      </c>
      <c r="C338" s="4">
        <v>2.4079709199999999E-4</v>
      </c>
    </row>
    <row r="339" spans="2:3" x14ac:dyDescent="0.45">
      <c r="B339" s="4">
        <v>21.115226568472</v>
      </c>
      <c r="C339" s="4">
        <v>3.32948315E-4</v>
      </c>
    </row>
    <row r="340" spans="2:3" x14ac:dyDescent="0.45">
      <c r="B340" s="4">
        <v>21.115246100103501</v>
      </c>
      <c r="C340" s="4">
        <v>3.7688797099999998E-4</v>
      </c>
    </row>
    <row r="341" spans="2:3" x14ac:dyDescent="0.45">
      <c r="B341" s="4">
        <v>21.115265631734999</v>
      </c>
      <c r="C341" s="4">
        <v>4.7209055899999998E-4</v>
      </c>
    </row>
    <row r="342" spans="2:3" x14ac:dyDescent="0.45">
      <c r="B342" s="4">
        <v>21.115285163366501</v>
      </c>
      <c r="C342" s="4">
        <v>4.04350256E-4</v>
      </c>
    </row>
    <row r="343" spans="2:3" x14ac:dyDescent="0.45">
      <c r="B343" s="4">
        <v>21.115304694997999</v>
      </c>
      <c r="C343" s="4">
        <v>4.7331110499999998E-4</v>
      </c>
    </row>
    <row r="344" spans="2:3" x14ac:dyDescent="0.45">
      <c r="B344" s="4">
        <v>21.115324226629401</v>
      </c>
      <c r="C344" s="4">
        <v>2.6642855800000002E-4</v>
      </c>
    </row>
    <row r="345" spans="2:3" x14ac:dyDescent="0.45">
      <c r="B345" s="4">
        <v>21.115343758260899</v>
      </c>
      <c r="C345" s="4">
        <v>7.8516060799999998E-4</v>
      </c>
    </row>
    <row r="346" spans="2:3" x14ac:dyDescent="0.45">
      <c r="B346" s="4">
        <v>21.1153632898924</v>
      </c>
      <c r="C346" s="4">
        <v>1.568140867E-3</v>
      </c>
    </row>
    <row r="347" spans="2:3" x14ac:dyDescent="0.45">
      <c r="B347" s="4">
        <v>21.115382821523902</v>
      </c>
      <c r="C347" s="4">
        <v>1.2721584619999999E-3</v>
      </c>
    </row>
    <row r="348" spans="2:3" x14ac:dyDescent="0.45">
      <c r="B348" s="4">
        <v>21.1154023531553</v>
      </c>
      <c r="C348" s="4">
        <v>1.2300496250000001E-3</v>
      </c>
    </row>
    <row r="349" spans="2:3" x14ac:dyDescent="0.45">
      <c r="B349" s="4">
        <v>21.115421884786802</v>
      </c>
      <c r="C349" s="4">
        <v>3.6529278399999998E-4</v>
      </c>
    </row>
    <row r="350" spans="2:3" x14ac:dyDescent="0.45">
      <c r="B350" s="4">
        <v>21.1154414164183</v>
      </c>
      <c r="C350" s="4">
        <v>1.6512324E-4</v>
      </c>
    </row>
    <row r="351" spans="2:3" x14ac:dyDescent="0.45">
      <c r="B351" s="4">
        <v>21.115460948049801</v>
      </c>
      <c r="C351" s="4">
        <v>-1.7418854800000001E-4</v>
      </c>
    </row>
    <row r="352" spans="2:3" x14ac:dyDescent="0.45">
      <c r="B352" s="4">
        <v>21.115480479681199</v>
      </c>
      <c r="C352" s="42">
        <v>-6.0677769999999798E-5</v>
      </c>
    </row>
    <row r="353" spans="2:3" x14ac:dyDescent="0.45">
      <c r="B353" s="4">
        <v>21.115500011312701</v>
      </c>
      <c r="C353" s="4">
        <v>-2.2789257200000001E-4</v>
      </c>
    </row>
    <row r="354" spans="2:3" x14ac:dyDescent="0.45">
      <c r="B354" s="4">
        <v>21.115519542944199</v>
      </c>
      <c r="C354" s="4">
        <v>-1.5465981200000001E-4</v>
      </c>
    </row>
    <row r="355" spans="2:3" x14ac:dyDescent="0.45">
      <c r="B355" s="4">
        <v>21.1155390745757</v>
      </c>
      <c r="C355" s="4">
        <v>-2.3277475600000001E-4</v>
      </c>
    </row>
    <row r="356" spans="2:3" x14ac:dyDescent="0.45">
      <c r="B356" s="4">
        <v>21.115558606207198</v>
      </c>
      <c r="C356" s="4">
        <v>-1.3818244100000001E-4</v>
      </c>
    </row>
    <row r="357" spans="2:3" x14ac:dyDescent="0.45">
      <c r="B357" s="4">
        <v>21.1155781378386</v>
      </c>
      <c r="C357" s="42">
        <v>-9.6073603999999701E-5</v>
      </c>
    </row>
    <row r="358" spans="2:3" x14ac:dyDescent="0.45">
      <c r="B358" s="4">
        <v>21.115597669470102</v>
      </c>
      <c r="C358" s="42">
        <v>8.0295293000000296E-5</v>
      </c>
    </row>
    <row r="359" spans="2:3" x14ac:dyDescent="0.45">
      <c r="B359" s="4">
        <v>21.1156172011016</v>
      </c>
      <c r="C359" s="42">
        <v>6.5648741000000297E-5</v>
      </c>
    </row>
    <row r="360" spans="2:3" x14ac:dyDescent="0.45">
      <c r="B360" s="4">
        <v>21.115636732733101</v>
      </c>
      <c r="C360" s="42">
        <v>6.3817922000000099E-5</v>
      </c>
    </row>
    <row r="361" spans="2:3" x14ac:dyDescent="0.45">
      <c r="B361" s="4">
        <v>21.1156562643645</v>
      </c>
      <c r="C361" s="42">
        <v>6.0766557000000201E-5</v>
      </c>
    </row>
    <row r="362" spans="2:3" x14ac:dyDescent="0.45">
      <c r="B362" s="4">
        <v>21.115675795996001</v>
      </c>
      <c r="C362" s="42">
        <v>8.2126112000000101E-5</v>
      </c>
    </row>
    <row r="363" spans="2:3" x14ac:dyDescent="0.45">
      <c r="B363" s="4">
        <v>21.115695327627499</v>
      </c>
      <c r="C363" s="42">
        <v>3.2693999000000203E-5</v>
      </c>
    </row>
    <row r="364" spans="2:3" x14ac:dyDescent="0.45">
      <c r="B364" s="4">
        <v>21.115714859259</v>
      </c>
      <c r="C364" s="4">
        <v>1.59630783E-4</v>
      </c>
    </row>
    <row r="365" spans="2:3" x14ac:dyDescent="0.45">
      <c r="B365" s="4">
        <v>21.115734390890498</v>
      </c>
      <c r="C365" s="42">
        <v>9.4331572000000305E-5</v>
      </c>
    </row>
    <row r="366" spans="2:3" x14ac:dyDescent="0.45">
      <c r="B366" s="4">
        <v>21.1157539225219</v>
      </c>
      <c r="C366" s="4">
        <v>1.14470581E-4</v>
      </c>
    </row>
    <row r="367" spans="2:3" x14ac:dyDescent="0.45">
      <c r="B367" s="4">
        <v>21.115773454153398</v>
      </c>
      <c r="C367" s="4">
        <v>1.33999317E-4</v>
      </c>
    </row>
    <row r="368" spans="2:3" x14ac:dyDescent="0.45">
      <c r="B368" s="4">
        <v>21.1157929857849</v>
      </c>
      <c r="C368" s="4">
        <v>3.5430786999999999E-4</v>
      </c>
    </row>
    <row r="369" spans="2:3" x14ac:dyDescent="0.45">
      <c r="B369" s="4">
        <v>21.115812517416401</v>
      </c>
      <c r="C369" s="4">
        <v>4.3547417899999997E-4</v>
      </c>
    </row>
    <row r="370" spans="2:3" x14ac:dyDescent="0.45">
      <c r="B370" s="4">
        <v>21.1158320490478</v>
      </c>
      <c r="C370" s="4">
        <v>4.8124465400000002E-4</v>
      </c>
    </row>
    <row r="371" spans="2:3" x14ac:dyDescent="0.45">
      <c r="B371" s="4">
        <v>21.115851580679301</v>
      </c>
      <c r="C371" s="4">
        <v>6.4968000200000002E-4</v>
      </c>
    </row>
    <row r="372" spans="2:3" x14ac:dyDescent="0.45">
      <c r="B372" s="4">
        <v>21.115871112310799</v>
      </c>
      <c r="C372" s="4">
        <v>5.7949860699999997E-4</v>
      </c>
    </row>
    <row r="373" spans="2:3" x14ac:dyDescent="0.45">
      <c r="B373" s="4">
        <v>21.115890643942301</v>
      </c>
      <c r="C373" s="4">
        <v>5.72785604E-4</v>
      </c>
    </row>
    <row r="374" spans="2:3" x14ac:dyDescent="0.45">
      <c r="B374" s="4">
        <v>21.115910175573699</v>
      </c>
      <c r="C374" s="4">
        <v>5.4227195399999997E-4</v>
      </c>
    </row>
    <row r="375" spans="2:3" x14ac:dyDescent="0.45">
      <c r="B375" s="4">
        <v>21.115929707205201</v>
      </c>
      <c r="C375" s="4">
        <v>3.0121411900000002E-4</v>
      </c>
    </row>
    <row r="376" spans="2:3" x14ac:dyDescent="0.45">
      <c r="B376" s="4">
        <v>21.115949238836698</v>
      </c>
      <c r="C376" s="4">
        <v>3.2684558500000003E-4</v>
      </c>
    </row>
    <row r="377" spans="2:3" x14ac:dyDescent="0.45">
      <c r="B377" s="4">
        <v>21.1159687704682</v>
      </c>
      <c r="C377" s="42">
        <v>7.5413109000000301E-5</v>
      </c>
    </row>
    <row r="378" spans="2:3" x14ac:dyDescent="0.45">
      <c r="B378" s="4">
        <v>21.115988302099701</v>
      </c>
      <c r="C378" s="42">
        <v>5.1612462000000302E-5</v>
      </c>
    </row>
    <row r="379" spans="2:3" x14ac:dyDescent="0.45">
      <c r="B379" s="4">
        <v>21.1160078337311</v>
      </c>
      <c r="C379" s="4">
        <v>2.0540125799999999E-4</v>
      </c>
    </row>
    <row r="380" spans="2:3" x14ac:dyDescent="0.45">
      <c r="B380" s="4">
        <v>21.116027365362601</v>
      </c>
      <c r="C380" s="4">
        <v>-1.05227699E-4</v>
      </c>
    </row>
    <row r="381" spans="2:3" x14ac:dyDescent="0.45">
      <c r="B381" s="4">
        <v>21.116046896994099</v>
      </c>
      <c r="C381" s="4">
        <v>1.71836243E-4</v>
      </c>
    </row>
    <row r="382" spans="2:3" x14ac:dyDescent="0.45">
      <c r="B382" s="4">
        <v>21.116066428625601</v>
      </c>
      <c r="C382" s="4">
        <v>1.4315341200000001E-4</v>
      </c>
    </row>
    <row r="383" spans="2:3" x14ac:dyDescent="0.45">
      <c r="B383" s="4">
        <v>21.116085960256999</v>
      </c>
      <c r="C383" s="42">
        <v>3.7576183000000198E-5</v>
      </c>
    </row>
    <row r="384" spans="2:3" x14ac:dyDescent="0.45">
      <c r="B384" s="4">
        <v>21.116105491888501</v>
      </c>
      <c r="C384" s="4">
        <v>1.23624676E-4</v>
      </c>
    </row>
    <row r="385" spans="2:3" x14ac:dyDescent="0.45">
      <c r="B385" s="4">
        <v>21.116125023519999</v>
      </c>
      <c r="C385" s="42">
        <v>8.6398022999999998E-5</v>
      </c>
    </row>
    <row r="386" spans="2:3" x14ac:dyDescent="0.45">
      <c r="B386" s="4">
        <v>21.1161445551515</v>
      </c>
      <c r="C386" s="4">
        <v>2.13334807E-4</v>
      </c>
    </row>
    <row r="387" spans="2:3" x14ac:dyDescent="0.45">
      <c r="B387" s="4">
        <v>21.116164086782899</v>
      </c>
      <c r="C387" s="42">
        <v>7.8464474000000206E-5</v>
      </c>
    </row>
    <row r="388" spans="2:3" x14ac:dyDescent="0.45">
      <c r="B388" s="4">
        <v>21.1161836184144</v>
      </c>
      <c r="C388" s="42">
        <v>6.1376830000000305E-5</v>
      </c>
    </row>
    <row r="389" spans="2:3" x14ac:dyDescent="0.45">
      <c r="B389" s="4">
        <v>21.116203150045902</v>
      </c>
      <c r="C389" s="4">
        <v>1.88313614E-4</v>
      </c>
    </row>
    <row r="390" spans="2:3" x14ac:dyDescent="0.45">
      <c r="B390" s="4">
        <v>21.116222681677399</v>
      </c>
      <c r="C390" s="4">
        <v>3.3599968000000001E-4</v>
      </c>
    </row>
    <row r="391" spans="2:3" x14ac:dyDescent="0.45">
      <c r="B391" s="4">
        <v>21.116242213308901</v>
      </c>
      <c r="C391" s="4">
        <v>7.16810032E-4</v>
      </c>
    </row>
    <row r="392" spans="2:3" x14ac:dyDescent="0.45">
      <c r="B392" s="4">
        <v>21.116261744940299</v>
      </c>
      <c r="C392" s="4">
        <v>5.6546232799999996E-4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Limo-Arenoso</vt:lpstr>
      <vt:lpstr>Caolin</vt:lpstr>
      <vt:lpstr>Base</vt:lpstr>
      <vt:lpstr>Arena</vt:lpstr>
      <vt:lpstr>EjemploTOF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2025-04-02T16:45:04Z</dcterms:created>
  <dcterms:modified xsi:type="dcterms:W3CDTF">2025-05-21T04:24:59Z</dcterms:modified>
</cp:coreProperties>
</file>