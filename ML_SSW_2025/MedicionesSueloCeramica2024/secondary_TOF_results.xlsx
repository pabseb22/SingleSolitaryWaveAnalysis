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blo\Desktop\InvestigacionUSFQ\SSWCompleteAnalysis\SingleSolitaryWaveAnalysis\ML_SSW_2025\MedicionesSueloCeramica2024\"/>
    </mc:Choice>
  </mc:AlternateContent>
  <xr:revisionPtr revIDLastSave="0" documentId="13_ncr:1_{2E068B66-FB46-4844-87F6-3D20AB6EB966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1" i="1" l="1"/>
  <c r="O31" i="1"/>
  <c r="O23" i="1"/>
  <c r="N23" i="1"/>
  <c r="O14" i="1"/>
  <c r="N14" i="1"/>
  <c r="N8" i="1"/>
  <c r="O8" i="1"/>
  <c r="O2" i="1"/>
  <c r="N2" i="1"/>
  <c r="M98" i="1"/>
  <c r="M99" i="1"/>
  <c r="M100" i="1"/>
  <c r="M101" i="1"/>
  <c r="M102" i="1"/>
  <c r="M103" i="1"/>
  <c r="M93" i="1"/>
  <c r="M94" i="1"/>
  <c r="M95" i="1"/>
  <c r="M96" i="1"/>
  <c r="M92" i="1"/>
  <c r="M87" i="1"/>
  <c r="M88" i="1"/>
  <c r="M89" i="1"/>
  <c r="M90" i="1"/>
  <c r="M86" i="1"/>
  <c r="M81" i="1"/>
  <c r="M82" i="1"/>
  <c r="M83" i="1"/>
  <c r="M84" i="1"/>
  <c r="M80" i="1"/>
  <c r="M78" i="1"/>
  <c r="M77" i="1"/>
  <c r="M76" i="1"/>
  <c r="M75" i="1"/>
  <c r="M74" i="1"/>
  <c r="M70" i="1"/>
  <c r="M71" i="1"/>
  <c r="M72" i="1"/>
  <c r="M69" i="1"/>
  <c r="M64" i="1"/>
  <c r="M65" i="1"/>
  <c r="M66" i="1"/>
  <c r="M67" i="1"/>
  <c r="M63" i="1"/>
  <c r="M58" i="1"/>
  <c r="M59" i="1"/>
  <c r="M60" i="1"/>
  <c r="M61" i="1"/>
  <c r="M57" i="1"/>
  <c r="M50" i="1"/>
  <c r="M51" i="1"/>
  <c r="M52" i="1"/>
  <c r="M53" i="1"/>
  <c r="M54" i="1"/>
  <c r="M55" i="1"/>
  <c r="M49" i="1"/>
  <c r="M44" i="1"/>
  <c r="M45" i="1"/>
  <c r="M46" i="1"/>
  <c r="M47" i="1"/>
  <c r="M43" i="1"/>
  <c r="M38" i="1"/>
  <c r="M39" i="1"/>
  <c r="M40" i="1"/>
  <c r="M41" i="1"/>
  <c r="M37" i="1"/>
  <c r="M32" i="1"/>
  <c r="M33" i="1"/>
  <c r="M34" i="1"/>
  <c r="M31" i="1"/>
  <c r="M26" i="1"/>
  <c r="M27" i="1"/>
  <c r="M28" i="1"/>
  <c r="M29" i="1"/>
  <c r="M15" i="1"/>
  <c r="M18" i="1"/>
  <c r="M19" i="1"/>
  <c r="M20" i="1"/>
  <c r="M21" i="1"/>
  <c r="M14" i="1"/>
  <c r="M9" i="1"/>
  <c r="M10" i="1"/>
  <c r="M11" i="1"/>
  <c r="M12" i="1"/>
  <c r="M8" i="1"/>
  <c r="M3" i="1"/>
  <c r="M4" i="1"/>
  <c r="M5" i="1"/>
  <c r="M6" i="1"/>
  <c r="L8" i="1"/>
  <c r="L9" i="1"/>
  <c r="L10" i="1"/>
  <c r="L11" i="1"/>
  <c r="L12" i="1"/>
  <c r="L14" i="1"/>
  <c r="L15" i="1"/>
  <c r="L18" i="1"/>
  <c r="L19" i="1"/>
  <c r="L20" i="1"/>
  <c r="L21" i="1"/>
  <c r="L26" i="1"/>
  <c r="L27" i="1"/>
  <c r="L28" i="1"/>
  <c r="L29" i="1"/>
  <c r="L31" i="1"/>
  <c r="L32" i="1"/>
  <c r="L33" i="1"/>
  <c r="L34" i="1"/>
  <c r="L37" i="1"/>
  <c r="L38" i="1"/>
  <c r="L39" i="1"/>
  <c r="L40" i="1"/>
  <c r="L41" i="1"/>
  <c r="L43" i="1"/>
  <c r="L44" i="1"/>
  <c r="L45" i="1"/>
  <c r="L46" i="1"/>
  <c r="L47" i="1"/>
  <c r="L49" i="1"/>
  <c r="L50" i="1"/>
  <c r="L51" i="1"/>
  <c r="L52" i="1"/>
  <c r="L53" i="1"/>
  <c r="L54" i="1"/>
  <c r="L55" i="1"/>
  <c r="L57" i="1"/>
  <c r="L58" i="1"/>
  <c r="L59" i="1"/>
  <c r="L60" i="1"/>
  <c r="L61" i="1"/>
  <c r="L63" i="1"/>
  <c r="L64" i="1"/>
  <c r="L65" i="1"/>
  <c r="L66" i="1"/>
  <c r="L67" i="1"/>
  <c r="L69" i="1"/>
  <c r="L70" i="1"/>
  <c r="L71" i="1"/>
  <c r="L72" i="1"/>
  <c r="L74" i="1"/>
  <c r="L75" i="1"/>
  <c r="L76" i="1"/>
  <c r="L77" i="1"/>
  <c r="L78" i="1"/>
  <c r="L80" i="1"/>
  <c r="L81" i="1"/>
  <c r="L82" i="1"/>
  <c r="L83" i="1"/>
  <c r="L84" i="1"/>
  <c r="L86" i="1"/>
  <c r="L87" i="1"/>
  <c r="L88" i="1"/>
  <c r="L89" i="1"/>
  <c r="L90" i="1"/>
  <c r="L92" i="1"/>
  <c r="L93" i="1"/>
  <c r="L94" i="1"/>
  <c r="L95" i="1"/>
  <c r="L96" i="1"/>
  <c r="L98" i="1"/>
  <c r="L99" i="1"/>
  <c r="L100" i="1"/>
  <c r="L101" i="1"/>
  <c r="L102" i="1"/>
  <c r="L103" i="1"/>
  <c r="L3" i="1"/>
  <c r="L4" i="1"/>
  <c r="L5" i="1"/>
  <c r="L6" i="1"/>
</calcChain>
</file>

<file path=xl/sharedStrings.xml><?xml version="1.0" encoding="utf-8"?>
<sst xmlns="http://schemas.openxmlformats.org/spreadsheetml/2006/main" count="117" uniqueCount="29">
  <si>
    <t>Filename</t>
  </si>
  <si>
    <t>M1_25_Est_ConPlaca.mat</t>
  </si>
  <si>
    <t>---</t>
  </si>
  <si>
    <t>M1_25_Mod_ConPlaca.mat</t>
  </si>
  <si>
    <t>M1_56_Mod_ConPlaca.mat</t>
  </si>
  <si>
    <t>M2_25_Est_ConPlaca.mat</t>
  </si>
  <si>
    <t>M2_25_Mod_ConPlaca.mat</t>
  </si>
  <si>
    <t>M2_56_Mod_ConPlaca.mat</t>
  </si>
  <si>
    <t>M3_25_Est_ConPlaca.mat</t>
  </si>
  <si>
    <t>M3_25_Mod_ConPlaca.mat</t>
  </si>
  <si>
    <t>M3_56_Mod_ConPlaca.mat</t>
  </si>
  <si>
    <t>M4_25_Est_ConPlaca.mat</t>
  </si>
  <si>
    <t>M4_25_Mod_ConPlaca.mat</t>
  </si>
  <si>
    <t>M4_56_Mod_ConPlaca.mat</t>
  </si>
  <si>
    <t>M5_25_Est_ConPlaca.mat</t>
  </si>
  <si>
    <t>M5_56_Mod_ConPlaca.mat</t>
  </si>
  <si>
    <t>M6_25_Est_ConPlaca.mat</t>
  </si>
  <si>
    <t>M6_56_Mod_ConPlaca.mat</t>
  </si>
  <si>
    <t>Group</t>
  </si>
  <si>
    <t>Pico1_X</t>
  </si>
  <si>
    <t>Pico1_Y</t>
  </si>
  <si>
    <t>Pico2_X</t>
  </si>
  <si>
    <t>Pico2_Y</t>
  </si>
  <si>
    <t>Pico3_X</t>
  </si>
  <si>
    <t>Pico3_Y</t>
  </si>
  <si>
    <t>TOF1</t>
  </si>
  <si>
    <t>TOF2</t>
  </si>
  <si>
    <t>F1</t>
  </si>
  <si>
    <t>TOF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</si>
</sst>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000"/>
  </numFmts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4"/>
  <sheetViews>
    <sheetView tabSelected="1" topLeftCell="A25" workbookViewId="0">
      <selection activeCell="N34" sqref="N34"/>
    </sheetView>
  </sheetViews>
  <sheetFormatPr defaultRowHeight="14.25" x14ac:dyDescent="0.45"/>
  <cols>
    <col min="1" max="1" width="23.19921875" customWidth="1"/>
    <col min="2" max="2" width="6.19921875" customWidth="1"/>
    <col min="3" max="8" width="11.796875" customWidth="1"/>
    <col min="9" max="10" width="15.796875" customWidth="1"/>
    <col min="13" max="13" width="9.19921875" bestFit="1" customWidth="1"/>
    <col min="15" max="15" width="9.19921875" bestFit="1" customWidth="1"/>
  </cols>
  <sheetData>
    <row r="1" spans="1:15" x14ac:dyDescent="0.45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L1" s="1" t="s">
        <v>27</v>
      </c>
      <c r="M1" s="1" t="s">
        <v>28</v>
      </c>
      <c r="N1" s="1" t="s">
        <v>27</v>
      </c>
      <c r="O1" s="1" t="s">
        <v>28</v>
      </c>
    </row>
    <row r="2" spans="1:15" x14ac:dyDescent="0.45">
      <c r="A2" t="s">
        <v>1</v>
      </c>
      <c r="B2">
        <v>1</v>
      </c>
      <c r="C2">
        <v>59.219941018173188</v>
      </c>
      <c r="D2">
        <v>1.6779107499999999</v>
      </c>
      <c r="E2">
        <v>59.22186103737338</v>
      </c>
      <c r="F2">
        <v>0.77174009200000004</v>
      </c>
      <c r="G2">
        <v>59.222581044573445</v>
      </c>
      <c r="H2">
        <v>0.46138553199999999</v>
      </c>
      <c r="I2">
        <v>1.9200192001918026E-3</v>
      </c>
      <c r="J2">
        <v>7.2000720006570873E-4</v>
      </c>
      <c r="M2" s="2"/>
      <c r="N2">
        <f>AVERAGE(L2:L6)</f>
        <v>1.6193108701874659</v>
      </c>
      <c r="O2">
        <f>AVERAGE(M2:M6)</f>
        <v>1.8900189001875844E-3</v>
      </c>
    </row>
    <row r="3" spans="1:15" x14ac:dyDescent="0.45">
      <c r="A3" t="s">
        <v>1</v>
      </c>
      <c r="B3">
        <v>2</v>
      </c>
      <c r="C3">
        <v>70.756729818705182</v>
      </c>
      <c r="D3">
        <v>1.3924492119999998</v>
      </c>
      <c r="E3">
        <v>70.75859983740537</v>
      </c>
      <c r="F3">
        <v>0.92045165200000001</v>
      </c>
      <c r="G3">
        <v>70.759319844605443</v>
      </c>
      <c r="H3">
        <v>0.35728744000000001</v>
      </c>
      <c r="I3">
        <v>1.8700187001883251E-3</v>
      </c>
      <c r="J3">
        <v>7.2000720007281416E-4</v>
      </c>
      <c r="L3">
        <f t="shared" ref="L3:L66" si="0">D3/F3</f>
        <v>1.512789084548245</v>
      </c>
      <c r="M3" s="2">
        <f t="shared" ref="M3:M6" si="1">E3-C3</f>
        <v>1.8700187001883251E-3</v>
      </c>
    </row>
    <row r="4" spans="1:15" x14ac:dyDescent="0.45">
      <c r="A4" t="s">
        <v>1</v>
      </c>
      <c r="B4">
        <v>3</v>
      </c>
      <c r="C4">
        <v>85.156279271296711</v>
      </c>
      <c r="D4">
        <v>1.380164344</v>
      </c>
      <c r="E4">
        <v>85.158139289896894</v>
      </c>
      <c r="F4">
        <v>0.78079209999999999</v>
      </c>
      <c r="G4">
        <v>85.158819296696961</v>
      </c>
      <c r="H4">
        <v>0.34079985400000001</v>
      </c>
      <c r="I4">
        <v>1.8600186001833663E-3</v>
      </c>
      <c r="J4">
        <v>6.8000680006718994E-4</v>
      </c>
      <c r="L4">
        <f t="shared" si="0"/>
        <v>1.7676463990862612</v>
      </c>
      <c r="M4" s="2">
        <f t="shared" si="1"/>
        <v>1.8600186001833663E-3</v>
      </c>
    </row>
    <row r="5" spans="1:15" x14ac:dyDescent="0.45">
      <c r="A5" t="s">
        <v>1</v>
      </c>
      <c r="B5">
        <v>4</v>
      </c>
      <c r="C5">
        <v>89.4232765100721</v>
      </c>
      <c r="D5">
        <v>1.4063505099999998</v>
      </c>
      <c r="E5">
        <v>89.425176529072289</v>
      </c>
      <c r="F5">
        <v>0.90137777799999996</v>
      </c>
      <c r="G5">
        <v>89.42636654097241</v>
      </c>
      <c r="H5">
        <v>0.398668048</v>
      </c>
      <c r="I5">
        <v>1.9000190001889905E-3</v>
      </c>
      <c r="J5">
        <v>1.1900119001211351E-3</v>
      </c>
      <c r="L5">
        <f t="shared" si="0"/>
        <v>1.5602231875745221</v>
      </c>
      <c r="M5" s="2">
        <f t="shared" si="1"/>
        <v>1.9000190001889905E-3</v>
      </c>
    </row>
    <row r="6" spans="1:15" x14ac:dyDescent="0.45">
      <c r="A6" t="s">
        <v>1</v>
      </c>
      <c r="B6">
        <v>5</v>
      </c>
      <c r="C6">
        <v>109.92668411618216</v>
      </c>
      <c r="D6">
        <v>1.2566690919999999</v>
      </c>
      <c r="E6">
        <v>109.92861413548235</v>
      </c>
      <c r="F6">
        <v>0.76786065999999997</v>
      </c>
      <c r="G6">
        <v>109.92920414138241</v>
      </c>
      <c r="H6">
        <v>0.52701259</v>
      </c>
      <c r="I6">
        <v>1.930019300189656E-3</v>
      </c>
      <c r="J6">
        <v>5.900059000651936E-4</v>
      </c>
      <c r="L6">
        <f t="shared" si="0"/>
        <v>1.6365848095408351</v>
      </c>
      <c r="M6" s="2">
        <f t="shared" si="1"/>
        <v>1.930019300189656E-3</v>
      </c>
    </row>
    <row r="7" spans="1:15" x14ac:dyDescent="0.45">
      <c r="A7" t="s">
        <v>2</v>
      </c>
    </row>
    <row r="8" spans="1:15" x14ac:dyDescent="0.45">
      <c r="A8" t="s">
        <v>3</v>
      </c>
      <c r="B8">
        <v>1</v>
      </c>
      <c r="C8">
        <v>290.76131488427086</v>
      </c>
      <c r="D8">
        <v>1.5431004879999999</v>
      </c>
      <c r="E8">
        <v>290.762664897771</v>
      </c>
      <c r="F8">
        <v>0.65923656399999997</v>
      </c>
      <c r="G8">
        <v>290.7637549086711</v>
      </c>
      <c r="H8">
        <v>0.20695945000000002</v>
      </c>
      <c r="I8">
        <v>1.350013500143632E-3</v>
      </c>
      <c r="J8">
        <v>1.0900109000999691E-3</v>
      </c>
      <c r="L8">
        <f t="shared" si="0"/>
        <v>2.3407386244431674</v>
      </c>
      <c r="M8" s="2">
        <f>E8-C8</f>
        <v>1.350013500143632E-3</v>
      </c>
      <c r="N8">
        <f>AVERAGE(L8:L12)</f>
        <v>2.1674065446162127</v>
      </c>
      <c r="O8">
        <f>AVERAGE(M8:M12)</f>
        <v>1.3520135201360972E-3</v>
      </c>
    </row>
    <row r="9" spans="1:15" x14ac:dyDescent="0.45">
      <c r="A9" t="s">
        <v>3</v>
      </c>
      <c r="B9">
        <v>2</v>
      </c>
      <c r="C9">
        <v>295.40947269347197</v>
      </c>
      <c r="D9">
        <v>1.6727381739999998</v>
      </c>
      <c r="E9">
        <v>295.41079270667211</v>
      </c>
      <c r="F9">
        <v>0.72648005199999999</v>
      </c>
      <c r="G9">
        <v>295.41143271307214</v>
      </c>
      <c r="H9">
        <v>0.21924431800000002</v>
      </c>
      <c r="I9">
        <v>1.3200132001429665E-3</v>
      </c>
      <c r="J9">
        <v>6.4000640003314402E-4</v>
      </c>
      <c r="L9">
        <f t="shared" si="0"/>
        <v>2.3025245764077771</v>
      </c>
      <c r="M9" s="2">
        <f t="shared" ref="M9:M74" si="2">E9-C9</f>
        <v>1.3200132001429665E-3</v>
      </c>
    </row>
    <row r="10" spans="1:15" x14ac:dyDescent="0.45">
      <c r="A10" t="s">
        <v>3</v>
      </c>
      <c r="B10">
        <v>3</v>
      </c>
      <c r="C10">
        <v>308.88369206250263</v>
      </c>
      <c r="D10">
        <v>1.7011873419999999</v>
      </c>
      <c r="E10">
        <v>308.88506207620276</v>
      </c>
      <c r="F10">
        <v>0.80471526400000004</v>
      </c>
      <c r="G10">
        <v>308.88572208280283</v>
      </c>
      <c r="H10">
        <v>0.25577563600000003</v>
      </c>
      <c r="I10">
        <v>1.3700137001251278E-3</v>
      </c>
      <c r="J10">
        <v>6.6000660007148326E-4</v>
      </c>
      <c r="L10">
        <f t="shared" si="0"/>
        <v>2.1140239512096541</v>
      </c>
      <c r="M10" s="2">
        <f t="shared" si="2"/>
        <v>1.3700137001251278E-3</v>
      </c>
    </row>
    <row r="11" spans="1:15" x14ac:dyDescent="0.45">
      <c r="A11" t="s">
        <v>3</v>
      </c>
      <c r="B11">
        <v>4</v>
      </c>
      <c r="C11">
        <v>314.05197602625026</v>
      </c>
      <c r="D11">
        <v>1.6772641779999999</v>
      </c>
      <c r="E11">
        <v>314.0533260397504</v>
      </c>
      <c r="F11">
        <v>0.82960828600000003</v>
      </c>
      <c r="G11">
        <v>314.05399604645049</v>
      </c>
      <c r="H11">
        <v>0.233145616</v>
      </c>
      <c r="I11">
        <v>1.350013500143632E-3</v>
      </c>
      <c r="J11">
        <v>6.7000670009065288E-4</v>
      </c>
      <c r="L11">
        <f t="shared" si="0"/>
        <v>2.0217543704716565</v>
      </c>
      <c r="M11" s="2">
        <f t="shared" si="2"/>
        <v>1.350013500143632E-3</v>
      </c>
    </row>
    <row r="12" spans="1:15" x14ac:dyDescent="0.45">
      <c r="A12" t="s">
        <v>3</v>
      </c>
      <c r="B12">
        <v>5</v>
      </c>
      <c r="C12">
        <v>318.88934886796471</v>
      </c>
      <c r="D12">
        <v>1.55829493</v>
      </c>
      <c r="E12">
        <v>318.89071888166484</v>
      </c>
      <c r="F12">
        <v>0.75719222200000003</v>
      </c>
      <c r="G12">
        <v>318.89166889116495</v>
      </c>
      <c r="H12">
        <v>0.38605989400000001</v>
      </c>
      <c r="I12">
        <v>1.3700137001251278E-3</v>
      </c>
      <c r="J12">
        <v>9.5000950011581153E-4</v>
      </c>
      <c r="L12">
        <f t="shared" si="0"/>
        <v>2.0579912005488086</v>
      </c>
      <c r="M12" s="2">
        <f t="shared" si="2"/>
        <v>1.3700137001251278E-3</v>
      </c>
    </row>
    <row r="13" spans="1:15" x14ac:dyDescent="0.45">
      <c r="A13" t="s">
        <v>2</v>
      </c>
    </row>
    <row r="14" spans="1:15" x14ac:dyDescent="0.45">
      <c r="A14" t="s">
        <v>4</v>
      </c>
      <c r="B14">
        <v>1</v>
      </c>
      <c r="C14">
        <v>6.3362132403284033</v>
      </c>
      <c r="D14">
        <v>1.3297317279999998</v>
      </c>
      <c r="E14">
        <v>6.3376132543285433</v>
      </c>
      <c r="F14">
        <v>0.60718751800000004</v>
      </c>
      <c r="G14">
        <v>6.338153259728597</v>
      </c>
      <c r="H14">
        <v>0.23961133600000001</v>
      </c>
      <c r="I14">
        <v>1.4000140001400041E-3</v>
      </c>
      <c r="J14">
        <v>5.4000540005372244E-4</v>
      </c>
      <c r="L14">
        <f t="shared" si="0"/>
        <v>2.1899852822732098</v>
      </c>
      <c r="M14" s="2">
        <f t="shared" si="2"/>
        <v>1.4000140001400041E-3</v>
      </c>
      <c r="N14">
        <f>AVERAGE(L14:L21)</f>
        <v>1.9531749247670491</v>
      </c>
      <c r="O14" s="2">
        <f>AVERAGE(M14:M21)</f>
        <v>1.3316799834666899E-3</v>
      </c>
    </row>
    <row r="15" spans="1:15" x14ac:dyDescent="0.45">
      <c r="A15" t="s">
        <v>4</v>
      </c>
      <c r="B15">
        <v>2</v>
      </c>
      <c r="C15">
        <v>16.860479965212651</v>
      </c>
      <c r="D15">
        <v>1.7406282339999999</v>
      </c>
      <c r="E15">
        <v>16.861739977812778</v>
      </c>
      <c r="F15">
        <v>0.83930686600000004</v>
      </c>
      <c r="G15">
        <v>16.862209982512823</v>
      </c>
      <c r="H15">
        <v>0.36504630399999999</v>
      </c>
      <c r="I15">
        <v>1.2600126001274248E-3</v>
      </c>
      <c r="J15">
        <v>4.7000470004476824E-4</v>
      </c>
      <c r="L15">
        <f t="shared" si="0"/>
        <v>2.0738877572818519</v>
      </c>
      <c r="M15" s="2">
        <f t="shared" si="2"/>
        <v>1.2600126001274248E-3</v>
      </c>
    </row>
    <row r="16" spans="1:15" x14ac:dyDescent="0.45">
      <c r="A16" t="s">
        <v>4</v>
      </c>
      <c r="B16">
        <v>3</v>
      </c>
      <c r="C16">
        <v>21.75885366402364</v>
      </c>
      <c r="D16">
        <v>2.6426980000000006E-3</v>
      </c>
      <c r="E16">
        <v>21.758993665423656</v>
      </c>
      <c r="F16">
        <v>2.6426980000000006E-3</v>
      </c>
      <c r="G16">
        <v>21.759313668623687</v>
      </c>
      <c r="H16">
        <v>2.9659840000000005E-3</v>
      </c>
      <c r="I16">
        <v>1.4000140001613204E-4</v>
      </c>
      <c r="J16">
        <v>3.2000320003078286E-4</v>
      </c>
      <c r="M16" s="2"/>
    </row>
    <row r="17" spans="1:15" x14ac:dyDescent="0.45">
      <c r="A17" t="s">
        <v>4</v>
      </c>
      <c r="B17">
        <v>4</v>
      </c>
      <c r="C17">
        <v>21.75885366402364</v>
      </c>
      <c r="D17">
        <v>2.6426980000000006E-3</v>
      </c>
      <c r="E17">
        <v>21.758993665423656</v>
      </c>
      <c r="F17">
        <v>2.6426980000000006E-3</v>
      </c>
      <c r="G17">
        <v>21.759313668623687</v>
      </c>
      <c r="H17">
        <v>2.9659840000000005E-3</v>
      </c>
      <c r="I17">
        <v>1.4000140001613204E-4</v>
      </c>
      <c r="J17">
        <v>3.2000320003078286E-4</v>
      </c>
      <c r="M17" s="2"/>
    </row>
    <row r="18" spans="1:15" x14ac:dyDescent="0.45">
      <c r="A18" t="s">
        <v>4</v>
      </c>
      <c r="B18">
        <v>5</v>
      </c>
      <c r="C18">
        <v>38.92587900384104</v>
      </c>
      <c r="D18">
        <v>1.759055536</v>
      </c>
      <c r="E18">
        <v>38.927219017241171</v>
      </c>
      <c r="F18">
        <v>0.90299420799999996</v>
      </c>
      <c r="G18">
        <v>38.927799023041231</v>
      </c>
      <c r="H18">
        <v>0.27549608200000003</v>
      </c>
      <c r="I18">
        <v>1.3400134001315678E-3</v>
      </c>
      <c r="J18">
        <v>5.8000580006023483E-4</v>
      </c>
      <c r="L18">
        <f t="shared" si="0"/>
        <v>1.9480252701687319</v>
      </c>
      <c r="M18" s="2">
        <f t="shared" si="2"/>
        <v>1.3400134001315678E-3</v>
      </c>
    </row>
    <row r="19" spans="1:15" x14ac:dyDescent="0.45">
      <c r="A19" t="s">
        <v>4</v>
      </c>
      <c r="B19">
        <v>6</v>
      </c>
      <c r="C19">
        <v>47.140334747795478</v>
      </c>
      <c r="D19">
        <v>1.854748192</v>
      </c>
      <c r="E19">
        <v>47.141644760895609</v>
      </c>
      <c r="F19">
        <v>1.1047246719999999</v>
      </c>
      <c r="G19">
        <v>47.142234766795674</v>
      </c>
      <c r="H19">
        <v>0.35437786599999999</v>
      </c>
      <c r="I19">
        <v>1.3100131001309023E-3</v>
      </c>
      <c r="J19">
        <v>5.900059000651936E-4</v>
      </c>
      <c r="L19">
        <f t="shared" si="0"/>
        <v>1.6789234811259832</v>
      </c>
      <c r="M19" s="2">
        <f t="shared" si="2"/>
        <v>1.3100131001309023E-3</v>
      </c>
    </row>
    <row r="20" spans="1:15" x14ac:dyDescent="0.45">
      <c r="A20" t="s">
        <v>4</v>
      </c>
      <c r="B20">
        <v>7</v>
      </c>
      <c r="C20">
        <v>55.6178165098191</v>
      </c>
      <c r="D20">
        <v>2.2229709460000002</v>
      </c>
      <c r="E20">
        <v>55.619106522719228</v>
      </c>
      <c r="F20">
        <v>1.1354368419999998</v>
      </c>
      <c r="G20">
        <v>55.619686528519281</v>
      </c>
      <c r="H20">
        <v>0.51893043999999999</v>
      </c>
      <c r="I20">
        <v>1.2900129001280902E-3</v>
      </c>
      <c r="J20">
        <v>5.8000580005312941E-4</v>
      </c>
      <c r="L20">
        <f t="shared" si="0"/>
        <v>1.9578111822445168</v>
      </c>
      <c r="M20" s="2">
        <f t="shared" si="2"/>
        <v>1.2900129001280902E-3</v>
      </c>
    </row>
    <row r="21" spans="1:15" x14ac:dyDescent="0.45">
      <c r="A21" t="s">
        <v>4</v>
      </c>
      <c r="B21">
        <v>8</v>
      </c>
      <c r="C21">
        <v>60.411762687846874</v>
      </c>
      <c r="D21">
        <v>1.4053806519999998</v>
      </c>
      <c r="E21">
        <v>60.413152701747016</v>
      </c>
      <c r="F21">
        <v>0.75137307399999997</v>
      </c>
      <c r="G21">
        <v>60.413722707447072</v>
      </c>
      <c r="H21">
        <v>0.27581936800000001</v>
      </c>
      <c r="I21">
        <v>1.3900139001421508E-3</v>
      </c>
      <c r="J21">
        <v>5.7000570005527607E-4</v>
      </c>
      <c r="L21">
        <f t="shared" si="0"/>
        <v>1.8704165755080011</v>
      </c>
      <c r="M21" s="2">
        <f t="shared" si="2"/>
        <v>1.3900139001421508E-3</v>
      </c>
    </row>
    <row r="22" spans="1:15" x14ac:dyDescent="0.45">
      <c r="A22" t="s">
        <v>2</v>
      </c>
    </row>
    <row r="23" spans="1:15" x14ac:dyDescent="0.45">
      <c r="A23" t="s">
        <v>5</v>
      </c>
      <c r="B23">
        <v>1</v>
      </c>
      <c r="C23">
        <v>6.5396104480494799</v>
      </c>
      <c r="D23">
        <v>1.3649699019999999</v>
      </c>
      <c r="E23">
        <v>6.5414604665496654</v>
      </c>
      <c r="F23">
        <v>0.82055627799999997</v>
      </c>
      <c r="G23">
        <v>6.5420704726497263</v>
      </c>
      <c r="H23">
        <v>0.65374070200000001</v>
      </c>
      <c r="I23">
        <v>1.8500185001855129E-3</v>
      </c>
      <c r="J23">
        <v>6.1000610006090028E-4</v>
      </c>
      <c r="M23" s="2"/>
      <c r="N23">
        <f>AVERAGE(L23:L29)</f>
        <v>2.2776304867084574</v>
      </c>
      <c r="O23">
        <f>AVERAGE(M23:M29)</f>
        <v>1.8175181751800551E-3</v>
      </c>
    </row>
    <row r="24" spans="1:15" x14ac:dyDescent="0.45">
      <c r="A24" t="s">
        <v>5</v>
      </c>
      <c r="B24">
        <v>2</v>
      </c>
      <c r="C24">
        <v>6.5396104480494799</v>
      </c>
      <c r="D24">
        <v>1.3649699019999999</v>
      </c>
      <c r="E24">
        <v>6.5414604665496654</v>
      </c>
      <c r="F24">
        <v>0.82055627799999997</v>
      </c>
      <c r="G24">
        <v>6.5420704726497263</v>
      </c>
      <c r="H24">
        <v>0.65374070200000001</v>
      </c>
      <c r="I24">
        <v>1.8500185001855129E-3</v>
      </c>
      <c r="J24">
        <v>6.1000610006090028E-4</v>
      </c>
      <c r="M24" s="2"/>
    </row>
    <row r="25" spans="1:15" x14ac:dyDescent="0.45">
      <c r="A25" t="s">
        <v>5</v>
      </c>
      <c r="B25">
        <v>3</v>
      </c>
      <c r="C25">
        <v>51.187246875613759</v>
      </c>
      <c r="D25">
        <v>1.8831973599999998</v>
      </c>
      <c r="E25">
        <v>51.188986893013933</v>
      </c>
      <c r="F25">
        <v>1.0028895819999999</v>
      </c>
      <c r="G25">
        <v>51.189536898513985</v>
      </c>
      <c r="H25">
        <v>0.98252256400000004</v>
      </c>
      <c r="I25">
        <v>1.7400174001735991E-3</v>
      </c>
      <c r="J25">
        <v>5.5000550005246396E-4</v>
      </c>
      <c r="M25" s="2"/>
    </row>
    <row r="26" spans="1:15" x14ac:dyDescent="0.45">
      <c r="A26" t="s">
        <v>5</v>
      </c>
      <c r="B26">
        <v>4</v>
      </c>
      <c r="C26">
        <v>155.39551101325313</v>
      </c>
      <c r="D26">
        <v>1.7858882739999999</v>
      </c>
      <c r="E26">
        <v>155.39738103195333</v>
      </c>
      <c r="F26">
        <v>0.76883051800000002</v>
      </c>
      <c r="G26">
        <v>155.39855104365344</v>
      </c>
      <c r="H26">
        <v>0.401900908</v>
      </c>
      <c r="I26">
        <v>1.8700187002025359E-3</v>
      </c>
      <c r="J26">
        <v>1.1700117001112176E-3</v>
      </c>
      <c r="L26">
        <f t="shared" si="0"/>
        <v>2.3228634038171725</v>
      </c>
      <c r="M26" s="2">
        <f t="shared" si="2"/>
        <v>1.8700187002025359E-3</v>
      </c>
    </row>
    <row r="27" spans="1:15" x14ac:dyDescent="0.45">
      <c r="A27" t="s">
        <v>5</v>
      </c>
      <c r="B27">
        <v>5</v>
      </c>
      <c r="C27">
        <v>155.39551101325313</v>
      </c>
      <c r="D27">
        <v>1.7858882739999999</v>
      </c>
      <c r="E27">
        <v>155.39738103195333</v>
      </c>
      <c r="F27">
        <v>0.76883051800000002</v>
      </c>
      <c r="G27">
        <v>155.39855104365344</v>
      </c>
      <c r="H27">
        <v>0.401900908</v>
      </c>
      <c r="I27">
        <v>1.8700187002025359E-3</v>
      </c>
      <c r="J27">
        <v>1.1700117001112176E-3</v>
      </c>
      <c r="L27">
        <f t="shared" si="0"/>
        <v>2.3228634038171725</v>
      </c>
      <c r="M27" s="2">
        <f t="shared" si="2"/>
        <v>1.8700187002025359E-3</v>
      </c>
    </row>
    <row r="28" spans="1:15" x14ac:dyDescent="0.45">
      <c r="A28" t="s">
        <v>5</v>
      </c>
      <c r="B28">
        <v>6</v>
      </c>
      <c r="C28">
        <v>167.5666804204692</v>
      </c>
      <c r="D28">
        <v>1.498810306</v>
      </c>
      <c r="E28">
        <v>167.56844043806936</v>
      </c>
      <c r="F28">
        <v>0.66634885600000004</v>
      </c>
      <c r="G28">
        <v>167.56937044736947</v>
      </c>
      <c r="H28">
        <v>0.52442630199999996</v>
      </c>
      <c r="I28">
        <v>1.7600176001622003E-3</v>
      </c>
      <c r="J28">
        <v>9.30009300105894E-4</v>
      </c>
      <c r="L28">
        <f t="shared" si="0"/>
        <v>2.249287730449709</v>
      </c>
      <c r="M28" s="2">
        <f t="shared" si="2"/>
        <v>1.7600176001622003E-3</v>
      </c>
    </row>
    <row r="29" spans="1:15" x14ac:dyDescent="0.45">
      <c r="A29" t="s">
        <v>5</v>
      </c>
      <c r="B29">
        <v>7</v>
      </c>
      <c r="C29">
        <v>178.44855519587799</v>
      </c>
      <c r="D29">
        <v>1.6345904259999999</v>
      </c>
      <c r="E29">
        <v>178.45032521357814</v>
      </c>
      <c r="F29">
        <v>0.737795062</v>
      </c>
      <c r="G29">
        <v>178.45156522597827</v>
      </c>
      <c r="H29">
        <v>0.63983940400000006</v>
      </c>
      <c r="I29">
        <v>1.7700177001529482E-3</v>
      </c>
      <c r="J29">
        <v>1.2400124001317181E-3</v>
      </c>
      <c r="L29">
        <f t="shared" si="0"/>
        <v>2.2155074087497755</v>
      </c>
      <c r="M29" s="2">
        <f t="shared" si="2"/>
        <v>1.7700177001529482E-3</v>
      </c>
    </row>
    <row r="30" spans="1:15" x14ac:dyDescent="0.45">
      <c r="A30" t="s">
        <v>2</v>
      </c>
    </row>
    <row r="31" spans="1:15" x14ac:dyDescent="0.45">
      <c r="A31" t="s">
        <v>6</v>
      </c>
      <c r="B31">
        <v>1</v>
      </c>
      <c r="C31">
        <v>9.3436812304683041</v>
      </c>
      <c r="D31">
        <v>1.232099356</v>
      </c>
      <c r="E31">
        <v>9.3451012446684452</v>
      </c>
      <c r="F31">
        <v>0.45750610000000003</v>
      </c>
      <c r="G31">
        <v>9.3460612542685411</v>
      </c>
      <c r="H31">
        <v>0.17463085</v>
      </c>
      <c r="I31">
        <v>1.4200142001410399E-3</v>
      </c>
      <c r="J31">
        <v>9.6000960009590131E-4</v>
      </c>
      <c r="L31">
        <f t="shared" si="0"/>
        <v>2.693077438748904</v>
      </c>
      <c r="M31" s="2">
        <f t="shared" si="2"/>
        <v>1.4200142001410399E-3</v>
      </c>
      <c r="N31">
        <f>AVERAGE(L31:L35)</f>
        <v>2.6791019070752902</v>
      </c>
      <c r="O31" s="2">
        <f>AVERAGE(M31:M35)</f>
        <v>1.4075140751388382E-3</v>
      </c>
    </row>
    <row r="32" spans="1:15" x14ac:dyDescent="0.45">
      <c r="A32" t="s">
        <v>6</v>
      </c>
      <c r="B32">
        <v>2</v>
      </c>
      <c r="C32">
        <v>19.023266516478166</v>
      </c>
      <c r="D32">
        <v>1.4205750939999999</v>
      </c>
      <c r="E32">
        <v>19.024686530678306</v>
      </c>
      <c r="F32">
        <v>0.46623482199999999</v>
      </c>
      <c r="G32">
        <v>19.025716540978411</v>
      </c>
      <c r="H32">
        <v>0.24898663000000001</v>
      </c>
      <c r="I32">
        <v>1.4200142001392635E-3</v>
      </c>
      <c r="J32">
        <v>1.0300103001057437E-3</v>
      </c>
      <c r="L32">
        <f t="shared" si="0"/>
        <v>3.0469090401831891</v>
      </c>
      <c r="M32" s="2">
        <f t="shared" si="2"/>
        <v>1.4200142001392635E-3</v>
      </c>
    </row>
    <row r="33" spans="1:13" x14ac:dyDescent="0.45">
      <c r="A33" t="s">
        <v>6</v>
      </c>
      <c r="B33">
        <v>3</v>
      </c>
      <c r="C33">
        <v>33.981235792060922</v>
      </c>
      <c r="D33">
        <v>1.485878866</v>
      </c>
      <c r="E33">
        <v>33.982635806061062</v>
      </c>
      <c r="F33">
        <v>0.50955514599999996</v>
      </c>
      <c r="G33">
        <v>33.983685816561163</v>
      </c>
      <c r="H33">
        <v>0.24413734000000001</v>
      </c>
      <c r="I33">
        <v>1.4000140001400041E-3</v>
      </c>
      <c r="J33">
        <v>1.0500105001014504E-3</v>
      </c>
      <c r="L33">
        <f t="shared" si="0"/>
        <v>2.9160315182058825</v>
      </c>
      <c r="M33" s="2">
        <f t="shared" si="2"/>
        <v>1.4000140001400041E-3</v>
      </c>
    </row>
    <row r="34" spans="1:13" x14ac:dyDescent="0.45">
      <c r="A34" t="s">
        <v>6</v>
      </c>
      <c r="B34">
        <v>4</v>
      </c>
      <c r="C34">
        <v>52.576475106418066</v>
      </c>
      <c r="D34">
        <v>1.222400776</v>
      </c>
      <c r="E34">
        <v>52.577865120318201</v>
      </c>
      <c r="F34">
        <v>0.59328621999999998</v>
      </c>
      <c r="G34">
        <v>52.578725128918286</v>
      </c>
      <c r="H34">
        <v>0.282608374</v>
      </c>
      <c r="I34">
        <v>1.3900139001350453E-3</v>
      </c>
      <c r="J34">
        <v>8.6000860008539348E-4</v>
      </c>
      <c r="L34">
        <f t="shared" si="0"/>
        <v>2.0603896311631846</v>
      </c>
      <c r="M34" s="2">
        <f t="shared" si="2"/>
        <v>1.3900139001350453E-3</v>
      </c>
    </row>
    <row r="35" spans="1:13" x14ac:dyDescent="0.45">
      <c r="A35" t="s">
        <v>6</v>
      </c>
      <c r="B35">
        <v>5</v>
      </c>
      <c r="C35">
        <v>59.821856654579548</v>
      </c>
      <c r="D35">
        <v>1.3985916459999999</v>
      </c>
      <c r="E35">
        <v>59.821956655579555</v>
      </c>
      <c r="F35">
        <v>0.249633202</v>
      </c>
      <c r="G35">
        <v>59.823256668579688</v>
      </c>
      <c r="H35">
        <v>0.56871648399999997</v>
      </c>
      <c r="I35">
        <v>1.0000100000695511E-4</v>
      </c>
      <c r="J35">
        <v>1.300013000133049E-3</v>
      </c>
      <c r="M35" s="2"/>
    </row>
    <row r="36" spans="1:13" x14ac:dyDescent="0.45">
      <c r="A36" t="s">
        <v>2</v>
      </c>
    </row>
    <row r="37" spans="1:13" x14ac:dyDescent="0.45">
      <c r="A37" t="s">
        <v>7</v>
      </c>
      <c r="B37">
        <v>1</v>
      </c>
      <c r="C37">
        <v>22.306779962294623</v>
      </c>
      <c r="D37">
        <v>1.775866408</v>
      </c>
      <c r="E37">
        <v>22.308109975594753</v>
      </c>
      <c r="F37">
        <v>0.81958642000000004</v>
      </c>
      <c r="G37">
        <v>22.308689981394814</v>
      </c>
      <c r="H37">
        <v>0.26062492600000003</v>
      </c>
      <c r="I37">
        <v>1.3300133001301617E-3</v>
      </c>
      <c r="J37">
        <v>5.8000580006023483E-4</v>
      </c>
      <c r="L37">
        <f t="shared" si="0"/>
        <v>2.1667835931200519</v>
      </c>
      <c r="M37" s="2">
        <f t="shared" si="2"/>
        <v>1.3300133001301617E-3</v>
      </c>
    </row>
    <row r="38" spans="1:13" x14ac:dyDescent="0.45">
      <c r="A38" t="s">
        <v>7</v>
      </c>
      <c r="B38">
        <v>2</v>
      </c>
      <c r="C38">
        <v>36.672084045045452</v>
      </c>
      <c r="D38">
        <v>1.4402955399999999</v>
      </c>
      <c r="E38">
        <v>36.673364057845575</v>
      </c>
      <c r="F38">
        <v>0.77949895599999997</v>
      </c>
      <c r="G38">
        <v>36.673854062745626</v>
      </c>
      <c r="H38">
        <v>0.32592869800000002</v>
      </c>
      <c r="I38">
        <v>1.2800128001231315E-3</v>
      </c>
      <c r="J38">
        <v>4.9000490005113306E-4</v>
      </c>
      <c r="L38">
        <f t="shared" si="0"/>
        <v>1.8477196523660258</v>
      </c>
      <c r="M38" s="2">
        <f t="shared" si="2"/>
        <v>1.2800128001231315E-3</v>
      </c>
    </row>
    <row r="39" spans="1:13" x14ac:dyDescent="0.45">
      <c r="A39" t="s">
        <v>7</v>
      </c>
      <c r="B39">
        <v>3</v>
      </c>
      <c r="C39">
        <v>49.088528723368235</v>
      </c>
      <c r="D39">
        <v>1.5421306299999999</v>
      </c>
      <c r="E39">
        <v>49.089798736068367</v>
      </c>
      <c r="F39">
        <v>0.84124658200000002</v>
      </c>
      <c r="G39">
        <v>49.090288740968411</v>
      </c>
      <c r="H39">
        <v>0.36342987399999999</v>
      </c>
      <c r="I39">
        <v>1.2700127001323835E-3</v>
      </c>
      <c r="J39">
        <v>4.9000490004402764E-4</v>
      </c>
      <c r="L39">
        <f t="shared" si="0"/>
        <v>1.8331493559637428</v>
      </c>
      <c r="M39" s="2">
        <f t="shared" si="2"/>
        <v>1.2700127001323835E-3</v>
      </c>
    </row>
    <row r="40" spans="1:13" x14ac:dyDescent="0.45">
      <c r="A40" t="s">
        <v>7</v>
      </c>
      <c r="B40">
        <v>4</v>
      </c>
      <c r="C40">
        <v>63.513027397722979</v>
      </c>
      <c r="D40">
        <v>1.8599207679999998</v>
      </c>
      <c r="E40">
        <v>63.514277410223109</v>
      </c>
      <c r="F40">
        <v>1.0471797639999998</v>
      </c>
      <c r="G40">
        <v>63.514837415823166</v>
      </c>
      <c r="H40">
        <v>0.45944581600000001</v>
      </c>
      <c r="I40">
        <v>1.2500125001295714E-3</v>
      </c>
      <c r="J40">
        <v>5.6000560005742273E-4</v>
      </c>
      <c r="L40">
        <f t="shared" si="0"/>
        <v>1.7761236723057994</v>
      </c>
      <c r="M40" s="2">
        <f t="shared" si="2"/>
        <v>1.2500125001295714E-3</v>
      </c>
    </row>
    <row r="41" spans="1:13" x14ac:dyDescent="0.45">
      <c r="A41" t="s">
        <v>7</v>
      </c>
      <c r="B41">
        <v>5</v>
      </c>
      <c r="C41">
        <v>68.010475021429215</v>
      </c>
      <c r="D41">
        <v>1.857981052</v>
      </c>
      <c r="E41">
        <v>68.011735034029343</v>
      </c>
      <c r="F41">
        <v>1.0901768019999998</v>
      </c>
      <c r="G41">
        <v>68.012285039529388</v>
      </c>
      <c r="H41">
        <v>0.45556638399999999</v>
      </c>
      <c r="I41">
        <v>1.2600126001274248E-3</v>
      </c>
      <c r="J41">
        <v>5.5000550004535853E-4</v>
      </c>
      <c r="L41">
        <f t="shared" si="0"/>
        <v>1.7042933298446763</v>
      </c>
      <c r="M41" s="2">
        <f t="shared" si="2"/>
        <v>1.2600126001274248E-3</v>
      </c>
    </row>
    <row r="42" spans="1:13" x14ac:dyDescent="0.45">
      <c r="A42" t="s">
        <v>2</v>
      </c>
    </row>
    <row r="43" spans="1:13" x14ac:dyDescent="0.45">
      <c r="A43" t="s">
        <v>8</v>
      </c>
      <c r="B43">
        <v>1</v>
      </c>
      <c r="C43">
        <v>97.513851974918751</v>
      </c>
      <c r="D43">
        <v>1.6387931439999999</v>
      </c>
      <c r="E43">
        <v>97.515261989018896</v>
      </c>
      <c r="F43">
        <v>0.93629266600000005</v>
      </c>
      <c r="G43">
        <v>97.515711993518934</v>
      </c>
      <c r="H43">
        <v>0.55934119000000004</v>
      </c>
      <c r="I43">
        <v>1.4100141001449629E-3</v>
      </c>
      <c r="J43">
        <v>4.5000450003840342E-4</v>
      </c>
      <c r="L43">
        <f t="shared" si="0"/>
        <v>1.7503000968716333</v>
      </c>
      <c r="M43" s="2">
        <f t="shared" si="2"/>
        <v>1.4100141001449629E-3</v>
      </c>
    </row>
    <row r="44" spans="1:13" x14ac:dyDescent="0.45">
      <c r="A44" t="s">
        <v>8</v>
      </c>
      <c r="B44">
        <v>2</v>
      </c>
      <c r="C44">
        <v>151.49627766401863</v>
      </c>
      <c r="D44">
        <v>1.4474078319999999</v>
      </c>
      <c r="E44">
        <v>151.49767767801876</v>
      </c>
      <c r="F44">
        <v>0.74296763799999999</v>
      </c>
      <c r="G44">
        <v>151.49805768181881</v>
      </c>
      <c r="H44">
        <v>0.45233352399999999</v>
      </c>
      <c r="I44">
        <v>1.4000140001257932E-3</v>
      </c>
      <c r="J44">
        <v>3.8000380004632461E-4</v>
      </c>
      <c r="L44">
        <f t="shared" si="0"/>
        <v>1.9481438463407204</v>
      </c>
      <c r="M44" s="2">
        <f t="shared" si="2"/>
        <v>1.4000140001257932E-3</v>
      </c>
    </row>
    <row r="45" spans="1:13" x14ac:dyDescent="0.45">
      <c r="A45" t="s">
        <v>8</v>
      </c>
      <c r="B45">
        <v>3</v>
      </c>
      <c r="C45">
        <v>156.48932735556656</v>
      </c>
      <c r="D45">
        <v>1.9013013759999999</v>
      </c>
      <c r="E45">
        <v>156.49069736926671</v>
      </c>
      <c r="F45">
        <v>0.88327376199999996</v>
      </c>
      <c r="G45">
        <v>156.49111737346675</v>
      </c>
      <c r="H45">
        <v>0.632403826</v>
      </c>
      <c r="I45">
        <v>1.3700137001535495E-3</v>
      </c>
      <c r="J45">
        <v>4.2000420003773797E-4</v>
      </c>
      <c r="L45">
        <f t="shared" si="0"/>
        <v>2.1525618192199851</v>
      </c>
      <c r="M45" s="2">
        <f t="shared" si="2"/>
        <v>1.3700137001535495E-3</v>
      </c>
    </row>
    <row r="46" spans="1:13" x14ac:dyDescent="0.45">
      <c r="A46" t="s">
        <v>8</v>
      </c>
      <c r="B46">
        <v>4</v>
      </c>
      <c r="C46">
        <v>160.62893193453135</v>
      </c>
      <c r="D46">
        <v>1.6420260039999999</v>
      </c>
      <c r="E46">
        <v>160.63035194873149</v>
      </c>
      <c r="F46">
        <v>0.98122942000000002</v>
      </c>
      <c r="G46">
        <v>160.63086195383153</v>
      </c>
      <c r="H46">
        <v>0.44974723599999999</v>
      </c>
      <c r="I46">
        <v>1.4200142001357108E-3</v>
      </c>
      <c r="J46">
        <v>5.1000510003973432E-4</v>
      </c>
      <c r="L46">
        <f t="shared" si="0"/>
        <v>1.6734373944882328</v>
      </c>
      <c r="M46" s="2">
        <f t="shared" si="2"/>
        <v>1.4200142001357108E-3</v>
      </c>
    </row>
    <row r="47" spans="1:13" x14ac:dyDescent="0.45">
      <c r="A47" t="s">
        <v>8</v>
      </c>
      <c r="B47">
        <v>5</v>
      </c>
      <c r="C47">
        <v>165.65754855327455</v>
      </c>
      <c r="D47">
        <v>1.5996755379999998</v>
      </c>
      <c r="E47">
        <v>165.65906856847471</v>
      </c>
      <c r="F47">
        <v>0.98025956199999997</v>
      </c>
      <c r="G47">
        <v>165.65968857467476</v>
      </c>
      <c r="H47">
        <v>0.451363666</v>
      </c>
      <c r="I47">
        <v>1.5200152001568767E-3</v>
      </c>
      <c r="J47">
        <v>6.2000620005164819E-4</v>
      </c>
      <c r="L47">
        <f t="shared" si="0"/>
        <v>1.6318897565622521</v>
      </c>
      <c r="M47" s="2">
        <f t="shared" si="2"/>
        <v>1.5200152001568767E-3</v>
      </c>
    </row>
    <row r="48" spans="1:13" x14ac:dyDescent="0.45">
      <c r="A48" t="s">
        <v>2</v>
      </c>
    </row>
    <row r="49" spans="1:13" x14ac:dyDescent="0.45">
      <c r="A49" t="s">
        <v>9</v>
      </c>
      <c r="B49">
        <v>1</v>
      </c>
      <c r="C49">
        <v>24.74900114910249</v>
      </c>
      <c r="D49">
        <v>1.8001128579999999</v>
      </c>
      <c r="E49">
        <v>24.750481163902638</v>
      </c>
      <c r="F49">
        <v>0.87713132800000004</v>
      </c>
      <c r="G49">
        <v>24.751031169402694</v>
      </c>
      <c r="H49">
        <v>0.47561011600000003</v>
      </c>
      <c r="I49">
        <v>1.4800148001476998E-3</v>
      </c>
      <c r="J49">
        <v>5.5000550005601667E-4</v>
      </c>
      <c r="L49">
        <f t="shared" si="0"/>
        <v>2.0522729043375358</v>
      </c>
      <c r="M49" s="2">
        <f t="shared" si="2"/>
        <v>1.4800148001476998E-3</v>
      </c>
    </row>
    <row r="50" spans="1:13" x14ac:dyDescent="0.45">
      <c r="A50" t="s">
        <v>9</v>
      </c>
      <c r="B50">
        <v>2</v>
      </c>
      <c r="C50">
        <v>34.707027325415254</v>
      </c>
      <c r="D50">
        <v>7.1687020000000008E-3</v>
      </c>
      <c r="E50">
        <v>34.707507330215307</v>
      </c>
      <c r="F50">
        <v>7.4919880000000006E-3</v>
      </c>
      <c r="G50">
        <v>34.708157336715367</v>
      </c>
      <c r="H50">
        <v>7.1687020000000008E-3</v>
      </c>
      <c r="I50">
        <v>4.8000480005327972E-4</v>
      </c>
      <c r="J50">
        <v>6.5000650005941907E-4</v>
      </c>
      <c r="L50">
        <f t="shared" si="0"/>
        <v>0.95684910333545647</v>
      </c>
      <c r="M50" s="2">
        <f t="shared" si="2"/>
        <v>4.8000480005327972E-4</v>
      </c>
    </row>
    <row r="51" spans="1:13" x14ac:dyDescent="0.45">
      <c r="A51" t="s">
        <v>9</v>
      </c>
      <c r="B51">
        <v>3</v>
      </c>
      <c r="C51">
        <v>49.172036112305122</v>
      </c>
      <c r="D51">
        <v>1.0200237399999998</v>
      </c>
      <c r="E51">
        <v>49.173556127505272</v>
      </c>
      <c r="F51">
        <v>0.50599899999999998</v>
      </c>
      <c r="G51">
        <v>49.173936131305311</v>
      </c>
      <c r="H51">
        <v>0.45815267199999998</v>
      </c>
      <c r="I51">
        <v>1.5200152001497713E-3</v>
      </c>
      <c r="J51">
        <v>3.8000380003921919E-4</v>
      </c>
      <c r="L51">
        <f t="shared" si="0"/>
        <v>2.01586117759126</v>
      </c>
      <c r="M51" s="2">
        <f t="shared" si="2"/>
        <v>1.5200152001497713E-3</v>
      </c>
    </row>
    <row r="52" spans="1:13" x14ac:dyDescent="0.45">
      <c r="A52" t="s">
        <v>9</v>
      </c>
      <c r="B52">
        <v>4</v>
      </c>
      <c r="C52">
        <v>66.509837830377293</v>
      </c>
      <c r="D52">
        <v>1.0329551799999999</v>
      </c>
      <c r="E52">
        <v>66.511337845377454</v>
      </c>
      <c r="F52">
        <v>0.57259591600000004</v>
      </c>
      <c r="G52">
        <v>66.511787849877493</v>
      </c>
      <c r="H52">
        <v>0.33207113199999999</v>
      </c>
      <c r="I52">
        <v>1.5000150001611701E-3</v>
      </c>
      <c r="J52">
        <v>4.5000450003840342E-4</v>
      </c>
      <c r="L52">
        <f t="shared" si="0"/>
        <v>1.8039862862032705</v>
      </c>
      <c r="M52" s="2">
        <f t="shared" si="2"/>
        <v>1.5000150001611701E-3</v>
      </c>
    </row>
    <row r="53" spans="1:13" x14ac:dyDescent="0.45">
      <c r="A53" t="s">
        <v>9</v>
      </c>
      <c r="B53">
        <v>5</v>
      </c>
      <c r="C53">
        <v>99.893735537517372</v>
      </c>
      <c r="D53">
        <v>1.1819900259999998</v>
      </c>
      <c r="E53">
        <v>99.895245552617524</v>
      </c>
      <c r="F53">
        <v>0.61979567199999996</v>
      </c>
      <c r="G53">
        <v>99.895705557217568</v>
      </c>
      <c r="H53">
        <v>0.37377502600000001</v>
      </c>
      <c r="I53">
        <v>1.510015100151918E-3</v>
      </c>
      <c r="J53">
        <v>4.6000460004336219E-4</v>
      </c>
      <c r="L53">
        <f t="shared" si="0"/>
        <v>1.9070640202857045</v>
      </c>
      <c r="M53" s="2">
        <f t="shared" si="2"/>
        <v>1.510015100151918E-3</v>
      </c>
    </row>
    <row r="54" spans="1:13" x14ac:dyDescent="0.45">
      <c r="A54" t="s">
        <v>9</v>
      </c>
      <c r="B54">
        <v>6</v>
      </c>
      <c r="C54">
        <v>116.85875801234312</v>
      </c>
      <c r="D54">
        <v>1.1406094179999999</v>
      </c>
      <c r="E54">
        <v>116.86032802804327</v>
      </c>
      <c r="F54">
        <v>0.62302853199999997</v>
      </c>
      <c r="G54">
        <v>116.86077803254332</v>
      </c>
      <c r="H54">
        <v>0.43649251</v>
      </c>
      <c r="I54">
        <v>1.5700157001532489E-3</v>
      </c>
      <c r="J54">
        <v>4.5000450005261428E-4</v>
      </c>
      <c r="L54">
        <f t="shared" si="0"/>
        <v>1.8307498925265913</v>
      </c>
      <c r="M54" s="2">
        <f t="shared" si="2"/>
        <v>1.5700157001532489E-3</v>
      </c>
    </row>
    <row r="55" spans="1:13" x14ac:dyDescent="0.45">
      <c r="A55" t="s">
        <v>9</v>
      </c>
      <c r="B55">
        <v>7</v>
      </c>
      <c r="C55">
        <v>116.85875801234312</v>
      </c>
      <c r="D55">
        <v>1.1406094179999999</v>
      </c>
      <c r="E55">
        <v>116.86032802804327</v>
      </c>
      <c r="F55">
        <v>0.62302853199999997</v>
      </c>
      <c r="G55">
        <v>116.86077803254332</v>
      </c>
      <c r="H55">
        <v>0.43649251</v>
      </c>
      <c r="I55">
        <v>1.5700157001532489E-3</v>
      </c>
      <c r="J55">
        <v>4.5000450005261428E-4</v>
      </c>
      <c r="L55">
        <f t="shared" si="0"/>
        <v>1.8307498925265913</v>
      </c>
      <c r="M55" s="2">
        <f t="shared" si="2"/>
        <v>1.5700157001532489E-3</v>
      </c>
    </row>
    <row r="56" spans="1:13" x14ac:dyDescent="0.45">
      <c r="A56" t="s">
        <v>2</v>
      </c>
    </row>
    <row r="57" spans="1:13" x14ac:dyDescent="0.45">
      <c r="A57" t="s">
        <v>10</v>
      </c>
      <c r="B57">
        <v>1</v>
      </c>
      <c r="C57">
        <v>28.457436914682145</v>
      </c>
      <c r="D57">
        <v>1.6811436099999999</v>
      </c>
      <c r="E57">
        <v>28.458686927182271</v>
      </c>
      <c r="F57">
        <v>0.78758110599999998</v>
      </c>
      <c r="G57">
        <v>28.459176932082322</v>
      </c>
      <c r="H57">
        <v>0.30265210600000003</v>
      </c>
      <c r="I57">
        <v>1.2500125001260187E-3</v>
      </c>
      <c r="J57">
        <v>4.9000490005113306E-4</v>
      </c>
      <c r="L57">
        <f t="shared" si="0"/>
        <v>2.1345656938601065</v>
      </c>
      <c r="M57" s="2">
        <f t="shared" si="2"/>
        <v>1.2500125001260187E-3</v>
      </c>
    </row>
    <row r="58" spans="1:13" x14ac:dyDescent="0.45">
      <c r="A58" t="s">
        <v>10</v>
      </c>
      <c r="B58">
        <v>2</v>
      </c>
      <c r="C58">
        <v>39.281198410098099</v>
      </c>
      <c r="D58">
        <v>1.4111997999999999</v>
      </c>
      <c r="E58">
        <v>39.282418422298221</v>
      </c>
      <c r="F58">
        <v>0.74652378399999997</v>
      </c>
      <c r="G58">
        <v>39.282878426898264</v>
      </c>
      <c r="H58">
        <v>0.447160948</v>
      </c>
      <c r="I58">
        <v>1.2200122001218006E-3</v>
      </c>
      <c r="J58">
        <v>4.6000460004336219E-4</v>
      </c>
      <c r="L58">
        <f t="shared" si="0"/>
        <v>1.890361473064601</v>
      </c>
      <c r="M58" s="2">
        <f t="shared" si="2"/>
        <v>1.2200122001218006E-3</v>
      </c>
    </row>
    <row r="59" spans="1:13" x14ac:dyDescent="0.45">
      <c r="A59" t="s">
        <v>10</v>
      </c>
      <c r="B59">
        <v>3</v>
      </c>
      <c r="C59">
        <v>47.949797176679766</v>
      </c>
      <c r="D59">
        <v>1.515621178</v>
      </c>
      <c r="E59">
        <v>47.951037189079891</v>
      </c>
      <c r="F59">
        <v>0.72292390600000001</v>
      </c>
      <c r="G59">
        <v>47.95153719407994</v>
      </c>
      <c r="H59">
        <v>0.31719997599999999</v>
      </c>
      <c r="I59">
        <v>1.2400124001246127E-3</v>
      </c>
      <c r="J59">
        <v>5.000050000489864E-4</v>
      </c>
      <c r="L59">
        <f t="shared" si="0"/>
        <v>2.0965155051879001</v>
      </c>
      <c r="M59" s="2">
        <f t="shared" si="2"/>
        <v>1.2400124001246127E-3</v>
      </c>
    </row>
    <row r="60" spans="1:13" x14ac:dyDescent="0.45">
      <c r="A60" t="s">
        <v>10</v>
      </c>
      <c r="B60">
        <v>4</v>
      </c>
      <c r="C60">
        <v>52.25678669070691</v>
      </c>
      <c r="D60">
        <v>1.4192819499999998</v>
      </c>
      <c r="E60">
        <v>52.258026703107035</v>
      </c>
      <c r="F60">
        <v>0.76010179600000005</v>
      </c>
      <c r="G60">
        <v>52.258496707807083</v>
      </c>
      <c r="H60">
        <v>0.462032104</v>
      </c>
      <c r="I60">
        <v>1.2400124001246127E-3</v>
      </c>
      <c r="J60">
        <v>4.7000470004832096E-4</v>
      </c>
      <c r="L60">
        <f t="shared" si="0"/>
        <v>1.8672261497984932</v>
      </c>
      <c r="M60" s="2">
        <f t="shared" si="2"/>
        <v>1.2400124001246127E-3</v>
      </c>
    </row>
    <row r="61" spans="1:13" x14ac:dyDescent="0.45">
      <c r="A61" t="s">
        <v>10</v>
      </c>
      <c r="B61">
        <v>5</v>
      </c>
      <c r="C61">
        <v>56.856408241624415</v>
      </c>
      <c r="D61">
        <v>1.4577529839999999</v>
      </c>
      <c r="E61">
        <v>56.857648254024539</v>
      </c>
      <c r="F61">
        <v>0.94469810200000004</v>
      </c>
      <c r="G61">
        <v>56.858148259024588</v>
      </c>
      <c r="H61">
        <v>0.46752796600000002</v>
      </c>
      <c r="I61">
        <v>1.2400124001246127E-3</v>
      </c>
      <c r="J61">
        <v>5.000050000489864E-4</v>
      </c>
      <c r="L61">
        <f t="shared" si="0"/>
        <v>1.5430887189397569</v>
      </c>
      <c r="M61" s="2">
        <f t="shared" si="2"/>
        <v>1.2400124001246127E-3</v>
      </c>
    </row>
    <row r="62" spans="1:13" x14ac:dyDescent="0.45">
      <c r="A62" t="s">
        <v>2</v>
      </c>
    </row>
    <row r="63" spans="1:13" x14ac:dyDescent="0.45">
      <c r="A63" t="s">
        <v>11</v>
      </c>
      <c r="B63">
        <v>1</v>
      </c>
      <c r="C63">
        <v>5.4453746488844885</v>
      </c>
      <c r="D63">
        <v>1.7677842579999998</v>
      </c>
      <c r="E63">
        <v>5.4471146662846621</v>
      </c>
      <c r="F63">
        <v>0.86193688599999996</v>
      </c>
      <c r="G63">
        <v>5.4477946730847311</v>
      </c>
      <c r="H63">
        <v>0.36504630399999999</v>
      </c>
      <c r="I63">
        <v>1.7400174001735991E-3</v>
      </c>
      <c r="J63">
        <v>6.800068000689663E-4</v>
      </c>
      <c r="L63">
        <f t="shared" si="0"/>
        <v>2.0509439689996047</v>
      </c>
      <c r="M63" s="2">
        <f t="shared" si="2"/>
        <v>1.7400174001735991E-3</v>
      </c>
    </row>
    <row r="64" spans="1:13" x14ac:dyDescent="0.45">
      <c r="A64" t="s">
        <v>11</v>
      </c>
      <c r="B64">
        <v>2</v>
      </c>
      <c r="C64">
        <v>67.485686808659082</v>
      </c>
      <c r="D64">
        <v>1.4325366759999998</v>
      </c>
      <c r="E64">
        <v>67.487326825059256</v>
      </c>
      <c r="F64">
        <v>0.74361421000000005</v>
      </c>
      <c r="G64">
        <v>67.487806829859295</v>
      </c>
      <c r="H64">
        <v>0.49015798599999999</v>
      </c>
      <c r="I64">
        <v>1.6400164001737494E-3</v>
      </c>
      <c r="J64">
        <v>4.8000480003906887E-4</v>
      </c>
      <c r="L64">
        <f t="shared" si="0"/>
        <v>1.9264514539064546</v>
      </c>
      <c r="M64" s="2">
        <f t="shared" si="2"/>
        <v>1.6400164001737494E-3</v>
      </c>
    </row>
    <row r="65" spans="1:13" x14ac:dyDescent="0.45">
      <c r="A65" t="s">
        <v>11</v>
      </c>
      <c r="B65">
        <v>3</v>
      </c>
      <c r="C65">
        <v>71.279698270028703</v>
      </c>
      <c r="D65">
        <v>1.6937517639999999</v>
      </c>
      <c r="E65">
        <v>71.281318286228867</v>
      </c>
      <c r="F65">
        <v>1.228866496</v>
      </c>
      <c r="G65">
        <v>71.282338296428961</v>
      </c>
      <c r="H65">
        <v>0.52571944599999998</v>
      </c>
      <c r="I65">
        <v>1.6200162001638319E-3</v>
      </c>
      <c r="J65">
        <v>1.0200102000936795E-3</v>
      </c>
      <c r="L65">
        <f t="shared" si="0"/>
        <v>1.3783041278391237</v>
      </c>
      <c r="M65" s="2">
        <f t="shared" si="2"/>
        <v>1.6200162001638319E-3</v>
      </c>
    </row>
    <row r="66" spans="1:13" x14ac:dyDescent="0.45">
      <c r="A66" t="s">
        <v>11</v>
      </c>
      <c r="B66">
        <v>4</v>
      </c>
      <c r="C66">
        <v>74.482496531627319</v>
      </c>
      <c r="D66">
        <v>1.7959101399999999</v>
      </c>
      <c r="E66">
        <v>74.484116547827469</v>
      </c>
      <c r="F66">
        <v>1.3222961499999999</v>
      </c>
      <c r="G66">
        <v>74.485226558927579</v>
      </c>
      <c r="H66">
        <v>0.44004865599999998</v>
      </c>
      <c r="I66">
        <v>1.620016200149621E-3</v>
      </c>
      <c r="J66">
        <v>1.1100111001098867E-3</v>
      </c>
      <c r="L66">
        <f t="shared" si="0"/>
        <v>1.3581754284015726</v>
      </c>
      <c r="M66" s="2">
        <f t="shared" si="2"/>
        <v>1.620016200149621E-3</v>
      </c>
    </row>
    <row r="67" spans="1:13" x14ac:dyDescent="0.45">
      <c r="A67" t="s">
        <v>11</v>
      </c>
      <c r="B67">
        <v>5</v>
      </c>
      <c r="C67">
        <v>77.758031196556971</v>
      </c>
      <c r="D67">
        <v>1.6821134679999998</v>
      </c>
      <c r="E67">
        <v>77.75967121295713</v>
      </c>
      <c r="F67">
        <v>1.1622695799999998</v>
      </c>
      <c r="G67">
        <v>77.760621222457232</v>
      </c>
      <c r="H67">
        <v>0.50535242800000002</v>
      </c>
      <c r="I67">
        <v>1.6400164001595385E-3</v>
      </c>
      <c r="J67">
        <v>9.5000950010160068E-4</v>
      </c>
      <c r="L67">
        <f t="shared" ref="L67:L103" si="3">D67/F67</f>
        <v>1.4472661910328928</v>
      </c>
      <c r="M67" s="2">
        <f t="shared" si="2"/>
        <v>1.6400164001595385E-3</v>
      </c>
    </row>
    <row r="68" spans="1:13" x14ac:dyDescent="0.45">
      <c r="A68" t="s">
        <v>2</v>
      </c>
    </row>
    <row r="69" spans="1:13" x14ac:dyDescent="0.45">
      <c r="A69" t="s">
        <v>12</v>
      </c>
      <c r="B69">
        <v>1</v>
      </c>
      <c r="C69">
        <v>17.831476318575184</v>
      </c>
      <c r="D69">
        <v>1.4548434099999998</v>
      </c>
      <c r="E69">
        <v>17.832956333375332</v>
      </c>
      <c r="F69">
        <v>0.61203680800000004</v>
      </c>
      <c r="G69">
        <v>17.833416337975379</v>
      </c>
      <c r="H69">
        <v>0.420004924</v>
      </c>
      <c r="I69">
        <v>1.4800148001476998E-3</v>
      </c>
      <c r="J69">
        <v>4.600046000469149E-4</v>
      </c>
      <c r="L69">
        <f t="shared" si="3"/>
        <v>2.3770521494517691</v>
      </c>
      <c r="M69" s="2">
        <f t="shared" si="2"/>
        <v>1.4800148001476998E-3</v>
      </c>
    </row>
    <row r="70" spans="1:13" x14ac:dyDescent="0.45">
      <c r="A70" t="s">
        <v>12</v>
      </c>
      <c r="B70">
        <v>2</v>
      </c>
      <c r="C70">
        <v>42.432896450027499</v>
      </c>
      <c r="D70">
        <v>1.4803830039999999</v>
      </c>
      <c r="E70">
        <v>42.434316464227642</v>
      </c>
      <c r="F70">
        <v>0.69609116800000004</v>
      </c>
      <c r="G70">
        <v>42.434716468227684</v>
      </c>
      <c r="H70">
        <v>0.48627855400000003</v>
      </c>
      <c r="I70">
        <v>1.4200142001428162E-3</v>
      </c>
      <c r="J70">
        <v>4.0000400004203129E-4</v>
      </c>
      <c r="L70">
        <f t="shared" si="3"/>
        <v>2.1267085003440238</v>
      </c>
      <c r="M70" s="2">
        <f t="shared" si="2"/>
        <v>1.4200142001428162E-3</v>
      </c>
    </row>
    <row r="71" spans="1:13" x14ac:dyDescent="0.45">
      <c r="A71" t="s">
        <v>12</v>
      </c>
      <c r="B71">
        <v>3</v>
      </c>
      <c r="C71">
        <v>52.409031991543912</v>
      </c>
      <c r="D71">
        <v>1.4606625579999999</v>
      </c>
      <c r="E71">
        <v>52.410492006144061</v>
      </c>
      <c r="F71">
        <v>0.66149956600000004</v>
      </c>
      <c r="G71">
        <v>52.410912010344099</v>
      </c>
      <c r="H71">
        <v>0.41030634399999999</v>
      </c>
      <c r="I71">
        <v>1.4600146001484404E-3</v>
      </c>
      <c r="J71">
        <v>4.2000420003773797E-4</v>
      </c>
      <c r="L71">
        <f t="shared" si="3"/>
        <v>2.2081081123490862</v>
      </c>
      <c r="M71" s="2">
        <f t="shared" si="2"/>
        <v>1.4600146001484404E-3</v>
      </c>
    </row>
    <row r="72" spans="1:13" x14ac:dyDescent="0.45">
      <c r="A72" t="s">
        <v>12</v>
      </c>
      <c r="B72">
        <v>4</v>
      </c>
      <c r="C72">
        <v>71.444365761325614</v>
      </c>
      <c r="D72">
        <v>1.2405047919999999</v>
      </c>
      <c r="E72">
        <v>71.445825775925755</v>
      </c>
      <c r="F72">
        <v>0.53832760000000002</v>
      </c>
      <c r="G72">
        <v>71.446195779625796</v>
      </c>
      <c r="H72">
        <v>0.410952916</v>
      </c>
      <c r="I72">
        <v>1.460014600141335E-3</v>
      </c>
      <c r="J72">
        <v>3.7000370004136585E-4</v>
      </c>
      <c r="L72">
        <f t="shared" si="3"/>
        <v>2.304367808746941</v>
      </c>
      <c r="M72" s="2">
        <f t="shared" si="2"/>
        <v>1.460014600141335E-3</v>
      </c>
    </row>
    <row r="73" spans="1:13" x14ac:dyDescent="0.45">
      <c r="A73" t="s">
        <v>2</v>
      </c>
    </row>
    <row r="74" spans="1:13" x14ac:dyDescent="0.45">
      <c r="A74" t="s">
        <v>13</v>
      </c>
      <c r="B74">
        <v>1</v>
      </c>
      <c r="C74">
        <v>14.213130383447835</v>
      </c>
      <c r="D74">
        <v>1.3468658859999998</v>
      </c>
      <c r="E74">
        <v>14.213240384547845</v>
      </c>
      <c r="F74">
        <v>0.28163851600000001</v>
      </c>
      <c r="G74">
        <v>14.214500397147972</v>
      </c>
      <c r="H74">
        <v>0.45556638399999999</v>
      </c>
      <c r="I74">
        <v>1.1000110001013752E-4</v>
      </c>
      <c r="J74">
        <v>1.2600126001274248E-3</v>
      </c>
      <c r="L74">
        <f t="shared" si="3"/>
        <v>4.7822503297098748</v>
      </c>
      <c r="M74" s="2">
        <f t="shared" si="2"/>
        <v>1.1000110001013752E-4</v>
      </c>
    </row>
    <row r="75" spans="1:13" x14ac:dyDescent="0.45">
      <c r="A75" t="s">
        <v>13</v>
      </c>
      <c r="B75">
        <v>2</v>
      </c>
      <c r="C75">
        <v>24.032063347738475</v>
      </c>
      <c r="D75">
        <v>1.4813528619999998</v>
      </c>
      <c r="E75">
        <v>24.032163348738486</v>
      </c>
      <c r="F75">
        <v>0.43584593799999999</v>
      </c>
      <c r="G75">
        <v>24.033393361038609</v>
      </c>
      <c r="H75">
        <v>0.55643161600000002</v>
      </c>
      <c r="I75">
        <v>1.0000100001050782E-4</v>
      </c>
      <c r="J75">
        <v>1.2300123001232066E-3</v>
      </c>
      <c r="L75">
        <f t="shared" si="3"/>
        <v>3.3987992839800194</v>
      </c>
      <c r="M75" s="2">
        <f t="shared" ref="M75:M78" si="4">E75-C75</f>
        <v>1.0000100001050782E-4</v>
      </c>
    </row>
    <row r="76" spans="1:13" x14ac:dyDescent="0.45">
      <c r="A76" t="s">
        <v>13</v>
      </c>
      <c r="B76">
        <v>3</v>
      </c>
      <c r="C76">
        <v>51.982205542246419</v>
      </c>
      <c r="D76">
        <v>1.6139001219999998</v>
      </c>
      <c r="E76">
        <v>51.982325543446436</v>
      </c>
      <c r="F76">
        <v>0.36472301800000001</v>
      </c>
      <c r="G76">
        <v>51.983525555446555</v>
      </c>
      <c r="H76">
        <v>0.70417331800000005</v>
      </c>
      <c r="I76">
        <v>1.2000120001687264E-4</v>
      </c>
      <c r="J76">
        <v>1.2000120001189885E-3</v>
      </c>
      <c r="L76">
        <f t="shared" si="3"/>
        <v>4.4250021039253404</v>
      </c>
      <c r="M76" s="2">
        <f t="shared" si="4"/>
        <v>1.2000120001687264E-4</v>
      </c>
    </row>
    <row r="77" spans="1:13" x14ac:dyDescent="0.45">
      <c r="A77" t="s">
        <v>13</v>
      </c>
      <c r="B77">
        <v>4</v>
      </c>
      <c r="C77">
        <v>62.997489282386823</v>
      </c>
      <c r="D77">
        <v>1.614223408</v>
      </c>
      <c r="E77">
        <v>62.99758928338683</v>
      </c>
      <c r="F77">
        <v>0.46073896000000003</v>
      </c>
      <c r="G77">
        <v>62.998789295386956</v>
      </c>
      <c r="H77">
        <v>0.68315972800000002</v>
      </c>
      <c r="I77">
        <v>1.0000100000695511E-4</v>
      </c>
      <c r="J77">
        <v>1.2000120001260939E-3</v>
      </c>
      <c r="L77">
        <f t="shared" si="3"/>
        <v>3.5035530921891214</v>
      </c>
      <c r="M77" s="2">
        <f t="shared" si="4"/>
        <v>1.0000100000695511E-4</v>
      </c>
    </row>
    <row r="78" spans="1:13" x14ac:dyDescent="0.45">
      <c r="A78" t="s">
        <v>13</v>
      </c>
      <c r="B78">
        <v>5</v>
      </c>
      <c r="C78">
        <v>72.885904125927254</v>
      </c>
      <c r="D78">
        <v>1.492667872</v>
      </c>
      <c r="E78">
        <v>72.886004126927276</v>
      </c>
      <c r="F78">
        <v>0.43002678999999999</v>
      </c>
      <c r="G78">
        <v>72.887204138927387</v>
      </c>
      <c r="H78">
        <v>0.62626139199999997</v>
      </c>
      <c r="I78">
        <v>1.0000100002116596E-4</v>
      </c>
      <c r="J78">
        <v>1.200012000111883E-3</v>
      </c>
      <c r="L78">
        <f t="shared" si="3"/>
        <v>3.4711043746832608</v>
      </c>
      <c r="M78" s="2">
        <f>E78-C78</f>
        <v>1.0000100002116596E-4</v>
      </c>
    </row>
    <row r="79" spans="1:13" x14ac:dyDescent="0.45">
      <c r="A79" t="s">
        <v>2</v>
      </c>
    </row>
    <row r="80" spans="1:13" x14ac:dyDescent="0.45">
      <c r="A80" t="s">
        <v>14</v>
      </c>
      <c r="B80">
        <v>1</v>
      </c>
      <c r="C80">
        <v>8.2322926644026442</v>
      </c>
      <c r="D80">
        <v>1.6788806079999998</v>
      </c>
      <c r="E80">
        <v>8.2339726812028111</v>
      </c>
      <c r="F80">
        <v>0.77917566999999999</v>
      </c>
      <c r="G80">
        <v>8.2345726872028724</v>
      </c>
      <c r="H80">
        <v>0.40545705399999998</v>
      </c>
      <c r="I80">
        <v>1.6800168001669391E-3</v>
      </c>
      <c r="J80">
        <v>6.0000600006127058E-4</v>
      </c>
      <c r="L80">
        <f t="shared" si="3"/>
        <v>2.1546881821913151</v>
      </c>
      <c r="M80" s="2">
        <f>E80-C80</f>
        <v>1.6800168001669391E-3</v>
      </c>
    </row>
    <row r="81" spans="1:13" x14ac:dyDescent="0.45">
      <c r="A81" t="s">
        <v>14</v>
      </c>
      <c r="B81">
        <v>2</v>
      </c>
      <c r="C81">
        <v>36.615218244063442</v>
      </c>
      <c r="D81">
        <v>1.3336111599999998</v>
      </c>
      <c r="E81">
        <v>36.61691826106361</v>
      </c>
      <c r="F81">
        <v>0.65406398799999999</v>
      </c>
      <c r="G81">
        <v>36.617518267063673</v>
      </c>
      <c r="H81">
        <v>0.327868414</v>
      </c>
      <c r="I81">
        <v>1.7000170001679749E-3</v>
      </c>
      <c r="J81">
        <v>6.0000600006304694E-4</v>
      </c>
      <c r="L81">
        <f t="shared" si="3"/>
        <v>2.0389613011380163</v>
      </c>
      <c r="M81" s="2">
        <f t="shared" ref="M81:M84" si="5">E81-C81</f>
        <v>1.7000170001679749E-3</v>
      </c>
    </row>
    <row r="82" spans="1:13" x14ac:dyDescent="0.45">
      <c r="A82" t="s">
        <v>14</v>
      </c>
      <c r="B82">
        <v>3</v>
      </c>
      <c r="C82">
        <v>48.775635469573693</v>
      </c>
      <c r="D82">
        <v>1.7118557799999998</v>
      </c>
      <c r="E82">
        <v>48.777315486373865</v>
      </c>
      <c r="F82">
        <v>1.00062658</v>
      </c>
      <c r="G82">
        <v>48.777935492573924</v>
      </c>
      <c r="H82">
        <v>0.48110597799999999</v>
      </c>
      <c r="I82">
        <v>1.6800168001722682E-3</v>
      </c>
      <c r="J82">
        <v>6.2000620005875362E-4</v>
      </c>
      <c r="L82">
        <f t="shared" si="3"/>
        <v>1.7107838370633726</v>
      </c>
      <c r="M82" s="2">
        <f t="shared" si="5"/>
        <v>1.6800168001722682E-3</v>
      </c>
    </row>
    <row r="83" spans="1:13" x14ac:dyDescent="0.45">
      <c r="A83" t="s">
        <v>14</v>
      </c>
      <c r="B83">
        <v>4</v>
      </c>
      <c r="C83">
        <v>67.829869707203073</v>
      </c>
      <c r="D83">
        <v>1.6921353339999998</v>
      </c>
      <c r="E83">
        <v>67.831529723803243</v>
      </c>
      <c r="F83">
        <v>0.91689550600000003</v>
      </c>
      <c r="G83">
        <v>67.83220973060331</v>
      </c>
      <c r="H83">
        <v>0.43907879799999999</v>
      </c>
      <c r="I83">
        <v>1.6600166001694561E-3</v>
      </c>
      <c r="J83">
        <v>6.8000680006718994E-4</v>
      </c>
      <c r="L83">
        <f t="shared" si="3"/>
        <v>1.8455051016467734</v>
      </c>
      <c r="M83" s="2">
        <f t="shared" si="5"/>
        <v>1.6600166001694561E-3</v>
      </c>
    </row>
    <row r="84" spans="1:13" x14ac:dyDescent="0.45">
      <c r="A84" t="s">
        <v>14</v>
      </c>
      <c r="B84">
        <v>5</v>
      </c>
      <c r="C84">
        <v>82.747594517997186</v>
      </c>
      <c r="D84">
        <v>1.274773108</v>
      </c>
      <c r="E84">
        <v>82.749304535097352</v>
      </c>
      <c r="F84">
        <v>0.70514317599999998</v>
      </c>
      <c r="G84">
        <v>82.749874540797407</v>
      </c>
      <c r="H84">
        <v>0.457829386</v>
      </c>
      <c r="I84">
        <v>1.7100171001658282E-3</v>
      </c>
      <c r="J84">
        <v>5.7000570005527607E-4</v>
      </c>
      <c r="L84">
        <f t="shared" si="3"/>
        <v>1.8078216614550349</v>
      </c>
      <c r="M84" s="2">
        <f t="shared" si="5"/>
        <v>1.7100171001658282E-3</v>
      </c>
    </row>
    <row r="85" spans="1:13" x14ac:dyDescent="0.45">
      <c r="A85" t="s">
        <v>2</v>
      </c>
    </row>
    <row r="86" spans="1:13" x14ac:dyDescent="0.45">
      <c r="A86" t="s">
        <v>15</v>
      </c>
      <c r="B86">
        <v>1</v>
      </c>
      <c r="C86">
        <v>12.237998430590306</v>
      </c>
      <c r="D86">
        <v>1.011295018</v>
      </c>
      <c r="E86">
        <v>12.239588446490465</v>
      </c>
      <c r="F86">
        <v>0.29424666999999999</v>
      </c>
      <c r="G86">
        <v>12.2399384499905</v>
      </c>
      <c r="H86">
        <v>0.19338143800000002</v>
      </c>
      <c r="I86">
        <v>1.5900159001596137E-3</v>
      </c>
      <c r="J86">
        <v>3.5000350003500103E-4</v>
      </c>
      <c r="L86">
        <f t="shared" si="3"/>
        <v>3.4368953708125227</v>
      </c>
      <c r="M86" s="2">
        <f>E86-C86</f>
        <v>1.5900159001596137E-3</v>
      </c>
    </row>
    <row r="87" spans="1:13" x14ac:dyDescent="0.45">
      <c r="A87" t="s">
        <v>15</v>
      </c>
      <c r="B87">
        <v>2</v>
      </c>
      <c r="C87">
        <v>29.793254761383615</v>
      </c>
      <c r="D87">
        <v>1.5392210559999999</v>
      </c>
      <c r="E87">
        <v>29.793354762383625</v>
      </c>
      <c r="F87">
        <v>0.38735303799999998</v>
      </c>
      <c r="G87">
        <v>29.794744776283764</v>
      </c>
      <c r="H87">
        <v>0.61074366400000002</v>
      </c>
      <c r="I87">
        <v>1.0000100001050782E-4</v>
      </c>
      <c r="J87">
        <v>1.390013900138598E-3</v>
      </c>
      <c r="L87">
        <f t="shared" si="3"/>
        <v>3.9736904193326605</v>
      </c>
      <c r="M87" s="2">
        <f t="shared" ref="M87:M90" si="6">E87-C87</f>
        <v>1.0000100001050782E-4</v>
      </c>
    </row>
    <row r="88" spans="1:13" x14ac:dyDescent="0.45">
      <c r="A88" t="s">
        <v>15</v>
      </c>
      <c r="B88">
        <v>3</v>
      </c>
      <c r="C88">
        <v>38.074338487791877</v>
      </c>
      <c r="D88">
        <v>1.4312435319999999</v>
      </c>
      <c r="E88">
        <v>38.074448488891889</v>
      </c>
      <c r="F88">
        <v>0.34726557400000002</v>
      </c>
      <c r="G88">
        <v>38.075798502392026</v>
      </c>
      <c r="H88">
        <v>0.57130277200000001</v>
      </c>
      <c r="I88">
        <v>1.1000110001191388E-4</v>
      </c>
      <c r="J88">
        <v>1.3500135001365265E-3</v>
      </c>
      <c r="L88">
        <f t="shared" si="3"/>
        <v>4.1214667941717709</v>
      </c>
      <c r="M88" s="2">
        <f t="shared" si="6"/>
        <v>1.1000110001191388E-4</v>
      </c>
    </row>
    <row r="89" spans="1:13" x14ac:dyDescent="0.45">
      <c r="A89" t="s">
        <v>15</v>
      </c>
      <c r="B89">
        <v>4</v>
      </c>
      <c r="C89">
        <v>46.227988754182547</v>
      </c>
      <c r="D89">
        <v>1.127031406</v>
      </c>
      <c r="E89">
        <v>46.228098755282559</v>
      </c>
      <c r="F89">
        <v>0.30265210600000003</v>
      </c>
      <c r="G89">
        <v>46.229448768782689</v>
      </c>
      <c r="H89">
        <v>0.48886484200000002</v>
      </c>
      <c r="I89">
        <v>1.1000110001191388E-4</v>
      </c>
      <c r="J89">
        <v>1.3500135001294211E-3</v>
      </c>
      <c r="L89">
        <f t="shared" si="3"/>
        <v>3.7238511930262259</v>
      </c>
      <c r="M89" s="2">
        <f t="shared" si="6"/>
        <v>1.1000110001191388E-4</v>
      </c>
    </row>
    <row r="90" spans="1:13" x14ac:dyDescent="0.45">
      <c r="A90" t="s">
        <v>15</v>
      </c>
      <c r="B90">
        <v>5</v>
      </c>
      <c r="C90">
        <v>60.807724539280393</v>
      </c>
      <c r="D90">
        <v>1.2152884839999998</v>
      </c>
      <c r="E90">
        <v>60.8078245402804</v>
      </c>
      <c r="F90">
        <v>0.26159478400000002</v>
      </c>
      <c r="G90">
        <v>60.809144553480536</v>
      </c>
      <c r="H90">
        <v>0.48433883799999999</v>
      </c>
      <c r="I90">
        <v>1.0000100000695511E-4</v>
      </c>
      <c r="J90">
        <v>1.3200132001358611E-3</v>
      </c>
      <c r="L90">
        <f t="shared" si="3"/>
        <v>4.6456908101042247</v>
      </c>
      <c r="M90" s="2">
        <f t="shared" si="6"/>
        <v>1.0000100000695511E-4</v>
      </c>
    </row>
    <row r="91" spans="1:13" x14ac:dyDescent="0.45">
      <c r="A91" t="s">
        <v>2</v>
      </c>
    </row>
    <row r="92" spans="1:13" x14ac:dyDescent="0.45">
      <c r="A92" t="s">
        <v>16</v>
      </c>
      <c r="B92">
        <v>1</v>
      </c>
      <c r="C92">
        <v>4.8481361827008271</v>
      </c>
      <c r="D92">
        <v>1.3151838579999999</v>
      </c>
      <c r="E92">
        <v>4.8498862002010021</v>
      </c>
      <c r="F92">
        <v>0.50923185999999998</v>
      </c>
      <c r="G92">
        <v>4.8503562049010487</v>
      </c>
      <c r="H92">
        <v>0.51408114999999999</v>
      </c>
      <c r="I92">
        <v>1.7500175001750051E-3</v>
      </c>
      <c r="J92">
        <v>4.700047000465446E-4</v>
      </c>
      <c r="L92">
        <f t="shared" si="3"/>
        <v>2.5826818023522722</v>
      </c>
      <c r="M92" s="2">
        <f>E92-C92</f>
        <v>1.7500175001750051E-3</v>
      </c>
    </row>
    <row r="93" spans="1:13" x14ac:dyDescent="0.45">
      <c r="A93" t="s">
        <v>16</v>
      </c>
      <c r="B93">
        <v>2</v>
      </c>
      <c r="C93">
        <v>23.384545854918549</v>
      </c>
      <c r="D93">
        <v>1.9381559799999999</v>
      </c>
      <c r="E93">
        <v>23.38626587211872</v>
      </c>
      <c r="F93">
        <v>0.77917566999999999</v>
      </c>
      <c r="G93">
        <v>23.386875878218781</v>
      </c>
      <c r="H93">
        <v>0.46558824999999998</v>
      </c>
      <c r="I93">
        <v>1.720017200170787E-3</v>
      </c>
      <c r="J93">
        <v>6.1000610006090028E-4</v>
      </c>
      <c r="L93">
        <f t="shared" si="3"/>
        <v>2.4874441728910761</v>
      </c>
      <c r="M93" s="2">
        <f t="shared" ref="M93:M103" si="7">E93-C93</f>
        <v>1.720017200170787E-3</v>
      </c>
    </row>
    <row r="94" spans="1:13" x14ac:dyDescent="0.45">
      <c r="A94" t="s">
        <v>16</v>
      </c>
      <c r="B94">
        <v>3</v>
      </c>
      <c r="C94">
        <v>54.573479716709173</v>
      </c>
      <c r="D94">
        <v>2.0163911919999999</v>
      </c>
      <c r="E94">
        <v>54.575179733709341</v>
      </c>
      <c r="F94">
        <v>1.0753056459999999</v>
      </c>
      <c r="G94">
        <v>54.575799739909399</v>
      </c>
      <c r="H94">
        <v>0.61656281199999996</v>
      </c>
      <c r="I94">
        <v>1.7000170001679749E-3</v>
      </c>
      <c r="J94">
        <v>6.2000620005875362E-4</v>
      </c>
      <c r="L94">
        <f t="shared" si="3"/>
        <v>1.8751795821966699</v>
      </c>
      <c r="M94" s="2">
        <f t="shared" si="7"/>
        <v>1.7000170001679749E-3</v>
      </c>
    </row>
    <row r="95" spans="1:13" x14ac:dyDescent="0.45">
      <c r="A95" t="s">
        <v>16</v>
      </c>
      <c r="B95">
        <v>4</v>
      </c>
      <c r="C95">
        <v>82.559897508475089</v>
      </c>
      <c r="D95">
        <v>1.8389071779999999</v>
      </c>
      <c r="E95">
        <v>82.561687526375266</v>
      </c>
      <c r="F95">
        <v>1.0261661739999999</v>
      </c>
      <c r="G95">
        <v>82.562257532075321</v>
      </c>
      <c r="H95">
        <v>0.49112784399999998</v>
      </c>
      <c r="I95">
        <v>1.7900179001770766E-3</v>
      </c>
      <c r="J95">
        <v>5.7000570005527607E-4</v>
      </c>
      <c r="L95">
        <f t="shared" si="3"/>
        <v>1.79201695065813</v>
      </c>
      <c r="M95" s="2">
        <f t="shared" si="7"/>
        <v>1.7900179001770766E-3</v>
      </c>
    </row>
    <row r="96" spans="1:13" x14ac:dyDescent="0.45">
      <c r="A96" t="s">
        <v>16</v>
      </c>
      <c r="B96">
        <v>5</v>
      </c>
      <c r="C96">
        <v>94.007602028542294</v>
      </c>
      <c r="D96">
        <v>1.38372049</v>
      </c>
      <c r="E96">
        <v>94.009392046442471</v>
      </c>
      <c r="F96">
        <v>0.67249128999999996</v>
      </c>
      <c r="G96">
        <v>94.010022052742528</v>
      </c>
      <c r="H96">
        <v>0.78176195800000003</v>
      </c>
      <c r="I96">
        <v>1.7900179001770766E-3</v>
      </c>
      <c r="J96">
        <v>6.3000630005660696E-4</v>
      </c>
      <c r="L96">
        <f t="shared" si="3"/>
        <v>2.0576035862115032</v>
      </c>
      <c r="M96" s="2">
        <f t="shared" si="7"/>
        <v>1.7900179001770766E-3</v>
      </c>
    </row>
    <row r="97" spans="1:13" x14ac:dyDescent="0.45">
      <c r="A97" t="s">
        <v>2</v>
      </c>
    </row>
    <row r="98" spans="1:13" x14ac:dyDescent="0.45">
      <c r="A98" t="s">
        <v>17</v>
      </c>
      <c r="B98">
        <v>1</v>
      </c>
      <c r="C98">
        <v>94.747407957252577</v>
      </c>
      <c r="D98">
        <v>1.3688493339999999</v>
      </c>
      <c r="E98">
        <v>94.749007973252731</v>
      </c>
      <c r="F98">
        <v>0.43713908200000001</v>
      </c>
      <c r="G98">
        <v>94.749487978052784</v>
      </c>
      <c r="H98">
        <v>0.31364383000000001</v>
      </c>
      <c r="I98">
        <v>1.6000160001539143E-3</v>
      </c>
      <c r="J98">
        <v>4.8000480005327972E-4</v>
      </c>
      <c r="L98">
        <f t="shared" si="3"/>
        <v>3.131381728069786</v>
      </c>
      <c r="M98" s="2">
        <f>E98-C98</f>
        <v>1.6000160001539143E-3</v>
      </c>
    </row>
    <row r="99" spans="1:13" x14ac:dyDescent="0.45">
      <c r="A99" t="s">
        <v>17</v>
      </c>
      <c r="B99">
        <v>2</v>
      </c>
      <c r="C99">
        <v>113.46114215691357</v>
      </c>
      <c r="D99">
        <v>1.4086135119999998</v>
      </c>
      <c r="E99">
        <v>113.46274217291372</v>
      </c>
      <c r="F99">
        <v>0.41062963000000002</v>
      </c>
      <c r="G99">
        <v>113.46321217761377</v>
      </c>
      <c r="H99">
        <v>0.35243815000000001</v>
      </c>
      <c r="I99">
        <v>1.6000160001539143E-3</v>
      </c>
      <c r="J99">
        <v>4.7000470004832096E-4</v>
      </c>
      <c r="L99">
        <f t="shared" si="3"/>
        <v>3.430374744267723</v>
      </c>
      <c r="M99" s="2">
        <f t="shared" si="7"/>
        <v>1.6000160001539143E-3</v>
      </c>
    </row>
    <row r="100" spans="1:13" x14ac:dyDescent="0.45">
      <c r="A100" t="s">
        <v>17</v>
      </c>
      <c r="B100">
        <v>3</v>
      </c>
      <c r="C100">
        <v>131.61279890996011</v>
      </c>
      <c r="D100">
        <v>0.89070934000000002</v>
      </c>
      <c r="E100">
        <v>131.61432892526025</v>
      </c>
      <c r="F100">
        <v>0.30006581799999998</v>
      </c>
      <c r="G100">
        <v>131.61469892896028</v>
      </c>
      <c r="H100">
        <v>0.21892103200000002</v>
      </c>
      <c r="I100">
        <v>1.5300153001476247E-3</v>
      </c>
      <c r="J100">
        <v>3.7000370002715499E-4</v>
      </c>
      <c r="L100">
        <f t="shared" si="3"/>
        <v>2.9683798905745409</v>
      </c>
      <c r="M100" s="2">
        <f t="shared" si="7"/>
        <v>1.5300153001476247E-3</v>
      </c>
    </row>
    <row r="101" spans="1:13" x14ac:dyDescent="0.45">
      <c r="A101" t="s">
        <v>17</v>
      </c>
      <c r="B101">
        <v>4</v>
      </c>
      <c r="C101">
        <v>140.02531782428824</v>
      </c>
      <c r="D101">
        <v>0.95213367999999998</v>
      </c>
      <c r="E101">
        <v>140.02684783958838</v>
      </c>
      <c r="F101">
        <v>0.30588496599999998</v>
      </c>
      <c r="G101">
        <v>140.02719784308843</v>
      </c>
      <c r="H101">
        <v>0.25027977400000001</v>
      </c>
      <c r="I101">
        <v>1.5300153001476247E-3</v>
      </c>
      <c r="J101">
        <v>3.5000350004565917E-4</v>
      </c>
      <c r="L101">
        <f t="shared" si="3"/>
        <v>3.1127181320836801</v>
      </c>
      <c r="M101" s="2">
        <f t="shared" si="7"/>
        <v>1.5300153001476247E-3</v>
      </c>
    </row>
    <row r="102" spans="1:13" x14ac:dyDescent="0.45">
      <c r="A102" t="s">
        <v>17</v>
      </c>
      <c r="B102">
        <v>5</v>
      </c>
      <c r="C102">
        <v>147.78386792743927</v>
      </c>
      <c r="D102">
        <v>1.6151932659999999</v>
      </c>
      <c r="E102">
        <v>147.78548794363942</v>
      </c>
      <c r="F102">
        <v>0.48433883799999999</v>
      </c>
      <c r="G102">
        <v>147.78634795223951</v>
      </c>
      <c r="H102">
        <v>0.32075612200000003</v>
      </c>
      <c r="I102">
        <v>1.620016200149621E-3</v>
      </c>
      <c r="J102">
        <v>8.6000860008539348E-4</v>
      </c>
      <c r="L102">
        <f t="shared" si="3"/>
        <v>3.334841518532115</v>
      </c>
      <c r="M102" s="2">
        <f t="shared" si="7"/>
        <v>1.620016200149621E-3</v>
      </c>
    </row>
    <row r="103" spans="1:13" x14ac:dyDescent="0.45">
      <c r="A103" t="s">
        <v>17</v>
      </c>
      <c r="B103">
        <v>6</v>
      </c>
      <c r="C103">
        <v>164.22051811361413</v>
      </c>
      <c r="D103">
        <v>1.1910420339999999</v>
      </c>
      <c r="E103">
        <v>164.22210812951428</v>
      </c>
      <c r="F103">
        <v>0.40739677000000002</v>
      </c>
      <c r="G103">
        <v>164.22260813451433</v>
      </c>
      <c r="H103">
        <v>0.28519466199999999</v>
      </c>
      <c r="I103">
        <v>1.5900159001489556E-3</v>
      </c>
      <c r="J103">
        <v>5.000050000489864E-4</v>
      </c>
      <c r="L103">
        <f t="shared" si="3"/>
        <v>2.9235431444387734</v>
      </c>
      <c r="M103" s="2">
        <f t="shared" si="7"/>
        <v>1.5900159001489556E-3</v>
      </c>
    </row>
    <row r="104" spans="1:13" x14ac:dyDescent="0.45">
      <c r="A104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Pablo Sebastián Alvarado Sarmiento</cp:lastModifiedBy>
  <dcterms:modified xsi:type="dcterms:W3CDTF">2025-09-18T14:50:28Z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7b10915-602c-481a-bdc7-238d429ea082_Enabled">
    <vt:lpwstr>true</vt:lpwstr>
  </property>
  <property fmtid="{D5CDD505-2E9C-101B-9397-08002B2CF9AE}" pid="3" name="MSIP_Label_f7b10915-602c-481a-bdc7-238d429ea082_SetDate">
    <vt:lpwstr>2025-09-18T14:50:28Z</vt:lpwstr>
  </property>
  <property fmtid="{D5CDD505-2E9C-101B-9397-08002B2CF9AE}" pid="4" name="MSIP_Label_f7b10915-602c-481a-bdc7-238d429ea082_Method">
    <vt:lpwstr>Standard</vt:lpwstr>
  </property>
  <property fmtid="{D5CDD505-2E9C-101B-9397-08002B2CF9AE}" pid="5" name="MSIP_Label_f7b10915-602c-481a-bdc7-238d429ea082_Name">
    <vt:lpwstr>defa4170-0d19-0005-0004-bc88714345d2</vt:lpwstr>
  </property>
  <property fmtid="{D5CDD505-2E9C-101B-9397-08002B2CF9AE}" pid="6" name="MSIP_Label_f7b10915-602c-481a-bdc7-238d429ea082_SiteId">
    <vt:lpwstr>9f119962-8c62-431c-a8ef-e7e0a42d11fc</vt:lpwstr>
  </property>
  <property fmtid="{D5CDD505-2E9C-101B-9397-08002B2CF9AE}" pid="7" name="MSIP_Label_f7b10915-602c-481a-bdc7-238d429ea082_ActionId">
    <vt:lpwstr>4aadb7aa-5f4c-43cc-bd4a-f77e911c2cf0</vt:lpwstr>
  </property>
  <property fmtid="{D5CDD505-2E9C-101B-9397-08002B2CF9AE}" pid="8" name="MSIP_Label_f7b10915-602c-481a-bdc7-238d429ea082_ContentBits">
    <vt:lpwstr>0</vt:lpwstr>
  </property>
  <property fmtid="{D5CDD505-2E9C-101B-9397-08002B2CF9AE}" pid="9" name="MSIP_Label_f7b10915-602c-481a-bdc7-238d429ea082_Tag">
    <vt:lpwstr>10, 3, 0, 1</vt:lpwstr>
  </property>
</Properties>
</file>