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2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DatosMedicionesSSW_Abril2025\"/>
    </mc:Choice>
  </mc:AlternateContent>
  <xr:revisionPtr revIDLastSave="0" documentId="13_ncr:1_{499E8E98-31CC-4839-90B5-631FDB6E72AF}" xr6:coauthVersionLast="47" xr6:coauthVersionMax="47" xr10:uidLastSave="{00000000-0000-0000-0000-000000000000}"/>
  <bookViews>
    <workbookView xWindow="-98" yWindow="-98" windowWidth="21795" windowHeight="12975" xr2:uid="{4959F82E-6D8C-417F-AFCD-C39AFDB3CEB5}"/>
  </bookViews>
  <sheets>
    <sheet name="Arena" sheetId="5" r:id="rId1"/>
    <sheet name="Base" sheetId="4" r:id="rId2"/>
    <sheet name="Caolin" sheetId="3" r:id="rId3"/>
    <sheet name="Limo-Arenoso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" i="4" l="1"/>
  <c r="AL9" i="5" l="1"/>
  <c r="AM9" i="5"/>
  <c r="AN20" i="5" l="1"/>
  <c r="AN19" i="5"/>
  <c r="AN18" i="5"/>
  <c r="AN9" i="5"/>
  <c r="AN7" i="5"/>
  <c r="AN6" i="5"/>
  <c r="AN5" i="5"/>
  <c r="AJ20" i="5"/>
  <c r="AJ19" i="5"/>
  <c r="AJ18" i="5"/>
  <c r="AJ17" i="5"/>
  <c r="AN17" i="5" s="1"/>
  <c r="AJ15" i="5"/>
  <c r="AN15" i="5" s="1"/>
  <c r="AJ14" i="5"/>
  <c r="AN14" i="5" s="1"/>
  <c r="AJ13" i="5"/>
  <c r="AN13" i="5" s="1"/>
  <c r="AJ12" i="5"/>
  <c r="AN12" i="5" s="1"/>
  <c r="AJ11" i="5"/>
  <c r="AN11" i="5" s="1"/>
  <c r="AJ9" i="5"/>
  <c r="AJ8" i="5"/>
  <c r="AN8" i="5" s="1"/>
  <c r="AJ7" i="5"/>
  <c r="AJ6" i="5"/>
  <c r="AJ5" i="5"/>
  <c r="AJ20" i="4"/>
  <c r="AN20" i="4" s="1"/>
  <c r="AJ19" i="4"/>
  <c r="AN19" i="4" s="1"/>
  <c r="AJ18" i="4"/>
  <c r="AN18" i="4" s="1"/>
  <c r="AJ17" i="4"/>
  <c r="AN17" i="4" s="1"/>
  <c r="AJ16" i="4"/>
  <c r="AN16" i="4" s="1"/>
  <c r="AJ14" i="4"/>
  <c r="AN14" i="4" s="1"/>
  <c r="AJ13" i="4"/>
  <c r="AN13" i="4" s="1"/>
  <c r="AJ12" i="4"/>
  <c r="AN12" i="4" s="1"/>
  <c r="AJ11" i="4"/>
  <c r="AN11" i="4" s="1"/>
  <c r="AJ9" i="4"/>
  <c r="AN9" i="4" s="1"/>
  <c r="AJ8" i="4"/>
  <c r="AN8" i="4" s="1"/>
  <c r="AJ7" i="4"/>
  <c r="AN7" i="4" s="1"/>
  <c r="AJ6" i="4"/>
  <c r="AN6" i="4" s="1"/>
  <c r="AJ5" i="4"/>
  <c r="AN5" i="4" s="1"/>
  <c r="AJ19" i="1" l="1"/>
  <c r="AN19" i="1" s="1"/>
  <c r="S19" i="1"/>
  <c r="AM19" i="1" s="1"/>
  <c r="H19" i="1"/>
  <c r="J19" i="1" s="1"/>
  <c r="AJ18" i="1"/>
  <c r="AN18" i="1" s="1"/>
  <c r="S18" i="1"/>
  <c r="AM18" i="1" s="1"/>
  <c r="I18" i="1"/>
  <c r="H18" i="1"/>
  <c r="J18" i="1" s="1"/>
  <c r="K18" i="1" s="1"/>
  <c r="AJ17" i="1"/>
  <c r="AN17" i="1" s="1"/>
  <c r="S17" i="1"/>
  <c r="AM17" i="1" s="1"/>
  <c r="I17" i="1"/>
  <c r="H17" i="1"/>
  <c r="J17" i="1" s="1"/>
  <c r="K17" i="1" s="1"/>
  <c r="AJ16" i="1"/>
  <c r="AN16" i="1" s="1"/>
  <c r="S16" i="1"/>
  <c r="AM16" i="1" s="1"/>
  <c r="I16" i="1"/>
  <c r="H16" i="1"/>
  <c r="J16" i="1" s="1"/>
  <c r="K16" i="1" s="1"/>
  <c r="AJ14" i="1"/>
  <c r="AN14" i="1" s="1"/>
  <c r="S14" i="1"/>
  <c r="AM14" i="1" s="1"/>
  <c r="I14" i="1"/>
  <c r="H14" i="1"/>
  <c r="J14" i="1" s="1"/>
  <c r="AJ13" i="1"/>
  <c r="AN13" i="1" s="1"/>
  <c r="S13" i="1"/>
  <c r="AM13" i="1" s="1"/>
  <c r="H13" i="1"/>
  <c r="J13" i="1" s="1"/>
  <c r="AJ12" i="1"/>
  <c r="AN12" i="1" s="1"/>
  <c r="S12" i="1"/>
  <c r="I12" i="1" s="1"/>
  <c r="H12" i="1"/>
  <c r="J12" i="1" s="1"/>
  <c r="AJ11" i="1"/>
  <c r="AN11" i="1" s="1"/>
  <c r="S11" i="1"/>
  <c r="AM11" i="1" s="1"/>
  <c r="I11" i="1"/>
  <c r="H11" i="1"/>
  <c r="J11" i="1" s="1"/>
  <c r="K11" i="1" s="1"/>
  <c r="AJ9" i="1"/>
  <c r="AN9" i="1" s="1"/>
  <c r="S9" i="1"/>
  <c r="AM9" i="1" s="1"/>
  <c r="I9" i="1"/>
  <c r="H9" i="1"/>
  <c r="J9" i="1" s="1"/>
  <c r="K9" i="1" s="1"/>
  <c r="AJ8" i="1"/>
  <c r="AN8" i="1" s="1"/>
  <c r="S8" i="1"/>
  <c r="AM8" i="1" s="1"/>
  <c r="I8" i="1"/>
  <c r="H8" i="1"/>
  <c r="J8" i="1" s="1"/>
  <c r="K8" i="1" s="1"/>
  <c r="AJ7" i="1"/>
  <c r="AN7" i="1" s="1"/>
  <c r="S7" i="1"/>
  <c r="AM7" i="1" s="1"/>
  <c r="H7" i="1"/>
  <c r="J7" i="1" s="1"/>
  <c r="AJ6" i="1"/>
  <c r="AN6" i="1" s="1"/>
  <c r="S6" i="1"/>
  <c r="AM6" i="1" s="1"/>
  <c r="I6" i="1"/>
  <c r="H6" i="1"/>
  <c r="J6" i="1" s="1"/>
  <c r="K6" i="1" s="1"/>
  <c r="AJ5" i="1"/>
  <c r="AN5" i="1" s="1"/>
  <c r="S5" i="1"/>
  <c r="AM5" i="1" s="1"/>
  <c r="I5" i="1"/>
  <c r="H5" i="1"/>
  <c r="J5" i="1" s="1"/>
  <c r="K5" i="1" s="1"/>
  <c r="AJ19" i="3"/>
  <c r="AN19" i="3" s="1"/>
  <c r="S19" i="3"/>
  <c r="I19" i="3" s="1"/>
  <c r="H19" i="3"/>
  <c r="J19" i="3" s="1"/>
  <c r="AJ18" i="3"/>
  <c r="AN18" i="3" s="1"/>
  <c r="S18" i="3"/>
  <c r="AM18" i="3" s="1"/>
  <c r="I18" i="3"/>
  <c r="H18" i="3"/>
  <c r="J18" i="3" s="1"/>
  <c r="K18" i="3" s="1"/>
  <c r="AJ17" i="3"/>
  <c r="AN17" i="3" s="1"/>
  <c r="S17" i="3"/>
  <c r="AM17" i="3" s="1"/>
  <c r="H17" i="3"/>
  <c r="J17" i="3" s="1"/>
  <c r="AJ16" i="3"/>
  <c r="AN16" i="3" s="1"/>
  <c r="S16" i="3"/>
  <c r="AM16" i="3" s="1"/>
  <c r="H16" i="3"/>
  <c r="J16" i="3" s="1"/>
  <c r="AJ14" i="3"/>
  <c r="AN14" i="3" s="1"/>
  <c r="S14" i="3"/>
  <c r="AM14" i="3" s="1"/>
  <c r="I14" i="3"/>
  <c r="H14" i="3"/>
  <c r="J14" i="3" s="1"/>
  <c r="K14" i="3" s="1"/>
  <c r="AJ13" i="3"/>
  <c r="AN13" i="3" s="1"/>
  <c r="S13" i="3"/>
  <c r="I13" i="3" s="1"/>
  <c r="H13" i="3"/>
  <c r="J13" i="3" s="1"/>
  <c r="K13" i="3" s="1"/>
  <c r="AJ12" i="3"/>
  <c r="AN12" i="3" s="1"/>
  <c r="S12" i="3"/>
  <c r="AM12" i="3" s="1"/>
  <c r="H12" i="3"/>
  <c r="J12" i="3" s="1"/>
  <c r="AJ11" i="3"/>
  <c r="AN11" i="3" s="1"/>
  <c r="S11" i="3"/>
  <c r="AM11" i="3" s="1"/>
  <c r="I11" i="3"/>
  <c r="H11" i="3"/>
  <c r="J11" i="3" s="1"/>
  <c r="AJ10" i="3"/>
  <c r="AN10" i="3" s="1"/>
  <c r="S10" i="3"/>
  <c r="AM10" i="3" s="1"/>
  <c r="H10" i="3"/>
  <c r="J10" i="3" s="1"/>
  <c r="AJ8" i="3"/>
  <c r="AN8" i="3" s="1"/>
  <c r="S8" i="3"/>
  <c r="AM8" i="3" s="1"/>
  <c r="H8" i="3"/>
  <c r="J8" i="3" s="1"/>
  <c r="AJ7" i="3"/>
  <c r="AN7" i="3" s="1"/>
  <c r="S7" i="3"/>
  <c r="AM7" i="3" s="1"/>
  <c r="I7" i="3"/>
  <c r="H7" i="3"/>
  <c r="J7" i="3" s="1"/>
  <c r="K7" i="3" s="1"/>
  <c r="AJ6" i="3"/>
  <c r="AN6" i="3" s="1"/>
  <c r="S6" i="3"/>
  <c r="I6" i="3" s="1"/>
  <c r="H6" i="3"/>
  <c r="J6" i="3" s="1"/>
  <c r="AJ5" i="3"/>
  <c r="AN5" i="3" s="1"/>
  <c r="S5" i="3"/>
  <c r="AM5" i="3" s="1"/>
  <c r="I5" i="3"/>
  <c r="H5" i="3"/>
  <c r="J5" i="3" s="1"/>
  <c r="K5" i="3" s="1"/>
  <c r="S20" i="4"/>
  <c r="H20" i="4"/>
  <c r="J20" i="4" s="1"/>
  <c r="S19" i="4"/>
  <c r="H19" i="4"/>
  <c r="J19" i="4" s="1"/>
  <c r="S18" i="4"/>
  <c r="H18" i="4"/>
  <c r="J18" i="4" s="1"/>
  <c r="S17" i="4"/>
  <c r="H17" i="4"/>
  <c r="J17" i="4" s="1"/>
  <c r="S16" i="4"/>
  <c r="H16" i="4"/>
  <c r="J16" i="4" s="1"/>
  <c r="S14" i="4"/>
  <c r="H14" i="4"/>
  <c r="J14" i="4" s="1"/>
  <c r="S13" i="4"/>
  <c r="H13" i="4"/>
  <c r="J13" i="4" s="1"/>
  <c r="S12" i="4"/>
  <c r="H12" i="4"/>
  <c r="J12" i="4" s="1"/>
  <c r="H11" i="4"/>
  <c r="J11" i="4" s="1"/>
  <c r="S9" i="4"/>
  <c r="H9" i="4"/>
  <c r="J9" i="4" s="1"/>
  <c r="S8" i="4"/>
  <c r="H8" i="4"/>
  <c r="J8" i="4" s="1"/>
  <c r="S7" i="4"/>
  <c r="H7" i="4"/>
  <c r="J7" i="4" s="1"/>
  <c r="S6" i="4"/>
  <c r="H6" i="4"/>
  <c r="J6" i="4" s="1"/>
  <c r="S5" i="4"/>
  <c r="H5" i="4"/>
  <c r="J5" i="4" s="1"/>
  <c r="S20" i="5"/>
  <c r="AM20" i="5" s="1"/>
  <c r="H20" i="5"/>
  <c r="J20" i="5" s="1"/>
  <c r="S19" i="5"/>
  <c r="H19" i="5"/>
  <c r="J19" i="5" s="1"/>
  <c r="S18" i="5"/>
  <c r="H18" i="5"/>
  <c r="J18" i="5" s="1"/>
  <c r="S17" i="5"/>
  <c r="H17" i="5"/>
  <c r="J17" i="5" s="1"/>
  <c r="S15" i="5"/>
  <c r="AM15" i="5" s="1"/>
  <c r="H15" i="5"/>
  <c r="J15" i="5" s="1"/>
  <c r="S14" i="5"/>
  <c r="H14" i="5"/>
  <c r="J14" i="5" s="1"/>
  <c r="S13" i="5"/>
  <c r="H13" i="5"/>
  <c r="J13" i="5" s="1"/>
  <c r="S12" i="5"/>
  <c r="H12" i="5"/>
  <c r="J12" i="5" s="1"/>
  <c r="S11" i="5"/>
  <c r="H11" i="5"/>
  <c r="J11" i="5" s="1"/>
  <c r="S9" i="5"/>
  <c r="H9" i="5"/>
  <c r="J9" i="5" s="1"/>
  <c r="S8" i="5"/>
  <c r="H8" i="5"/>
  <c r="J8" i="5" s="1"/>
  <c r="S7" i="5"/>
  <c r="H7" i="5"/>
  <c r="J7" i="5" s="1"/>
  <c r="S6" i="5"/>
  <c r="H6" i="5"/>
  <c r="J6" i="5" s="1"/>
  <c r="S5" i="5"/>
  <c r="H5" i="5"/>
  <c r="J5" i="5" s="1"/>
  <c r="I12" i="5" l="1"/>
  <c r="AM12" i="5"/>
  <c r="I11" i="5"/>
  <c r="AM11" i="5"/>
  <c r="I14" i="5"/>
  <c r="AM14" i="5"/>
  <c r="I17" i="5"/>
  <c r="AM17" i="5"/>
  <c r="I18" i="5"/>
  <c r="AM18" i="5"/>
  <c r="I7" i="5"/>
  <c r="K7" i="5" s="1"/>
  <c r="AM7" i="5"/>
  <c r="I9" i="5"/>
  <c r="I13" i="5"/>
  <c r="AM13" i="5"/>
  <c r="K17" i="5"/>
  <c r="I5" i="5"/>
  <c r="AM5" i="5"/>
  <c r="I6" i="5"/>
  <c r="AM6" i="5"/>
  <c r="I19" i="5"/>
  <c r="AM19" i="5"/>
  <c r="I8" i="5"/>
  <c r="AM8" i="5"/>
  <c r="I13" i="1"/>
  <c r="I20" i="5"/>
  <c r="I15" i="5"/>
  <c r="K15" i="5" s="1"/>
  <c r="I5" i="4"/>
  <c r="K5" i="4" s="1"/>
  <c r="AM5" i="4"/>
  <c r="I17" i="4"/>
  <c r="K17" i="4" s="1"/>
  <c r="AM17" i="4"/>
  <c r="I6" i="4"/>
  <c r="K6" i="4" s="1"/>
  <c r="AM6" i="4"/>
  <c r="I18" i="4"/>
  <c r="AM18" i="4"/>
  <c r="I7" i="4"/>
  <c r="K7" i="4" s="1"/>
  <c r="AM7" i="4"/>
  <c r="I19" i="4"/>
  <c r="AM19" i="4"/>
  <c r="I8" i="4"/>
  <c r="AM8" i="4"/>
  <c r="I20" i="4"/>
  <c r="AM20" i="4"/>
  <c r="I9" i="4"/>
  <c r="AM9" i="4"/>
  <c r="I11" i="4"/>
  <c r="AM11" i="4"/>
  <c r="I12" i="4"/>
  <c r="AM12" i="4"/>
  <c r="I13" i="4"/>
  <c r="AM13" i="4"/>
  <c r="I14" i="4"/>
  <c r="AM14" i="4"/>
  <c r="I16" i="4"/>
  <c r="K16" i="4" s="1"/>
  <c r="AM16" i="4"/>
  <c r="K13" i="5"/>
  <c r="K9" i="5"/>
  <c r="K18" i="5"/>
  <c r="K19" i="5"/>
  <c r="K12" i="5"/>
  <c r="K14" i="5"/>
  <c r="AL5" i="3"/>
  <c r="M5" i="3"/>
  <c r="AL13" i="3"/>
  <c r="M13" i="3"/>
  <c r="N13" i="3"/>
  <c r="AO13" i="3" s="1"/>
  <c r="AL18" i="3"/>
  <c r="M18" i="3"/>
  <c r="N18" i="3" s="1"/>
  <c r="AO18" i="3" s="1"/>
  <c r="N5" i="3"/>
  <c r="AO5" i="3" s="1"/>
  <c r="AL7" i="3"/>
  <c r="M7" i="3"/>
  <c r="AL14" i="3"/>
  <c r="M14" i="3"/>
  <c r="N14" i="3" s="1"/>
  <c r="AO14" i="3" s="1"/>
  <c r="N7" i="3"/>
  <c r="AO7" i="3" s="1"/>
  <c r="K19" i="3"/>
  <c r="K6" i="3"/>
  <c r="I10" i="3"/>
  <c r="K10" i="3" s="1"/>
  <c r="I12" i="3"/>
  <c r="I16" i="3"/>
  <c r="K11" i="3"/>
  <c r="I17" i="3"/>
  <c r="K17" i="3" s="1"/>
  <c r="AM19" i="3"/>
  <c r="AM6" i="3"/>
  <c r="I8" i="3"/>
  <c r="AM13" i="3"/>
  <c r="I7" i="1"/>
  <c r="K7" i="1" s="1"/>
  <c r="I19" i="1"/>
  <c r="K19" i="1" s="1"/>
  <c r="AL8" i="1"/>
  <c r="M8" i="1"/>
  <c r="N8" i="1" s="1"/>
  <c r="AO8" i="1" s="1"/>
  <c r="AL16" i="1"/>
  <c r="M16" i="1"/>
  <c r="N16" i="1" s="1"/>
  <c r="AO16" i="1" s="1"/>
  <c r="AL9" i="1"/>
  <c r="M9" i="1"/>
  <c r="N9" i="1" s="1"/>
  <c r="AO9" i="1" s="1"/>
  <c r="AL17" i="1"/>
  <c r="M17" i="1"/>
  <c r="N17" i="1" s="1"/>
  <c r="AO17" i="1" s="1"/>
  <c r="AL5" i="1"/>
  <c r="M5" i="1"/>
  <c r="N5" i="1" s="1"/>
  <c r="AO5" i="1" s="1"/>
  <c r="AL11" i="1"/>
  <c r="M11" i="1"/>
  <c r="N11" i="1" s="1"/>
  <c r="AO11" i="1" s="1"/>
  <c r="AL18" i="1"/>
  <c r="M18" i="1"/>
  <c r="N18" i="1" s="1"/>
  <c r="AO18" i="1" s="1"/>
  <c r="AL6" i="1"/>
  <c r="M6" i="1"/>
  <c r="N6" i="1" s="1"/>
  <c r="AO6" i="1" s="1"/>
  <c r="K14" i="1"/>
  <c r="K13" i="1"/>
  <c r="K12" i="1"/>
  <c r="AM12" i="1"/>
  <c r="K14" i="4" l="1"/>
  <c r="AL14" i="4" s="1"/>
  <c r="K12" i="4"/>
  <c r="M12" i="4" s="1"/>
  <c r="K11" i="4"/>
  <c r="M11" i="4" s="1"/>
  <c r="N11" i="4" s="1"/>
  <c r="AO11" i="4" s="1"/>
  <c r="K13" i="4"/>
  <c r="AL7" i="5"/>
  <c r="M7" i="5"/>
  <c r="AL18" i="5"/>
  <c r="M18" i="5"/>
  <c r="K6" i="5"/>
  <c r="M9" i="5"/>
  <c r="M13" i="5"/>
  <c r="N13" i="5" s="1"/>
  <c r="AO13" i="5" s="1"/>
  <c r="AL13" i="5"/>
  <c r="AL17" i="5"/>
  <c r="M17" i="5"/>
  <c r="N9" i="5"/>
  <c r="AO9" i="5" s="1"/>
  <c r="N7" i="5"/>
  <c r="N18" i="5"/>
  <c r="AO18" i="5" s="1"/>
  <c r="N17" i="5"/>
  <c r="M14" i="5"/>
  <c r="N14" i="5" s="1"/>
  <c r="AO14" i="5" s="1"/>
  <c r="AL14" i="5"/>
  <c r="M12" i="5"/>
  <c r="N12" i="5" s="1"/>
  <c r="AO12" i="5" s="1"/>
  <c r="AL12" i="5"/>
  <c r="K5" i="5"/>
  <c r="M19" i="5"/>
  <c r="AL19" i="5"/>
  <c r="K8" i="5"/>
  <c r="N19" i="5"/>
  <c r="K11" i="5"/>
  <c r="K20" i="5"/>
  <c r="AL15" i="5"/>
  <c r="M15" i="5"/>
  <c r="N15" i="5" s="1"/>
  <c r="K9" i="4"/>
  <c r="M5" i="4"/>
  <c r="AL5" i="4"/>
  <c r="AL12" i="4"/>
  <c r="M7" i="4"/>
  <c r="N7" i="4" s="1"/>
  <c r="AO7" i="4" s="1"/>
  <c r="AL7" i="4"/>
  <c r="M6" i="4"/>
  <c r="N6" i="4" s="1"/>
  <c r="AO6" i="4" s="1"/>
  <c r="AL6" i="4"/>
  <c r="K8" i="4"/>
  <c r="AL16" i="4"/>
  <c r="M16" i="4"/>
  <c r="N16" i="4" s="1"/>
  <c r="AO16" i="4" s="1"/>
  <c r="AL17" i="4"/>
  <c r="M17" i="4"/>
  <c r="N17" i="4" s="1"/>
  <c r="AO17" i="4" s="1"/>
  <c r="K20" i="4"/>
  <c r="K19" i="4"/>
  <c r="AL13" i="4"/>
  <c r="M13" i="4"/>
  <c r="AL11" i="4"/>
  <c r="K18" i="4"/>
  <c r="AL10" i="3"/>
  <c r="M10" i="3"/>
  <c r="N10" i="3" s="1"/>
  <c r="AO10" i="3" s="1"/>
  <c r="AL6" i="3"/>
  <c r="M6" i="3"/>
  <c r="N6" i="3" s="1"/>
  <c r="AO6" i="3" s="1"/>
  <c r="AL19" i="3"/>
  <c r="M19" i="3"/>
  <c r="N19" i="3" s="1"/>
  <c r="AO19" i="3" s="1"/>
  <c r="K8" i="3"/>
  <c r="AL17" i="3"/>
  <c r="M17" i="3"/>
  <c r="N17" i="3" s="1"/>
  <c r="AO17" i="3" s="1"/>
  <c r="AL11" i="3"/>
  <c r="M11" i="3"/>
  <c r="N11" i="3" s="1"/>
  <c r="AO11" i="3" s="1"/>
  <c r="K12" i="3"/>
  <c r="K16" i="3"/>
  <c r="AL7" i="1"/>
  <c r="M7" i="1"/>
  <c r="N7" i="1" s="1"/>
  <c r="AO7" i="1" s="1"/>
  <c r="AL19" i="1"/>
  <c r="M19" i="1"/>
  <c r="N19" i="1" s="1"/>
  <c r="AO19" i="1" s="1"/>
  <c r="AL12" i="1"/>
  <c r="M12" i="1"/>
  <c r="N12" i="1" s="1"/>
  <c r="AO12" i="1" s="1"/>
  <c r="AL13" i="1"/>
  <c r="M13" i="1"/>
  <c r="N13" i="1" s="1"/>
  <c r="AO13" i="1" s="1"/>
  <c r="AL14" i="1"/>
  <c r="M14" i="1"/>
  <c r="N14" i="1" s="1"/>
  <c r="AO14" i="1" s="1"/>
  <c r="M14" i="4" l="1"/>
  <c r="N14" i="4" s="1"/>
  <c r="AO14" i="4" s="1"/>
  <c r="N12" i="4"/>
  <c r="AO12" i="4" s="1"/>
  <c r="N13" i="4"/>
  <c r="AO13" i="4" s="1"/>
  <c r="AO17" i="5"/>
  <c r="AL8" i="5"/>
  <c r="M8" i="5"/>
  <c r="AL6" i="5"/>
  <c r="M6" i="5"/>
  <c r="N6" i="5" s="1"/>
  <c r="AO6" i="5" s="1"/>
  <c r="AL5" i="5"/>
  <c r="M5" i="5"/>
  <c r="N5" i="5" s="1"/>
  <c r="AO5" i="5" s="1"/>
  <c r="AO7" i="5"/>
  <c r="AL11" i="5"/>
  <c r="M11" i="5"/>
  <c r="AO19" i="5"/>
  <c r="N5" i="4"/>
  <c r="AO5" i="4" s="1"/>
  <c r="AL20" i="5"/>
  <c r="M20" i="5"/>
  <c r="N20" i="5" s="1"/>
  <c r="AO20" i="5" s="1"/>
  <c r="AO15" i="5"/>
  <c r="AL20" i="4"/>
  <c r="M20" i="4"/>
  <c r="N20" i="4" s="1"/>
  <c r="AO20" i="4" s="1"/>
  <c r="AL18" i="4"/>
  <c r="M18" i="4"/>
  <c r="N18" i="4" s="1"/>
  <c r="AO18" i="4" s="1"/>
  <c r="M8" i="4"/>
  <c r="N8" i="4" s="1"/>
  <c r="AO8" i="4" s="1"/>
  <c r="AL8" i="4"/>
  <c r="M19" i="4"/>
  <c r="N19" i="4" s="1"/>
  <c r="AO19" i="4" s="1"/>
  <c r="AL19" i="4"/>
  <c r="M9" i="4"/>
  <c r="N9" i="4" s="1"/>
  <c r="AO9" i="4" s="1"/>
  <c r="AL9" i="4"/>
  <c r="AL8" i="3"/>
  <c r="M8" i="3"/>
  <c r="N8" i="3" s="1"/>
  <c r="AO8" i="3" s="1"/>
  <c r="AL12" i="3"/>
  <c r="M12" i="3"/>
  <c r="N12" i="3" s="1"/>
  <c r="AO12" i="3" s="1"/>
  <c r="AL16" i="3"/>
  <c r="M16" i="3"/>
  <c r="N16" i="3" s="1"/>
  <c r="AO16" i="3" s="1"/>
  <c r="N11" i="5" l="1"/>
  <c r="AO11" i="5" s="1"/>
  <c r="N8" i="5"/>
  <c r="AO8" i="5" s="1"/>
</calcChain>
</file>

<file path=xl/sharedStrings.xml><?xml version="1.0" encoding="utf-8"?>
<sst xmlns="http://schemas.openxmlformats.org/spreadsheetml/2006/main" count="396" uniqueCount="57">
  <si>
    <t>Molde</t>
  </si>
  <si>
    <t>M1</t>
  </si>
  <si>
    <t>M2</t>
  </si>
  <si>
    <t>M3</t>
  </si>
  <si>
    <t>M4</t>
  </si>
  <si>
    <t>M5</t>
  </si>
  <si>
    <t>M6</t>
  </si>
  <si>
    <t>M7</t>
  </si>
  <si>
    <t>[g]</t>
  </si>
  <si>
    <t>Proctor</t>
  </si>
  <si>
    <t>Estandar</t>
  </si>
  <si>
    <t>Humedad</t>
  </si>
  <si>
    <t>ρ_hum</t>
  </si>
  <si>
    <t>ρ_dry</t>
  </si>
  <si>
    <t>[-]</t>
  </si>
  <si>
    <t>[g/cm3]</t>
  </si>
  <si>
    <t>Resultados Proctor</t>
  </si>
  <si>
    <t>[%]</t>
  </si>
  <si>
    <t>M_t</t>
  </si>
  <si>
    <t>M_m</t>
  </si>
  <si>
    <t>V_m</t>
  </si>
  <si>
    <t>[cm3]</t>
  </si>
  <si>
    <t>M_m+M_s_h</t>
  </si>
  <si>
    <t>M_s_h</t>
  </si>
  <si>
    <t>M__t+M_s_h</t>
  </si>
  <si>
    <t>M__t+M_s_d</t>
  </si>
  <si>
    <t>Modificado</t>
  </si>
  <si>
    <t>M8</t>
  </si>
  <si>
    <t>MOD 56</t>
  </si>
  <si>
    <t>Estándar</t>
  </si>
  <si>
    <t>56/Modificado</t>
  </si>
  <si>
    <t>% Humedad</t>
  </si>
  <si>
    <t>Densidad Seca</t>
  </si>
  <si>
    <t>Óptimo</t>
  </si>
  <si>
    <t>Mediciones TOF</t>
  </si>
  <si>
    <t>TOF1</t>
  </si>
  <si>
    <t>TOF2</t>
  </si>
  <si>
    <t>TOF3</t>
  </si>
  <si>
    <t>TOF4</t>
  </si>
  <si>
    <t>TOF5</t>
  </si>
  <si>
    <t>TOF_Prom</t>
  </si>
  <si>
    <t>[s]</t>
  </si>
  <si>
    <t>GS</t>
  </si>
  <si>
    <t>e</t>
  </si>
  <si>
    <t>Saturación</t>
  </si>
  <si>
    <t>-</t>
  </si>
  <si>
    <t>%</t>
  </si>
  <si>
    <t>Mod E</t>
  </si>
  <si>
    <t>[Mpa]</t>
  </si>
  <si>
    <t>Poisson</t>
  </si>
  <si>
    <t>RESUMEN RESULTADOS LIMO</t>
  </si>
  <si>
    <t>RESUMEN RESULTADOS CAOLIN</t>
  </si>
  <si>
    <t>Resultados Proctor Limo Arenoso</t>
  </si>
  <si>
    <t>Resultados Proctor Caolin</t>
  </si>
  <si>
    <t>RESULTADOS BASE</t>
  </si>
  <si>
    <t>Analisis SSW</t>
  </si>
  <si>
    <t>RESULTADOS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</si>
</sst>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%"/>
    <numFmt numFmtId="165" formatCode="0.000"/>
    <numFmt numFmtId="166" formatCode="0.000000"/>
    <numFmt numFmtId="167" formatCode="0.00000"/>
    <numFmt numFmtId="168" formatCode="0.0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sz val="11"/>
      <color rgb="FFC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4" fillId="0" borderId="0"/>
  </cellStyleXfs>
  <cellXfs count="6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0" fontId="0" fillId="2" borderId="0" xfId="0" applyNumberFormat="1" applyFill="1" applyAlignment="1">
      <alignment horizontal="center"/>
    </xf>
    <xf numFmtId="10" fontId="0" fillId="2" borderId="0" xfId="1" applyNumberFormat="1" applyFont="1" applyFill="1" applyBorder="1" applyAlignment="1">
      <alignment horizontal="center"/>
    </xf>
    <xf numFmtId="9" fontId="0" fillId="2" borderId="0" xfId="0" applyNumberFormat="1" applyFill="1"/>
    <xf numFmtId="10" fontId="0" fillId="2" borderId="0" xfId="1" applyNumberFormat="1" applyFont="1" applyFill="1"/>
    <xf numFmtId="10" fontId="0" fillId="2" borderId="0" xfId="0" applyNumberFormat="1" applyFill="1"/>
    <xf numFmtId="0" fontId="0" fillId="2" borderId="0" xfId="0" applyFill="1" applyAlignment="1">
      <alignment vertical="center" textRotation="90"/>
    </xf>
    <xf numFmtId="0" fontId="0" fillId="2" borderId="1" xfId="0" applyFill="1" applyBorder="1" applyAlignment="1">
      <alignment horizontal="center" vertical="center"/>
    </xf>
    <xf numFmtId="10" fontId="0" fillId="2" borderId="1" xfId="0" applyNumberForma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0" fontId="0" fillId="2" borderId="1" xfId="1" applyNumberFormat="1" applyFont="1" applyFill="1" applyBorder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164" fontId="0" fillId="2" borderId="1" xfId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1" xfId="0" applyBorder="1"/>
    <xf numFmtId="10" fontId="0" fillId="2" borderId="1" xfId="0" applyNumberFormat="1" applyFill="1" applyBorder="1"/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/>
    <xf numFmtId="166" fontId="5" fillId="2" borderId="1" xfId="0" applyNumberFormat="1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10" fontId="0" fillId="2" borderId="5" xfId="0" applyNumberFormat="1" applyFill="1" applyBorder="1"/>
    <xf numFmtId="167" fontId="0" fillId="2" borderId="1" xfId="0" applyNumberFormat="1" applyFill="1" applyBorder="1"/>
    <xf numFmtId="167" fontId="0" fillId="2" borderId="3" xfId="0" applyNumberFormat="1" applyFill="1" applyBorder="1"/>
    <xf numFmtId="167" fontId="0" fillId="2" borderId="4" xfId="0" applyNumberFormat="1" applyFill="1" applyBorder="1"/>
    <xf numFmtId="167" fontId="0" fillId="2" borderId="5" xfId="0" applyNumberFormat="1" applyFill="1" applyBorder="1"/>
    <xf numFmtId="167" fontId="5" fillId="2" borderId="1" xfId="0" applyNumberFormat="1" applyFont="1" applyFill="1" applyBorder="1" applyAlignment="1">
      <alignment horizontal="center"/>
    </xf>
    <xf numFmtId="167" fontId="0" fillId="2" borderId="0" xfId="0" applyNumberFormat="1" applyFill="1"/>
    <xf numFmtId="0" fontId="0" fillId="2" borderId="0" xfId="0" applyFill="1" applyAlignment="1">
      <alignment vertical="center"/>
    </xf>
    <xf numFmtId="10" fontId="0" fillId="2" borderId="1" xfId="1" applyNumberFormat="1" applyFont="1" applyFill="1" applyBorder="1"/>
    <xf numFmtId="165" fontId="0" fillId="2" borderId="1" xfId="0" applyNumberFormat="1" applyFill="1" applyBorder="1"/>
    <xf numFmtId="165" fontId="0" fillId="2" borderId="0" xfId="0" applyNumberFormat="1" applyFill="1"/>
    <xf numFmtId="10" fontId="0" fillId="2" borderId="3" xfId="0" applyNumberFormat="1" applyFill="1" applyBorder="1"/>
    <xf numFmtId="10" fontId="0" fillId="2" borderId="4" xfId="0" applyNumberFormat="1" applyFill="1" applyBorder="1"/>
    <xf numFmtId="10" fontId="0" fillId="2" borderId="3" xfId="1" applyNumberFormat="1" applyFont="1" applyFill="1" applyBorder="1"/>
    <xf numFmtId="10" fontId="0" fillId="2" borderId="4" xfId="1" applyNumberFormat="1" applyFont="1" applyFill="1" applyBorder="1"/>
    <xf numFmtId="10" fontId="0" fillId="2" borderId="5" xfId="1" applyNumberFormat="1" applyFont="1" applyFill="1" applyBorder="1"/>
    <xf numFmtId="165" fontId="0" fillId="2" borderId="5" xfId="0" applyNumberFormat="1" applyFill="1" applyBorder="1"/>
    <xf numFmtId="168" fontId="5" fillId="2" borderId="1" xfId="0" applyNumberFormat="1" applyFont="1" applyFill="1" applyBorder="1"/>
    <xf numFmtId="168" fontId="0" fillId="2" borderId="0" xfId="0" applyNumberFormat="1" applyFill="1"/>
    <xf numFmtId="165" fontId="0" fillId="2" borderId="3" xfId="0" applyNumberFormat="1" applyFill="1" applyBorder="1"/>
    <xf numFmtId="165" fontId="0" fillId="2" borderId="4" xfId="0" applyNumberFormat="1" applyFill="1" applyBorder="1"/>
    <xf numFmtId="2" fontId="0" fillId="2" borderId="1" xfId="0" applyNumberFormat="1" applyFill="1" applyBorder="1"/>
    <xf numFmtId="2" fontId="0" fillId="2" borderId="0" xfId="0" applyNumberFormat="1" applyFill="1"/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0" fillId="5" borderId="2" xfId="0" applyFill="1" applyBorder="1" applyAlignment="1">
      <alignment horizontal="center" vertical="center" textRotation="90"/>
    </xf>
    <xf numFmtId="0" fontId="1" fillId="3" borderId="1" xfId="0" applyFont="1" applyFill="1" applyBorder="1" applyAlignment="1">
      <alignment horizontal="center" vertical="center"/>
    </xf>
  </cellXfs>
  <cellStyles count="3">
    <cellStyle name="Normal" xfId="0" builtinId="0"/>
    <cellStyle name="Normal 2 2" xfId="2" xr:uid="{AE76F1AD-FA69-4313-9659-D35109A8AEE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Estándar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EE3C2BD-D3F4-482C-8FC7-734393D11D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C42-4A11-A2BC-B6937E7350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47E7DE1-22B7-401C-81CF-01A329EA0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C42-4A11-A2BC-B6937E73502D}"/>
                </c:ext>
              </c:extLst>
            </c:dLbl>
            <c:dLbl>
              <c:idx val="2"/>
              <c:layout>
                <c:manualLayout>
                  <c:x val="-1.0857253077979121E-16"/>
                  <c:y val="-5.191030961229743E-2"/>
                </c:manualLayout>
              </c:layout>
              <c:tx>
                <c:rich>
                  <a:bodyPr/>
                  <a:lstStyle/>
                  <a:p>
                    <a:fld id="{5F1FDC54-2ADF-4825-A48D-AD9CAF88DF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BC42-4A11-A2BC-B6937E73502D}"/>
                </c:ext>
              </c:extLst>
            </c:dLbl>
            <c:dLbl>
              <c:idx val="3"/>
              <c:layout>
                <c:manualLayout>
                  <c:x val="-1.0857253077979121E-16"/>
                  <c:y val="4.5421520910760252E-2"/>
                </c:manualLayout>
              </c:layout>
              <c:tx>
                <c:rich>
                  <a:bodyPr/>
                  <a:lstStyle/>
                  <a:p>
                    <a:fld id="{B016EBE3-0193-45C9-A405-4B0BF7FEAB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C42-4A11-A2BC-B6937E73502D}"/>
                </c:ext>
              </c:extLst>
            </c:dLbl>
            <c:dLbl>
              <c:idx val="4"/>
              <c:layout>
                <c:manualLayout>
                  <c:x val="-0.12436633556713987"/>
                  <c:y val="-1.2977577403074477E-2"/>
                </c:manualLayout>
              </c:layout>
              <c:tx>
                <c:rich>
                  <a:bodyPr/>
                  <a:lstStyle/>
                  <a:p>
                    <a:fld id="{8AEA4A2A-5C17-43A5-803C-26C1A89B33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C42-4A11-A2BC-B6937E73502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Arena!$S$5:$S$9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Arena!$AJ$5:$AJ$9</c15:f>
                <c15:dlblRangeCache>
                  <c:ptCount val="5"/>
                  <c:pt idx="0">
                    <c:v>0.0025</c:v>
                  </c:pt>
                  <c:pt idx="1">
                    <c:v>0.0019</c:v>
                  </c:pt>
                  <c:pt idx="2">
                    <c:v>0.0021</c:v>
                  </c:pt>
                  <c:pt idx="3">
                    <c:v>0.0026</c:v>
                  </c:pt>
                  <c:pt idx="4">
                    <c:v>0.0021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0509-4215-9740-102EA1CDFD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Arena!$AB$7</c:f>
              <c:numCache>
                <c:formatCode>0.00%</c:formatCode>
                <c:ptCount val="1"/>
                <c:pt idx="0">
                  <c:v>0.112</c:v>
                </c:pt>
              </c:numCache>
            </c:numRef>
          </c:xVal>
          <c:yVal>
            <c:numRef>
              <c:f>Arena!$AC$7</c:f>
              <c:numCache>
                <c:formatCode>0.000</c:formatCode>
                <c:ptCount val="1"/>
                <c:pt idx="0">
                  <c:v>1.9650000000000001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509-4215-9740-102EA1CDFD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E3F8A7B-2E69-4CE4-B5E8-E0198BBC37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2EE-488A-961E-5AE45B4BFA7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B17BEE-7D24-4D3B-8B22-C94F3F358F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2EE-488A-961E-5AE45B4BFA7F}"/>
                </c:ext>
              </c:extLst>
            </c:dLbl>
            <c:dLbl>
              <c:idx val="2"/>
              <c:layout>
                <c:manualLayout>
                  <c:x val="-5.9122179941846122E-3"/>
                  <c:y val="0.13558208791331694"/>
                </c:manualLayout>
              </c:layout>
              <c:tx>
                <c:rich>
                  <a:bodyPr/>
                  <a:lstStyle/>
                  <a:p>
                    <a:fld id="{DF212F81-8690-4F0A-966A-0F872090DE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2EE-488A-961E-5AE45B4BFA7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6B68B68-A840-4FCC-8D86-BAB6C2C4DD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2EE-488A-961E-5AE45B4BFA7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CD24C38-E197-45A9-8E27-5DACCE4553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2EE-488A-961E-5AE45B4BFA7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Arena!$S$11:$S$15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0.13374411018484977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Arena!$AJ$11:$AJ$15</c15:f>
                <c15:dlblRangeCache>
                  <c:ptCount val="5"/>
                  <c:pt idx="0">
                    <c:v>0.0016</c:v>
                  </c:pt>
                  <c:pt idx="1">
                    <c:v>0.0014</c:v>
                  </c:pt>
                  <c:pt idx="2">
                    <c:v>0.0013</c:v>
                  </c:pt>
                  <c:pt idx="3">
                    <c:v>0.0023</c:v>
                  </c:pt>
                  <c:pt idx="4">
                    <c:v>0.0027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530C-4616-A54E-D93DE61E488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Arena!$AB$13</c:f>
              <c:numCache>
                <c:formatCode>0.00%</c:formatCode>
                <c:ptCount val="1"/>
                <c:pt idx="0">
                  <c:v>9.4E-2</c:v>
                </c:pt>
              </c:numCache>
            </c:numRef>
          </c:xVal>
          <c:yVal>
            <c:numRef>
              <c:f>Arena!$AC$13</c:f>
              <c:numCache>
                <c:formatCode>0.000</c:formatCode>
                <c:ptCount val="1"/>
                <c:pt idx="0">
                  <c:v>2.0649999999999999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30C-4616-A54E-D93DE61E48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6000000000000003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 56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B2E1FA5-F3CE-49B0-8D33-C54E3D8A74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596-41E4-9334-848B636819C4}"/>
                </c:ext>
              </c:extLst>
            </c:dLbl>
            <c:dLbl>
              <c:idx val="1"/>
              <c:layout>
                <c:manualLayout>
                  <c:x val="-1.7736653982553835E-2"/>
                  <c:y val="6.4496011911956336E-2"/>
                </c:manualLayout>
              </c:layout>
              <c:tx>
                <c:rich>
                  <a:bodyPr/>
                  <a:lstStyle/>
                  <a:p>
                    <a:fld id="{515AFF4D-A0FF-4680-8EFB-FF6438BB5E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596-41E4-9334-848B636819C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413F8D5-A95F-483D-ACEC-10E5BC4854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596-41E4-9334-848B636819C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72221AD-3053-4EF9-9F53-F08C02F1E0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596-41E4-9334-848B636819C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Arena!$S$17:$S$20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Arena!$AJ$17:$AJ$20</c15:f>
                <c15:dlblRangeCache>
                  <c:ptCount val="4"/>
                  <c:pt idx="0">
                    <c:v>0.0022</c:v>
                  </c:pt>
                  <c:pt idx="1">
                    <c:v>0.0015</c:v>
                  </c:pt>
                  <c:pt idx="2">
                    <c:v>0.0015</c:v>
                  </c:pt>
                  <c:pt idx="3">
                    <c:v>0.0023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473-4972-B804-130B15B250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Arena!$AB$19</c:f>
              <c:numCache>
                <c:formatCode>0.00%</c:formatCode>
                <c:ptCount val="1"/>
                <c:pt idx="0">
                  <c:v>8.0500000000000002E-2</c:v>
                </c:pt>
              </c:numCache>
            </c:numRef>
          </c:xVal>
          <c:yVal>
            <c:numRef>
              <c:f>Arena!$AC$19</c:f>
              <c:numCache>
                <c:formatCode>0.000</c:formatCode>
                <c:ptCount val="1"/>
                <c:pt idx="0">
                  <c:v>2.1349999999999998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73-4972-B804-130B15B250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5000000000000002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Arena!$AM$5:$AM$9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Arena!$AL$5:$AL$9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59-4956-B630-88993321BC9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Arena!$AM$11:$AM$15</c:f>
              <c:numCache>
                <c:formatCode>0.00%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>
                  <c:v>0.13374411018484977</c:v>
                </c:pt>
              </c:numCache>
            </c:numRef>
          </c:xVal>
          <c:yVal>
            <c:numRef>
              <c:f>Arena!$AL$11:$AL$15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59-4956-B630-88993321BC9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Arena!$AM$17:$AM$20</c:f>
              <c:numCache>
                <c:formatCode>0.00%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Arena!$AL$17:$AL$20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59-4956-B630-88993321B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Estándar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0F43246-D7B3-40CD-BA17-53730126FF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C2B2-4347-99EB-74D0C005B0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A0EBEAA-090E-4F62-A947-8E8583C676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2B2-4347-99EB-74D0C005B04E}"/>
                </c:ext>
              </c:extLst>
            </c:dLbl>
            <c:dLbl>
              <c:idx val="2"/>
              <c:layout>
                <c:manualLayout>
                  <c:x val="-1.0857253077979121E-16"/>
                  <c:y val="-5.191030961229743E-2"/>
                </c:manualLayout>
              </c:layout>
              <c:tx>
                <c:rich>
                  <a:bodyPr/>
                  <a:lstStyle/>
                  <a:p>
                    <a:fld id="{A1FDB594-4A32-4B21-A8DC-DEC45DA305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2B2-4347-99EB-74D0C005B04E}"/>
                </c:ext>
              </c:extLst>
            </c:dLbl>
            <c:dLbl>
              <c:idx val="3"/>
              <c:layout>
                <c:manualLayout>
                  <c:x val="-1.0857253077979121E-16"/>
                  <c:y val="4.5421520910760252E-2"/>
                </c:manualLayout>
              </c:layout>
              <c:tx>
                <c:rich>
                  <a:bodyPr/>
                  <a:lstStyle/>
                  <a:p>
                    <a:fld id="{1A813D14-6D51-40BA-98FA-E5DEE511A4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2B2-4347-99EB-74D0C005B04E}"/>
                </c:ext>
              </c:extLst>
            </c:dLbl>
            <c:dLbl>
              <c:idx val="4"/>
              <c:layout>
                <c:manualLayout>
                  <c:x val="-0.12436633556713987"/>
                  <c:y val="-1.2977577403074477E-2"/>
                </c:manualLayout>
              </c:layout>
              <c:tx>
                <c:rich>
                  <a:bodyPr/>
                  <a:lstStyle/>
                  <a:p>
                    <a:fld id="{D18373DC-F7D2-4AF9-B96A-FD37F6B2BF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2B2-4347-99EB-74D0C005B04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Arena!$S$5:$S$9</c:f>
              <c:numCache>
                <c:formatCode>0.00%</c:formatCode>
                <c:ptCount val="5"/>
                <c:pt idx="0">
                  <c:v>7.6316350458324425E-2</c:v>
                </c:pt>
                <c:pt idx="1">
                  <c:v>9.6030729833546741E-2</c:v>
                </c:pt>
                <c:pt idx="2">
                  <c:v>0.11954206602768888</c:v>
                </c:pt>
                <c:pt idx="3">
                  <c:v>0.13162271323354713</c:v>
                </c:pt>
                <c:pt idx="4">
                  <c:v>0.14385679414157856</c:v>
                </c:pt>
              </c:numCache>
            </c:numRef>
          </c:xVal>
          <c:yVal>
            <c:numRef>
              <c:f>Arena!$K$5:$K$9</c:f>
              <c:numCache>
                <c:formatCode>General</c:formatCode>
                <c:ptCount val="5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Arena!$AQ$5:$AQ$9</c15:f>
                <c15:dlblRangeCache>
                  <c:ptCount val="5"/>
                  <c:pt idx="0">
                    <c:v>2.528</c:v>
                  </c:pt>
                  <c:pt idx="1">
                    <c:v>23.642</c:v>
                  </c:pt>
                  <c:pt idx="2">
                    <c:v>10.792</c:v>
                  </c:pt>
                  <c:pt idx="3">
                    <c:v>1.743</c:v>
                  </c:pt>
                  <c:pt idx="4">
                    <c:v>14.349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C2B2-4347-99EB-74D0C005B04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Arena!$AB$7</c:f>
              <c:numCache>
                <c:formatCode>0.00%</c:formatCode>
                <c:ptCount val="1"/>
                <c:pt idx="0">
                  <c:v>0.112</c:v>
                </c:pt>
              </c:numCache>
            </c:numRef>
          </c:xVal>
          <c:yVal>
            <c:numRef>
              <c:f>Arena!$AC$7</c:f>
              <c:numCache>
                <c:formatCode>0.000</c:formatCode>
                <c:ptCount val="1"/>
                <c:pt idx="0">
                  <c:v>1.9650000000000001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2B2-4347-99EB-74D0C005B04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763C0BF-5462-4621-8759-941DD7EFAC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E1D-4BF7-849C-4AC63929263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86F3FCE-97E2-4C4D-A437-DFE0D4720C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E1D-4BF7-849C-4AC639292639}"/>
                </c:ext>
              </c:extLst>
            </c:dLbl>
            <c:dLbl>
              <c:idx val="2"/>
              <c:layout>
                <c:manualLayout>
                  <c:x val="-5.9122179941846122E-3"/>
                  <c:y val="0.13558208791331694"/>
                </c:manualLayout>
              </c:layout>
              <c:tx>
                <c:rich>
                  <a:bodyPr/>
                  <a:lstStyle/>
                  <a:p>
                    <a:fld id="{E91235B6-409B-40E8-914D-30270763F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E1D-4BF7-849C-4AC63929263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FB1F73B-407D-4FC5-94D4-4D700DA43C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1D-4BF7-849C-4AC63929263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F6FDA8B-5E83-4B1D-BD7F-C9854A112D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E1D-4BF7-849C-4AC6392926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Arena!$S$11:$S$15</c:f>
              <c:numCache>
                <c:formatCode>0.000%</c:formatCode>
                <c:ptCount val="5"/>
                <c:pt idx="0">
                  <c:v>5.7142857142856933E-2</c:v>
                </c:pt>
                <c:pt idx="1">
                  <c:v>6.9455103607060725E-2</c:v>
                </c:pt>
                <c:pt idx="2">
                  <c:v>9.3951093951094009E-2</c:v>
                </c:pt>
                <c:pt idx="3">
                  <c:v>0.10994263862332682</c:v>
                </c:pt>
                <c:pt idx="4" formatCode="0.00%">
                  <c:v>0.13374411018484977</c:v>
                </c:pt>
              </c:numCache>
            </c:numRef>
          </c:xVal>
          <c:yVal>
            <c:numRef>
              <c:f>Arena!$K$11:$K$15</c:f>
              <c:numCache>
                <c:formatCode>General</c:formatCode>
                <c:ptCount val="5"/>
                <c:pt idx="0">
                  <c:v>2.016690673287997</c:v>
                </c:pt>
                <c:pt idx="1">
                  <c:v>2.0460168732495467</c:v>
                </c:pt>
                <c:pt idx="2">
                  <c:v>2.054876802148133</c:v>
                </c:pt>
                <c:pt idx="3">
                  <c:v>2.0561458679914573</c:v>
                </c:pt>
                <c:pt idx="4">
                  <c:v>1.9724273059498865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Arena!$AQ$11:$AQ$15</c15:f>
                <c15:dlblRangeCache>
                  <c:ptCount val="5"/>
                  <c:pt idx="0">
                    <c:v>72.820</c:v>
                  </c:pt>
                  <c:pt idx="1">
                    <c:v>191.117</c:v>
                  </c:pt>
                  <c:pt idx="2">
                    <c:v>221.540</c:v>
                  </c:pt>
                  <c:pt idx="3">
                    <c:v>6.105</c:v>
                  </c:pt>
                  <c:pt idx="4">
                    <c:v>1.256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E1D-4BF7-849C-4AC63929263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Arena!$AB$13</c:f>
              <c:numCache>
                <c:formatCode>0.00%</c:formatCode>
                <c:ptCount val="1"/>
                <c:pt idx="0">
                  <c:v>9.4E-2</c:v>
                </c:pt>
              </c:numCache>
            </c:numRef>
          </c:xVal>
          <c:yVal>
            <c:numRef>
              <c:f>Arena!$AC$13</c:f>
              <c:numCache>
                <c:formatCode>0.000</c:formatCode>
                <c:ptCount val="1"/>
                <c:pt idx="0">
                  <c:v>2.0649999999999999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1D-4BF7-849C-4AC6392926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6000000000000003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Arena Proctor Modificado 56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15F0BFF-0F0A-4715-ABF8-E851535306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720-4373-88F2-36261E398F11}"/>
                </c:ext>
              </c:extLst>
            </c:dLbl>
            <c:dLbl>
              <c:idx val="1"/>
              <c:layout>
                <c:manualLayout>
                  <c:x val="-1.7736653982553835E-2"/>
                  <c:y val="6.4496011911956336E-2"/>
                </c:manualLayout>
              </c:layout>
              <c:tx>
                <c:rich>
                  <a:bodyPr/>
                  <a:lstStyle/>
                  <a:p>
                    <a:fld id="{0A925C93-EF27-4339-9683-67227ACE4D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6720-4373-88F2-36261E398F1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A8B9622-30B9-414B-ADF7-C0EF744D4D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720-4373-88F2-36261E398F1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0D650EE-B53D-4136-9DDD-26AD977998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720-4373-88F2-36261E398F1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Arena!$S$17:$S$20</c:f>
              <c:numCache>
                <c:formatCode>0.000%</c:formatCode>
                <c:ptCount val="4"/>
                <c:pt idx="0">
                  <c:v>4.5409015025041716E-2</c:v>
                </c:pt>
                <c:pt idx="1">
                  <c:v>7.8056951423785534E-2</c:v>
                </c:pt>
                <c:pt idx="2">
                  <c:v>9.9105071262843708E-2</c:v>
                </c:pt>
                <c:pt idx="3">
                  <c:v>0.11525518788558609</c:v>
                </c:pt>
              </c:numCache>
            </c:numRef>
          </c:xVal>
          <c:yVal>
            <c:numRef>
              <c:f>Arena!$K$17:$K$20</c:f>
              <c:numCache>
                <c:formatCode>General</c:formatCode>
                <c:ptCount val="4"/>
                <c:pt idx="0">
                  <c:v>2.0788260713467381</c:v>
                </c:pt>
                <c:pt idx="1">
                  <c:v>2.1232785944132311</c:v>
                </c:pt>
                <c:pt idx="2">
                  <c:v>2.1289019997015148</c:v>
                </c:pt>
                <c:pt idx="3">
                  <c:v>2.0642917651773396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Arena!$AQ$17:$AQ$20</c15:f>
                <c15:dlblRangeCache>
                  <c:ptCount val="4"/>
                  <c:pt idx="0">
                    <c:v>8.734</c:v>
                  </c:pt>
                  <c:pt idx="1">
                    <c:v>91.418</c:v>
                  </c:pt>
                  <c:pt idx="2">
                    <c:v>105.634</c:v>
                  </c:pt>
                  <c:pt idx="3">
                    <c:v>6.745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720-4373-88F2-36261E398F1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Arena!$AB$19</c:f>
              <c:numCache>
                <c:formatCode>0.00%</c:formatCode>
                <c:ptCount val="1"/>
                <c:pt idx="0">
                  <c:v>8.0500000000000002E-2</c:v>
                </c:pt>
              </c:numCache>
            </c:numRef>
          </c:xVal>
          <c:yVal>
            <c:numRef>
              <c:f>Arena!$AC$19</c:f>
              <c:numCache>
                <c:formatCode>0.000</c:formatCode>
                <c:ptCount val="1"/>
                <c:pt idx="0">
                  <c:v>2.1349999999999998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720-4373-88F2-36261E398F1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ax val="0.15000000000000002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Arena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A4AD994-5710-4BA7-8C10-5C08350B5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486-4AC6-85B9-1E69648921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7FE6684-7CEE-4748-8028-F1A2EF22D1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486-4AC6-85B9-1E69648921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56D09E-FE1A-4EFA-B99C-B0637F69A7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486-4AC6-85B9-1E696489211A}"/>
                </c:ext>
              </c:extLst>
            </c:dLbl>
            <c:dLbl>
              <c:idx val="3"/>
              <c:layout>
                <c:manualLayout>
                  <c:x val="-0.14525873879493437"/>
                  <c:y val="-7.0445646680767873E-2"/>
                </c:manualLayout>
              </c:layout>
              <c:tx>
                <c:rich>
                  <a:bodyPr/>
                  <a:lstStyle/>
                  <a:p>
                    <a:fld id="{3D25E2B4-4594-4148-A472-CE7136C2E6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0486-4AC6-85B9-1E69648921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838B7D-1B61-4AA5-B5BF-2A679B7E37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486-4AC6-85B9-1E696489211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486-4AC6-85B9-1E696489211A}"/>
                </c:ext>
              </c:extLst>
            </c:dLbl>
            <c:dLbl>
              <c:idx val="6"/>
              <c:layout>
                <c:manualLayout>
                  <c:x val="-8.3340750892489351E-2"/>
                  <c:y val="8.9690004285655031E-2"/>
                </c:manualLayout>
              </c:layout>
              <c:tx>
                <c:rich>
                  <a:bodyPr/>
                  <a:lstStyle/>
                  <a:p>
                    <a:fld id="{697BC282-690C-49B0-8D31-0AAF391481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0486-4AC6-85B9-1E696489211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358F803-EB1C-4F7D-8CA5-5B5CF3202B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486-4AC6-85B9-1E696489211A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06695D3C-FD3F-475F-8A61-B16F09728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486-4AC6-85B9-1E696489211A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A06AEA97-01EB-4A9B-9AE9-B9C8E108FB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0486-4AC6-85B9-1E696489211A}"/>
                </c:ext>
              </c:extLst>
            </c:dLbl>
            <c:dLbl>
              <c:idx val="10"/>
              <c:layout>
                <c:manualLayout>
                  <c:x val="5.2758018923723402E-3"/>
                  <c:y val="2.6787264077762343E-2"/>
                </c:manualLayout>
              </c:layout>
              <c:tx>
                <c:rich>
                  <a:bodyPr/>
                  <a:lstStyle/>
                  <a:p>
                    <a:fld id="{C9465B8E-00B4-4C57-9EBD-24C8BFBCA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0486-4AC6-85B9-1E696489211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486-4AC6-85B9-1E696489211A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ABF73116-3A5C-4C2A-BDF0-8B5B808341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0486-4AC6-85B9-1E696489211A}"/>
                </c:ext>
              </c:extLst>
            </c:dLbl>
            <c:dLbl>
              <c:idx val="13"/>
              <c:layout>
                <c:manualLayout>
                  <c:x val="-6.0703909708279599E-4"/>
                  <c:y val="-0.10967436702103965"/>
                </c:manualLayout>
              </c:layout>
              <c:tx>
                <c:rich>
                  <a:bodyPr/>
                  <a:lstStyle/>
                  <a:p>
                    <a:fld id="{E22A1671-33AF-4425-BD5C-FF65C623A9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486-4AC6-85B9-1E696489211A}"/>
                </c:ext>
              </c:extLst>
            </c:dLbl>
            <c:dLbl>
              <c:idx val="14"/>
              <c:layout>
                <c:manualLayout>
                  <c:x val="-1.6053534712898519E-2"/>
                  <c:y val="7.069141901264038E-2"/>
                </c:manualLayout>
              </c:layout>
              <c:tx>
                <c:rich>
                  <a:bodyPr/>
                  <a:lstStyle/>
                  <a:p>
                    <a:fld id="{5906DF27-6F68-4431-8BAC-E02DC2CA5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0486-4AC6-85B9-1E696489211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B85A5B1-EED5-4FB7-860C-BE482C4836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486-4AC6-85B9-1E69648921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Arena!$AL$5:$AL$20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1.9724273059498865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2.0642917651773396</c:v>
                </c:pt>
              </c:numCache>
            </c:numRef>
          </c:xVal>
          <c:yVal>
            <c:numRef>
              <c:f>Arena!$AN$5:$AN$20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Arena!$AM$5:$AM$20</c15:f>
                <c15:dlblRangeCache>
                  <c:ptCount val="16"/>
                  <c:pt idx="0">
                    <c:v>7.63%</c:v>
                  </c:pt>
                  <c:pt idx="1">
                    <c:v>9.60%</c:v>
                  </c:pt>
                  <c:pt idx="2">
                    <c:v>11.95%</c:v>
                  </c:pt>
                  <c:pt idx="3">
                    <c:v>13.16%</c:v>
                  </c:pt>
                  <c:pt idx="4">
                    <c:v>14.39%</c:v>
                  </c:pt>
                  <c:pt idx="6">
                    <c:v>5.71%</c:v>
                  </c:pt>
                  <c:pt idx="7">
                    <c:v>6.95%</c:v>
                  </c:pt>
                  <c:pt idx="8">
                    <c:v>9.40%</c:v>
                  </c:pt>
                  <c:pt idx="9">
                    <c:v>10.99%</c:v>
                  </c:pt>
                  <c:pt idx="10">
                    <c:v>13.37%</c:v>
                  </c:pt>
                  <c:pt idx="12">
                    <c:v>4.54%</c:v>
                  </c:pt>
                  <c:pt idx="13">
                    <c:v>7.81%</c:v>
                  </c:pt>
                  <c:pt idx="14">
                    <c:v>9.91%</c:v>
                  </c:pt>
                  <c:pt idx="15">
                    <c:v>11.53%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0486-4AC6-85B9-1E696489211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Arena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016A5A8-737B-4BC8-8D10-BEA62F2808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1ED6-4FBB-8727-75D2598719B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36E656-CB49-4A0D-A79F-3A62E1C740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1ED6-4FBB-8727-75D2598719B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DE1D2F8-B05E-445B-B019-0B51FD8EBE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1ED6-4FBB-8727-75D2598719B2}"/>
                </c:ext>
              </c:extLst>
            </c:dLbl>
            <c:dLbl>
              <c:idx val="3"/>
              <c:layout>
                <c:manualLayout>
                  <c:x val="-0.14525873879493437"/>
                  <c:y val="-7.0445646680767873E-2"/>
                </c:manualLayout>
              </c:layout>
              <c:tx>
                <c:rich>
                  <a:bodyPr/>
                  <a:lstStyle/>
                  <a:p>
                    <a:fld id="{4124804A-52AA-4376-9DD0-F0F832770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D6-4FBB-8727-75D2598719B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3730BEF-9D18-4E20-9BB2-945D25FD3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ED6-4FBB-8727-75D2598719B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ED6-4FBB-8727-75D2598719B2}"/>
                </c:ext>
              </c:extLst>
            </c:dLbl>
            <c:dLbl>
              <c:idx val="6"/>
              <c:layout>
                <c:manualLayout>
                  <c:x val="-8.3340750892489351E-2"/>
                  <c:y val="8.9690004285655031E-2"/>
                </c:manualLayout>
              </c:layout>
              <c:tx>
                <c:rich>
                  <a:bodyPr/>
                  <a:lstStyle/>
                  <a:p>
                    <a:fld id="{798A15E6-8AF3-4E03-9D2E-49C4E92A57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1ED6-4FBB-8727-75D2598719B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FEEE16D-333E-4676-98C7-273394D0D4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ED6-4FBB-8727-75D2598719B2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D0752A88-6C59-42A7-81DA-C88BA81A4A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1ED6-4FBB-8727-75D2598719B2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A13C7ECE-3FB0-4CFC-8A90-F008CCE39C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1ED6-4FBB-8727-75D2598719B2}"/>
                </c:ext>
              </c:extLst>
            </c:dLbl>
            <c:dLbl>
              <c:idx val="10"/>
              <c:layout>
                <c:manualLayout>
                  <c:x val="5.2758018923723402E-3"/>
                  <c:y val="2.6787264077762343E-2"/>
                </c:manualLayout>
              </c:layout>
              <c:tx>
                <c:rich>
                  <a:bodyPr/>
                  <a:lstStyle/>
                  <a:p>
                    <a:fld id="{78F0CCDD-E971-4F65-884E-8972CD00A0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1ED6-4FBB-8727-75D2598719B2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ED6-4FBB-8727-75D2598719B2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4ECB2B2F-8321-4597-B92F-5BE51E9B8E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1ED6-4FBB-8727-75D2598719B2}"/>
                </c:ext>
              </c:extLst>
            </c:dLbl>
            <c:dLbl>
              <c:idx val="13"/>
              <c:layout>
                <c:manualLayout>
                  <c:x val="-6.0703909708279599E-4"/>
                  <c:y val="-0.10967436702103965"/>
                </c:manualLayout>
              </c:layout>
              <c:tx>
                <c:rich>
                  <a:bodyPr/>
                  <a:lstStyle/>
                  <a:p>
                    <a:fld id="{C8E17EED-29C7-4B88-9204-2116E33A54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1ED6-4FBB-8727-75D2598719B2}"/>
                </c:ext>
              </c:extLst>
            </c:dLbl>
            <c:dLbl>
              <c:idx val="14"/>
              <c:layout>
                <c:manualLayout>
                  <c:x val="-1.6053534712898519E-2"/>
                  <c:y val="7.069141901264038E-2"/>
                </c:manualLayout>
              </c:layout>
              <c:tx>
                <c:rich>
                  <a:bodyPr/>
                  <a:lstStyle/>
                  <a:p>
                    <a:fld id="{CAC5FA46-EC32-4572-AB6C-8A6850D374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1ED6-4FBB-8727-75D2598719B2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DEC3DDA-1B41-4F4F-BD93-A42A569C0D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ED6-4FBB-8727-75D2598719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Arena!$AL$5:$AL$20</c:f>
              <c:numCache>
                <c:formatCode>General</c:formatCode>
                <c:ptCount val="16"/>
                <c:pt idx="0">
                  <c:v>1.8947397051669903</c:v>
                </c:pt>
                <c:pt idx="1">
                  <c:v>1.9348444370707474</c:v>
                </c:pt>
                <c:pt idx="2">
                  <c:v>1.9660781433873795</c:v>
                </c:pt>
                <c:pt idx="3">
                  <c:v>1.9576916183018995</c:v>
                </c:pt>
                <c:pt idx="4">
                  <c:v>1.8960009900803738</c:v>
                </c:pt>
                <c:pt idx="6">
                  <c:v>2.016690673287997</c:v>
                </c:pt>
                <c:pt idx="7">
                  <c:v>2.0460168732495467</c:v>
                </c:pt>
                <c:pt idx="8">
                  <c:v>2.054876802148133</c:v>
                </c:pt>
                <c:pt idx="9">
                  <c:v>2.0561458679914573</c:v>
                </c:pt>
                <c:pt idx="10">
                  <c:v>1.9724273059498865</c:v>
                </c:pt>
                <c:pt idx="12">
                  <c:v>2.0788260713467381</c:v>
                </c:pt>
                <c:pt idx="13">
                  <c:v>2.1232785944132311</c:v>
                </c:pt>
                <c:pt idx="14">
                  <c:v>2.1289019997015148</c:v>
                </c:pt>
                <c:pt idx="15">
                  <c:v>2.0642917651773396</c:v>
                </c:pt>
              </c:numCache>
            </c:numRef>
          </c:xVal>
          <c:yVal>
            <c:numRef>
              <c:f>Arena!$AN$5:$AN$20</c:f>
              <c:numCache>
                <c:formatCode>General</c:formatCode>
                <c:ptCount val="16"/>
                <c:pt idx="0">
                  <c:v>2.5312994394433019E-3</c:v>
                </c:pt>
                <c:pt idx="1">
                  <c:v>1.9180062110610407E-3</c:v>
                </c:pt>
                <c:pt idx="2">
                  <c:v>2.1328541573080173E-3</c:v>
                </c:pt>
                <c:pt idx="3">
                  <c:v>2.6328639231230967E-3</c:v>
                </c:pt>
                <c:pt idx="4">
                  <c:v>2.0547276313990894E-3</c:v>
                </c:pt>
                <c:pt idx="6">
                  <c:v>1.6094064337182524E-3</c:v>
                </c:pt>
                <c:pt idx="7">
                  <c:v>1.3515888982202461E-3</c:v>
                </c:pt>
                <c:pt idx="8">
                  <c:v>1.3125256352669369E-3</c:v>
                </c:pt>
                <c:pt idx="9">
                  <c:v>2.2891072091269392E-3</c:v>
                </c:pt>
                <c:pt idx="10">
                  <c:v>2.7227094279185238E-3</c:v>
                </c:pt>
                <c:pt idx="12">
                  <c:v>2.1914490517382034E-3</c:v>
                </c:pt>
                <c:pt idx="13">
                  <c:v>1.5469052129907014E-3</c:v>
                </c:pt>
                <c:pt idx="14">
                  <c:v>1.5078419500383689E-3</c:v>
                </c:pt>
                <c:pt idx="15">
                  <c:v>2.2617629250589744E-3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Arena!$AO$5:$AO$20</c15:f>
                <c15:dlblRangeCache>
                  <c:ptCount val="16"/>
                  <c:pt idx="0">
                    <c:v>50.74%</c:v>
                  </c:pt>
                  <c:pt idx="1">
                    <c:v>68.85%</c:v>
                  </c:pt>
                  <c:pt idx="2">
                    <c:v>91.07%</c:v>
                  </c:pt>
                  <c:pt idx="3">
                    <c:v>98.63%</c:v>
                  </c:pt>
                  <c:pt idx="4">
                    <c:v>95.86%</c:v>
                  </c:pt>
                  <c:pt idx="6">
                    <c:v>48.22%</c:v>
                  </c:pt>
                  <c:pt idx="7">
                    <c:v>62.35%</c:v>
                  </c:pt>
                  <c:pt idx="8">
                    <c:v>85.97%</c:v>
                  </c:pt>
                  <c:pt idx="9">
                    <c:v>100.88%</c:v>
                  </c:pt>
                  <c:pt idx="10">
                    <c:v>103.17%</c:v>
                  </c:pt>
                  <c:pt idx="12">
                    <c:v>43.80%</c:v>
                  </c:pt>
                  <c:pt idx="13">
                    <c:v>83.38%</c:v>
                  </c:pt>
                  <c:pt idx="14">
                    <c:v>107.29%</c:v>
                  </c:pt>
                  <c:pt idx="15">
                    <c:v>107.65%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1ED6-4FBB-8727-75D2598719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8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340541772587624"/>
                  <c:y val="-2.6321665688272537E-2"/>
                </c:manualLayout>
              </c:layout>
              <c:tx>
                <c:rich>
                  <a:bodyPr/>
                  <a:lstStyle/>
                  <a:p>
                    <a:fld id="{B0574030-F44A-415B-9C02-DB306D5F32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36B1-4B95-BCBB-D32DA57CD65F}"/>
                </c:ext>
              </c:extLst>
            </c:dLbl>
            <c:dLbl>
              <c:idx val="1"/>
              <c:layout>
                <c:manualLayout>
                  <c:x val="-2.2086757109398805E-2"/>
                  <c:y val="-0.12897727330135786"/>
                </c:manualLayout>
              </c:layout>
              <c:tx>
                <c:rich>
                  <a:bodyPr/>
                  <a:lstStyle/>
                  <a:p>
                    <a:fld id="{C21AA7FC-4B43-4E45-94EA-747D152ADE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6B1-4B95-BCBB-D32DA57CD65F}"/>
                </c:ext>
              </c:extLst>
            </c:dLbl>
            <c:dLbl>
              <c:idx val="2"/>
              <c:layout>
                <c:manualLayout>
                  <c:x val="-0.11365362743889533"/>
                  <c:y val="-0.11614532234972232"/>
                </c:manualLayout>
              </c:layout>
              <c:tx>
                <c:rich>
                  <a:bodyPr/>
                  <a:lstStyle/>
                  <a:p>
                    <a:fld id="{48C07803-28B5-4953-8009-53FD505828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6B1-4B95-BCBB-D32DA57CD65F}"/>
                </c:ext>
              </c:extLst>
            </c:dLbl>
            <c:dLbl>
              <c:idx val="3"/>
              <c:layout>
                <c:manualLayout>
                  <c:x val="2.8127333071292844E-2"/>
                  <c:y val="-7.7649469494815188E-2"/>
                </c:manualLayout>
              </c:layout>
              <c:tx>
                <c:rich>
                  <a:bodyPr/>
                  <a:lstStyle/>
                  <a:p>
                    <a:fld id="{77F0FB94-4AB6-4893-BE93-5E3330D54E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36B1-4B95-BCBB-D32DA57CD65F}"/>
                </c:ext>
              </c:extLst>
            </c:dLbl>
            <c:dLbl>
              <c:idx val="4"/>
              <c:layout>
                <c:manualLayout>
                  <c:x val="-8.1162157321977207E-2"/>
                  <c:y val="-0.17388910163208271"/>
                </c:manualLayout>
              </c:layout>
              <c:tx>
                <c:rich>
                  <a:bodyPr/>
                  <a:lstStyle/>
                  <a:p>
                    <a:fld id="{855C1C19-16AA-47CD-B208-992CFF4810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6B1-4B95-BCBB-D32DA57CD65F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Base!$S$5:$S$9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Base!$AJ$5:$AJ$9</c15:f>
                <c15:dlblRangeCache>
                  <c:ptCount val="5"/>
                  <c:pt idx="0">
                    <c:v>0.0021</c:v>
                  </c:pt>
                  <c:pt idx="1">
                    <c:v>0.0036</c:v>
                  </c:pt>
                  <c:pt idx="2">
                    <c:v>0.0019</c:v>
                  </c:pt>
                  <c:pt idx="3">
                    <c:v>0.0025</c:v>
                  </c:pt>
                  <c:pt idx="4">
                    <c:v>0.0018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8DC-4264-A27A-9440713335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Base!$AB$7</c:f>
              <c:numCache>
                <c:formatCode>0.00%</c:formatCode>
                <c:ptCount val="1"/>
                <c:pt idx="0">
                  <c:v>0.1</c:v>
                </c:pt>
              </c:numCache>
            </c:numRef>
          </c:xVal>
          <c:yVal>
            <c:numRef>
              <c:f>Base!$AC$7</c:f>
              <c:numCache>
                <c:formatCode>0.000</c:formatCode>
                <c:ptCount val="1"/>
                <c:pt idx="0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8DC-4264-A27A-9440713335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D14C441-6A61-4723-A317-2115783D5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4BE-458E-82EE-31498E0442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BFFC444-8678-4D35-8D92-36699A02F6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4BE-458E-82EE-31498E04421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B658FC1-42E3-4572-9792-477915E33D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4BE-458E-82EE-31498E04421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F350332-79B6-4740-975F-74849A93F0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4BE-458E-82EE-31498E04421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Base!$S$11:$S$14</c:f>
              <c:numCache>
                <c:formatCode>0.000%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Base!$K$11:$K$14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Base!$AJ$11:$AJ$14</c15:f>
                <c15:dlblRangeCache>
                  <c:ptCount val="4"/>
                  <c:pt idx="0">
                    <c:v>0.0009</c:v>
                  </c:pt>
                  <c:pt idx="1">
                    <c:v>0.0010</c:v>
                  </c:pt>
                  <c:pt idx="2">
                    <c:v>0.0019</c:v>
                  </c:pt>
                  <c:pt idx="3">
                    <c:v>0.0033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7F1E-42EF-A369-719B250A57A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Base!$AB$13</c:f>
              <c:numCache>
                <c:formatCode>0.00%</c:formatCode>
                <c:ptCount val="1"/>
                <c:pt idx="0">
                  <c:v>7.2499999999999995E-2</c:v>
                </c:pt>
              </c:numCache>
            </c:numRef>
          </c:xVal>
          <c:yVal>
            <c:numRef>
              <c:f>Base!$AC$13</c:f>
              <c:numCache>
                <c:formatCode>0.000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1E-42EF-A369-719B250A57A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2F76791-8AD0-48D8-B5DB-DB00914D8E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291-440F-BE53-AAEABD6FF98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4D38F47-5503-4FAD-A4F7-35CDEF96A4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291-440F-BE53-AAEABD6FF98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78108FF-73A9-446F-BBF7-DCC0F6DDB8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291-440F-BE53-AAEABD6FF98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6D40134-E916-4E38-847C-41F46B9B41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291-440F-BE53-AAEABD6FF986}"/>
                </c:ext>
              </c:extLst>
            </c:dLbl>
            <c:dLbl>
              <c:idx val="4"/>
              <c:layout>
                <c:manualLayout>
                  <c:x val="-5.9281609584390322E-3"/>
                  <c:y val="0.11639700850523023"/>
                </c:manualLayout>
              </c:layout>
              <c:tx>
                <c:rich>
                  <a:bodyPr/>
                  <a:lstStyle/>
                  <a:p>
                    <a:fld id="{BE9BBB41-755C-4C94-91AC-B7F98A1E12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291-440F-BE53-AAEABD6FF98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Base!$S$16:$S$20</c:f>
              <c:numCache>
                <c:formatCode>0.000%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Base!$K$16:$K$20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Base!$AJ$16:$AJ$20</c15:f>
                <c15:dlblRangeCache>
                  <c:ptCount val="5"/>
                  <c:pt idx="0">
                    <c:v>0.0012</c:v>
                  </c:pt>
                  <c:pt idx="1">
                    <c:v>0.0023</c:v>
                  </c:pt>
                  <c:pt idx="2">
                    <c:v>0.0031</c:v>
                  </c:pt>
                  <c:pt idx="3">
                    <c:v>0.0034</c:v>
                  </c:pt>
                  <c:pt idx="4">
                    <c:v>0.0011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6AD5-4906-8CCE-7799993FDF2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Base!$AB$18</c:f>
              <c:numCache>
                <c:formatCode>0.00%</c:formatCode>
                <c:ptCount val="1"/>
                <c:pt idx="0">
                  <c:v>6.6000000000000003E-2</c:v>
                </c:pt>
              </c:numCache>
            </c:numRef>
          </c:xVal>
          <c:yVal>
            <c:numRef>
              <c:f>Base!$AC$18</c:f>
              <c:numCache>
                <c:formatCode>0.000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AD5-4906-8CCE-7799993FDF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Base!$AM$5:$AM$9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Base!$AL$5:$AL$9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04-4B48-9A30-B9E6651FAE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Base!$AM$11:$AM$14</c:f>
              <c:numCache>
                <c:formatCode>0.00%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Base!$AL$11:$AL$14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04-4B48-9A30-B9E6651FAEC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Base!$AM$16:$AM$20</c:f>
              <c:numCache>
                <c:formatCode>0.00%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Base!$AL$16:$AL$20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04-4B48-9A30-B9E6651FAE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Estandar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9340541772587624"/>
                  <c:y val="-2.6321665688272537E-2"/>
                </c:manualLayout>
              </c:layout>
              <c:tx>
                <c:rich>
                  <a:bodyPr/>
                  <a:lstStyle/>
                  <a:p>
                    <a:fld id="{318E885E-1319-4A7F-946B-2B97C43F0F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4CE-4202-AC9A-4026343D423E}"/>
                </c:ext>
              </c:extLst>
            </c:dLbl>
            <c:dLbl>
              <c:idx val="1"/>
              <c:layout>
                <c:manualLayout>
                  <c:x val="-2.2086757109398805E-2"/>
                  <c:y val="-0.12897727330135786"/>
                </c:manualLayout>
              </c:layout>
              <c:tx>
                <c:rich>
                  <a:bodyPr/>
                  <a:lstStyle/>
                  <a:p>
                    <a:fld id="{908A1FD5-986E-44C9-9EE7-574546ACE9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4CE-4202-AC9A-4026343D423E}"/>
                </c:ext>
              </c:extLst>
            </c:dLbl>
            <c:dLbl>
              <c:idx val="2"/>
              <c:layout>
                <c:manualLayout>
                  <c:x val="-0.11365362743889533"/>
                  <c:y val="-0.11614532234972232"/>
                </c:manualLayout>
              </c:layout>
              <c:tx>
                <c:rich>
                  <a:bodyPr/>
                  <a:lstStyle/>
                  <a:p>
                    <a:fld id="{99557D4E-2698-45B2-AAA4-F79CAF20FB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4CE-4202-AC9A-4026343D423E}"/>
                </c:ext>
              </c:extLst>
            </c:dLbl>
            <c:dLbl>
              <c:idx val="3"/>
              <c:layout>
                <c:manualLayout>
                  <c:x val="2.8127333071292844E-2"/>
                  <c:y val="-7.7649469494815188E-2"/>
                </c:manualLayout>
              </c:layout>
              <c:tx>
                <c:rich>
                  <a:bodyPr/>
                  <a:lstStyle/>
                  <a:p>
                    <a:fld id="{3A39E009-3086-45F0-8C1F-A68AEC4969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4CE-4202-AC9A-4026343D423E}"/>
                </c:ext>
              </c:extLst>
            </c:dLbl>
            <c:dLbl>
              <c:idx val="4"/>
              <c:layout>
                <c:manualLayout>
                  <c:x val="-8.1162157321977207E-2"/>
                  <c:y val="-0.17388910163208271"/>
                </c:manualLayout>
              </c:layout>
              <c:tx>
                <c:rich>
                  <a:bodyPr/>
                  <a:lstStyle/>
                  <a:p>
                    <a:fld id="{2D621D20-80EC-418B-98CF-A590D4B988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4CE-4202-AC9A-4026343D423E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Base!$S$5:$S$9</c:f>
              <c:numCache>
                <c:formatCode>0.00%</c:formatCode>
                <c:ptCount val="5"/>
                <c:pt idx="0">
                  <c:v>0.10614119922630562</c:v>
                </c:pt>
                <c:pt idx="1">
                  <c:v>0.12695463694070272</c:v>
                </c:pt>
                <c:pt idx="2">
                  <c:v>6.2609713282621576E-2</c:v>
                </c:pt>
                <c:pt idx="3">
                  <c:v>0.10971223021582741</c:v>
                </c:pt>
                <c:pt idx="4">
                  <c:v>6.8930216686572371E-2</c:v>
                </c:pt>
              </c:numCache>
            </c:numRef>
          </c:xVal>
          <c:yVal>
            <c:numRef>
              <c:f>Base!$K$5:$K$9</c:f>
              <c:numCache>
                <c:formatCode>General</c:formatCode>
                <c:ptCount val="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Base!$AQ$5:$AQ$9</c15:f>
                <c15:dlblRangeCache>
                  <c:ptCount val="5"/>
                  <c:pt idx="0">
                    <c:v>14.37</c:v>
                  </c:pt>
                  <c:pt idx="1">
                    <c:v>0.06</c:v>
                  </c:pt>
                  <c:pt idx="2">
                    <c:v>21.81</c:v>
                  </c:pt>
                  <c:pt idx="3">
                    <c:v>3.05</c:v>
                  </c:pt>
                  <c:pt idx="4">
                    <c:v>40.19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24CE-4202-AC9A-4026343D423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Base!$AB$7</c:f>
              <c:numCache>
                <c:formatCode>0.00%</c:formatCode>
                <c:ptCount val="1"/>
                <c:pt idx="0">
                  <c:v>0.1</c:v>
                </c:pt>
              </c:numCache>
            </c:numRef>
          </c:xVal>
          <c:yVal>
            <c:numRef>
              <c:f>Base!$AC$7</c:f>
              <c:numCache>
                <c:formatCode>0.000</c:formatCode>
                <c:ptCount val="1"/>
                <c:pt idx="0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CE-4202-AC9A-4026343D42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4.0000000000000008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44304EE-83C4-4744-A55D-556C01F8AD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ED9-47AC-935C-3803BDF32DEC}"/>
                </c:ext>
              </c:extLst>
            </c:dLbl>
            <c:dLbl>
              <c:idx val="1"/>
              <c:layout>
                <c:manualLayout>
                  <c:x val="5.8796309906553219E-3"/>
                  <c:y val="0.10262626262626257"/>
                </c:manualLayout>
              </c:layout>
              <c:tx>
                <c:rich>
                  <a:bodyPr/>
                  <a:lstStyle/>
                  <a:p>
                    <a:fld id="{34DA1960-481C-484D-AF4A-5860A7AC88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ED9-47AC-935C-3803BDF32DE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FD1A382-AAD3-468D-9FBF-43220F2497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ED9-47AC-935C-3803BDF32DE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5863E20-2276-4D03-B2E9-D7A174E165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ED9-47AC-935C-3803BDF32DEC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Base!$S$11:$S$14</c:f>
              <c:numCache>
                <c:formatCode>0.000%</c:formatCode>
                <c:ptCount val="4"/>
                <c:pt idx="0">
                  <c:v>3.3795493934141954E-2</c:v>
                </c:pt>
                <c:pt idx="1">
                  <c:v>5.5575604474919035E-2</c:v>
                </c:pt>
                <c:pt idx="2">
                  <c:v>8.8829787234042445E-2</c:v>
                </c:pt>
                <c:pt idx="3">
                  <c:v>0.11358267716535424</c:v>
                </c:pt>
              </c:numCache>
            </c:numRef>
          </c:xVal>
          <c:yVal>
            <c:numRef>
              <c:f>Base!$K$11:$K$14</c:f>
              <c:numCache>
                <c:formatCode>General</c:formatCode>
                <c:ptCount val="4"/>
                <c:pt idx="0">
                  <c:v>2.1293573554791845</c:v>
                </c:pt>
                <c:pt idx="1">
                  <c:v>2.1900756808685244</c:v>
                </c:pt>
                <c:pt idx="2">
                  <c:v>2.1781200578512712</c:v>
                </c:pt>
                <c:pt idx="3">
                  <c:v>2.1033268647883205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Base!$AQ$11:$AQ$14</c15:f>
                <c15:dlblRangeCache>
                  <c:ptCount val="4"/>
                  <c:pt idx="0">
                    <c:v>1647.12</c:v>
                  </c:pt>
                  <c:pt idx="1">
                    <c:v>805.32</c:v>
                  </c:pt>
                  <c:pt idx="2">
                    <c:v>22.03</c:v>
                  </c:pt>
                  <c:pt idx="3">
                    <c:v>0.14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FED9-47AC-935C-3803BDF32DE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Base!$AB$13</c:f>
              <c:numCache>
                <c:formatCode>0.00%</c:formatCode>
                <c:ptCount val="1"/>
                <c:pt idx="0">
                  <c:v>7.2499999999999995E-2</c:v>
                </c:pt>
              </c:numCache>
            </c:numRef>
          </c:xVal>
          <c:yVal>
            <c:numRef>
              <c:f>Base!$AC$13</c:f>
              <c:numCache>
                <c:formatCode>0.000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ED9-47AC-935C-3803BDF32DE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Proctor Modificado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FC37695-44A7-472F-A5F5-FBFB734E45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8B5-4D71-92C8-81C9913DF8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109CC7D-0A35-4E07-B845-A0FDD33D6F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8B5-4D71-92C8-81C9913DF8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48980E8-A682-4B59-9FE9-2C7693940F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8B5-4D71-92C8-81C9913DF8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C863F6F-A78E-4D6B-8284-D8C87E6378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8B5-4D71-92C8-81C9913DF8C2}"/>
                </c:ext>
              </c:extLst>
            </c:dLbl>
            <c:dLbl>
              <c:idx val="4"/>
              <c:layout>
                <c:manualLayout>
                  <c:x val="-5.9281609584390322E-3"/>
                  <c:y val="0.11639700850523023"/>
                </c:manualLayout>
              </c:layout>
              <c:tx>
                <c:rich>
                  <a:bodyPr/>
                  <a:lstStyle/>
                  <a:p>
                    <a:fld id="{65959CC4-CA03-4224-9D05-2689C3BA4E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8B5-4D71-92C8-81C9913DF8C2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Base!$S$16:$S$20</c:f>
              <c:numCache>
                <c:formatCode>0.000%</c:formatCode>
                <c:ptCount val="5"/>
                <c:pt idx="0">
                  <c:v>4.0761532828899237E-2</c:v>
                </c:pt>
                <c:pt idx="1">
                  <c:v>3.784813139728644E-2</c:v>
                </c:pt>
                <c:pt idx="2">
                  <c:v>9.6097273975289388E-2</c:v>
                </c:pt>
                <c:pt idx="3">
                  <c:v>8.8534664874207802E-2</c:v>
                </c:pt>
                <c:pt idx="4">
                  <c:v>5.6084656084655952E-2</c:v>
                </c:pt>
              </c:numCache>
            </c:numRef>
          </c:xVal>
          <c:yVal>
            <c:numRef>
              <c:f>Base!$K$16:$K$20</c:f>
              <c:numCache>
                <c:formatCode>General</c:formatCode>
                <c:ptCount val="5"/>
                <c:pt idx="0">
                  <c:v>2.1408741363911084</c:v>
                </c:pt>
                <c:pt idx="1">
                  <c:v>2.0995080743407137</c:v>
                </c:pt>
                <c:pt idx="2">
                  <c:v>2.0225013970595254</c:v>
                </c:pt>
                <c:pt idx="3">
                  <c:v>2.1362783313424192</c:v>
                </c:pt>
                <c:pt idx="4">
                  <c:v>2.2428335183282382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Base!$AQ$16:$AQ$20</c15:f>
                <c15:dlblRangeCache>
                  <c:ptCount val="5"/>
                  <c:pt idx="0">
                    <c:v>298.80</c:v>
                  </c:pt>
                  <c:pt idx="1">
                    <c:v>5.41</c:v>
                  </c:pt>
                  <c:pt idx="2">
                    <c:v>0.32</c:v>
                  </c:pt>
                  <c:pt idx="3">
                    <c:v>0.11</c:v>
                  </c:pt>
                  <c:pt idx="4">
                    <c:v>597.49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F8B5-4D71-92C8-81C9913DF8C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Base!$AB$18</c:f>
              <c:numCache>
                <c:formatCode>0.00%</c:formatCode>
                <c:ptCount val="1"/>
                <c:pt idx="0">
                  <c:v>6.6000000000000003E-2</c:v>
                </c:pt>
              </c:numCache>
            </c:numRef>
          </c:xVal>
          <c:yVal>
            <c:numRef>
              <c:f>Base!$AC$18</c:f>
              <c:numCache>
                <c:formatCode>0.000</c:formatCode>
                <c:ptCount val="1"/>
                <c:pt idx="0">
                  <c:v>2.2599999999999998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8B5-4D71-92C8-81C9913DF8C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2.0000000000000004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  <c:majorUnit val="2.0000000000000004E-2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Base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3AD842D7-5CD9-4955-8970-78F9F082D8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B52-458B-BF60-13E2B1D499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BADA9E4-6AA6-4E8E-B11C-2948B71C79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B52-458B-BF60-13E2B1D499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5E60915-E01B-4063-8845-09B461A2AE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B52-458B-BF60-13E2B1D499BA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E9774E58-FFB6-40C1-B447-9AE001137E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B52-458B-BF60-13E2B1D499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3AF35C-B194-4CB5-BDD1-17372204DB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B52-458B-BF60-13E2B1D499BA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CB52-458B-BF60-13E2B1D499BA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066575DD-D84D-4D3D-B2E1-71C54B5B32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B52-458B-BF60-13E2B1D499BA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17F72E64-BD9C-4565-AEE6-EDEF31C340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CB52-458B-BF60-13E2B1D499BA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7C5F0588-BB81-4E0E-AD98-8D801B3132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CB52-458B-BF60-13E2B1D499B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E3E7FA8-3352-4A11-A969-BB128FA15F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B52-458B-BF60-13E2B1D499B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B52-458B-BF60-13E2B1D499BA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16161BE2-3706-4DB8-BBAA-48E054DDD9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CB52-458B-BF60-13E2B1D499BA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1F61C67F-1398-44CB-A09E-35E9A384BA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CB52-458B-BF60-13E2B1D499BA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F891DF40-0410-4A84-ACBF-AE5A49E0D0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CB52-458B-BF60-13E2B1D499B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AD33E2E-2278-4C68-922A-B33AB034F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B52-458B-BF60-13E2B1D499B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33E87C5-5EFC-4A4C-873F-298AE9E5A4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B52-458B-BF60-13E2B1D499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Base!$AL$5:$AL$20</c:f>
              <c:numCache>
                <c:formatCode>General</c:formatCode>
                <c:ptCount val="16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2.1293573554791845</c:v>
                </c:pt>
                <c:pt idx="7">
                  <c:v>2.1900756808685244</c:v>
                </c:pt>
                <c:pt idx="8">
                  <c:v>2.1781200578512712</c:v>
                </c:pt>
                <c:pt idx="9">
                  <c:v>2.1033268647883205</c:v>
                </c:pt>
                <c:pt idx="11">
                  <c:v>2.1408741363911084</c:v>
                </c:pt>
                <c:pt idx="12">
                  <c:v>2.0995080743407137</c:v>
                </c:pt>
                <c:pt idx="13">
                  <c:v>2.0225013970595254</c:v>
                </c:pt>
                <c:pt idx="14">
                  <c:v>2.1362783313424192</c:v>
                </c:pt>
                <c:pt idx="15">
                  <c:v>2.2428335183282382</c:v>
                </c:pt>
              </c:numCache>
            </c:numRef>
          </c:xVal>
          <c:yVal>
            <c:numRef>
              <c:f>Base!$AN$5:$AN$20</c:f>
              <c:numCache>
                <c:formatCode>General</c:formatCode>
                <c:ptCount val="16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  <c:pt idx="15">
                  <c:v>1.0840055469838461E-3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Base!$AM$5:$AM$20</c15:f>
                <c15:dlblRangeCache>
                  <c:ptCount val="16"/>
                  <c:pt idx="0">
                    <c:v>10.61%</c:v>
                  </c:pt>
                  <c:pt idx="1">
                    <c:v>12.70%</c:v>
                  </c:pt>
                  <c:pt idx="2">
                    <c:v>6.26%</c:v>
                  </c:pt>
                  <c:pt idx="3">
                    <c:v>10.97%</c:v>
                  </c:pt>
                  <c:pt idx="4">
                    <c:v>6.89%</c:v>
                  </c:pt>
                  <c:pt idx="6">
                    <c:v>3.38%</c:v>
                  </c:pt>
                  <c:pt idx="7">
                    <c:v>5.56%</c:v>
                  </c:pt>
                  <c:pt idx="8">
                    <c:v>8.88%</c:v>
                  </c:pt>
                  <c:pt idx="9">
                    <c:v>11.36%</c:v>
                  </c:pt>
                  <c:pt idx="11">
                    <c:v>4.08%</c:v>
                  </c:pt>
                  <c:pt idx="12">
                    <c:v>3.78%</c:v>
                  </c:pt>
                  <c:pt idx="13">
                    <c:v>9.61%</c:v>
                  </c:pt>
                  <c:pt idx="14">
                    <c:v>8.85%</c:v>
                  </c:pt>
                  <c:pt idx="15">
                    <c:v>5.61%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CB52-458B-BF60-13E2B1D499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Base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459F47A6-3710-4854-A9EA-9BD993A666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201-4140-B022-AD5E2FE8D03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42DFB9E-9F76-4C9E-A6B8-657289094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201-4140-B022-AD5E2FE8D03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49695B-3160-422D-9B38-71F79EF4B7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201-4140-B022-AD5E2FE8D03E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51569B32-2DEC-4AAA-8CA3-7861EF262F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201-4140-B022-AD5E2FE8D03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039F73D-C8AF-46AB-93BC-CB5F4E0D46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201-4140-B022-AD5E2FE8D03E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5-4201-4140-B022-AD5E2FE8D03E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D711302C-CD13-444F-9665-BE8AE345D9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201-4140-B022-AD5E2FE8D03E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C20F4161-DAB9-4834-99A4-BB55BD0BBD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201-4140-B022-AD5E2FE8D03E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6D682158-D7AC-4008-8AF7-64DF24A4F9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201-4140-B022-AD5E2FE8D03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C0F041A-594F-478D-A142-5DAF7D5B42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201-4140-B022-AD5E2FE8D03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201-4140-B022-AD5E2FE8D03E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2BFCD577-CEDC-495C-A10D-C4CA4038F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201-4140-B022-AD5E2FE8D03E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FD2D71C8-BD11-4C61-914C-9937C8F05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201-4140-B022-AD5E2FE8D03E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4E5D5A13-D0E8-4233-8C2A-2292847C19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201-4140-B022-AD5E2FE8D03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CA9B85B-163B-45DD-8762-9D11A186D8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201-4140-B022-AD5E2FE8D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Base!$AL$5:$AL$19</c:f>
              <c:numCache>
                <c:formatCode>General</c:formatCode>
                <c:ptCount val="15"/>
                <c:pt idx="0">
                  <c:v>2.0593635990630705</c:v>
                </c:pt>
                <c:pt idx="1">
                  <c:v>1.9929986354116553</c:v>
                </c:pt>
                <c:pt idx="2">
                  <c:v>1.9530325788119023</c:v>
                </c:pt>
                <c:pt idx="3">
                  <c:v>2.0546546965318271</c:v>
                </c:pt>
                <c:pt idx="4">
                  <c:v>1.9815088936687171</c:v>
                </c:pt>
                <c:pt idx="6">
                  <c:v>2.1293573554791845</c:v>
                </c:pt>
                <c:pt idx="7">
                  <c:v>2.1900756808685244</c:v>
                </c:pt>
                <c:pt idx="8">
                  <c:v>2.1781200578512712</c:v>
                </c:pt>
                <c:pt idx="9">
                  <c:v>2.1033268647883205</c:v>
                </c:pt>
                <c:pt idx="11">
                  <c:v>2.1408741363911084</c:v>
                </c:pt>
                <c:pt idx="12">
                  <c:v>2.0995080743407137</c:v>
                </c:pt>
                <c:pt idx="13">
                  <c:v>2.0225013970595254</c:v>
                </c:pt>
                <c:pt idx="14">
                  <c:v>2.1362783313424192</c:v>
                </c:pt>
              </c:numCache>
            </c:numRef>
          </c:xVal>
          <c:yVal>
            <c:numRef>
              <c:f>Base!$AN$5:$AN$19</c:f>
              <c:numCache>
                <c:formatCode>General</c:formatCode>
                <c:ptCount val="15"/>
                <c:pt idx="0">
                  <c:v>2.0547276313969574E-3</c:v>
                </c:pt>
                <c:pt idx="1">
                  <c:v>3.5703822340265035E-3</c:v>
                </c:pt>
                <c:pt idx="2">
                  <c:v>1.9414441688326179E-3</c:v>
                </c:pt>
                <c:pt idx="3">
                  <c:v>2.4805171976019836E-3</c:v>
                </c:pt>
                <c:pt idx="4">
                  <c:v>1.7734721381273745E-3</c:v>
                </c:pt>
                <c:pt idx="6">
                  <c:v>8.9845504794894282E-4</c:v>
                </c:pt>
                <c:pt idx="7">
                  <c:v>1.0273638156998999E-3</c:v>
                </c:pt>
                <c:pt idx="8">
                  <c:v>1.9375378425359635E-3</c:v>
                </c:pt>
                <c:pt idx="9">
                  <c:v>3.3203773511200295E-3</c:v>
                </c:pt>
                <c:pt idx="11">
                  <c:v>1.2343991093587193E-3</c:v>
                </c:pt>
                <c:pt idx="12">
                  <c:v>2.3242641457867919E-3</c:v>
                </c:pt>
                <c:pt idx="13">
                  <c:v>3.0977167522804549E-3</c:v>
                </c:pt>
                <c:pt idx="14">
                  <c:v>3.3828785718469589E-3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Base!$AO$5:$AO$20</c15:f>
                <c15:dlblRangeCache>
                  <c:ptCount val="16"/>
                  <c:pt idx="0">
                    <c:v>98.07%</c:v>
                  </c:pt>
                  <c:pt idx="1">
                    <c:v>102.06%</c:v>
                  </c:pt>
                  <c:pt idx="2">
                    <c:v>46.49%</c:v>
                  </c:pt>
                  <c:pt idx="3">
                    <c:v>100.34%</c:v>
                  </c:pt>
                  <c:pt idx="4">
                    <c:v>54.14%</c:v>
                  </c:pt>
                  <c:pt idx="6">
                    <c:v>20.37%</c:v>
                  </c:pt>
                  <c:pt idx="7">
                    <c:v>51.20%</c:v>
                  </c:pt>
                  <c:pt idx="8">
                    <c:v>90.31%</c:v>
                  </c:pt>
                  <c:pt idx="9">
                    <c:v>100.51%</c:v>
                  </c:pt>
                  <c:pt idx="11">
                    <c:v>45.42%</c:v>
                  </c:pt>
                  <c:pt idx="12">
                    <c:v>38.25%</c:v>
                  </c:pt>
                  <c:pt idx="13">
                    <c:v>82.08%</c:v>
                  </c:pt>
                  <c:pt idx="14">
                    <c:v>97.56%</c:v>
                  </c:pt>
                  <c:pt idx="15">
                    <c:v>81.87%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201-4140-B022-AD5E2FE8D03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6556549-8B77-4712-AAB7-8574F00DBB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2A3-4894-AEFE-7EDE819428B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5561943-D500-4719-9C48-4FBB4B14EF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2A3-4894-AEFE-7EDE819428B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6454F14-5551-4168-B305-F9772BC053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2A3-4894-AEFE-7EDE819428B1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562572B9-33E3-4BC5-9AC0-4DB96493D430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2A3-4894-AEFE-7EDE819428B1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Caolin!$AN$5:$AN$8</c15:f>
                <c15:dlblRangeCache>
                  <c:ptCount val="4"/>
                  <c:pt idx="0">
                    <c:v>0.00153</c:v>
                  </c:pt>
                  <c:pt idx="1">
                    <c:v>0.00289</c:v>
                  </c:pt>
                  <c:pt idx="2">
                    <c:v>0.00313</c:v>
                  </c:pt>
                  <c:pt idx="3">
                    <c:v>0.00160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774-4B6C-A96E-AA703CBEE9D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774-4B6C-A96E-AA703CBEE9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E6AEA80-9BE5-4673-94A5-98E7DD9BB4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E5B-48F7-A9D5-875D0343408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AC501B-414F-409F-ABB9-B2BDD64960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E5B-48F7-A9D5-875D0343408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6E986E1-451E-4926-9D74-C1A5DA63E8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4E5B-48F7-A9D5-875D034340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9E8EF3B-C544-409F-AC00-84119F9ADF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E5B-48F7-A9D5-875D034340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F6E7214-2338-4F1A-91D3-D49D34B93A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4E5B-48F7-A9D5-875D03434081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Caolin!$AN$10:$AN$14</c15:f>
                <c15:dlblRangeCache>
                  <c:ptCount val="5"/>
                  <c:pt idx="0">
                    <c:v>0.00127</c:v>
                  </c:pt>
                  <c:pt idx="1">
                    <c:v>0.00125</c:v>
                  </c:pt>
                  <c:pt idx="2">
                    <c:v>0.00146</c:v>
                  </c:pt>
                  <c:pt idx="3">
                    <c:v>0.00130</c:v>
                  </c:pt>
                  <c:pt idx="4">
                    <c:v>0.00178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FC8D-4112-B81F-6F3FE965BE0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C8D-4112-B81F-6F3FE965BE0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33D951C-68AD-4D24-9A3C-2513680574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2AF-439A-8265-0675648C7F1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2421C5C-FB58-471D-A586-8C24274194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2AF-439A-8265-0675648C7F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C3FF52E-ACB6-4092-AAAF-4D496C697D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2AF-439A-8265-0675648C7F1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D4204A4-75D8-4452-8CA6-09FA57D4E4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2AF-439A-8265-0675648C7F19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Caolin!$AN$16:$AN$19</c15:f>
                <c15:dlblRangeCache>
                  <c:ptCount val="4"/>
                  <c:pt idx="0">
                    <c:v>0.00121</c:v>
                  </c:pt>
                  <c:pt idx="1">
                    <c:v>0.00110</c:v>
                  </c:pt>
                  <c:pt idx="2">
                    <c:v>0.00140</c:v>
                  </c:pt>
                  <c:pt idx="3">
                    <c:v>0.00230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26B2-43E4-B0CD-EAC84C17397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6B2-43E4-B0CD-EAC84C17397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E7A6767C-8375-40BC-AC6A-CB230684A3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71D-4CAE-B5BD-87E9D5C6FE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655F9F3-D004-4572-B735-C8A352CE9C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71D-4CAE-B5BD-87E9D5C6FE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1196151-A61C-40FB-9284-D46F5193F2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71D-4CAE-B5BD-87E9D5C6FEC6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78F87B49-637C-4BC9-8684-A7719EBE6A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71D-4CAE-B5BD-87E9D5C6FEC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71D-4CAE-B5BD-87E9D5C6FEC6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1CAE8930-5133-4D35-B681-2F84E87C89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71D-4CAE-B5BD-87E9D5C6FEC6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B91E1CBB-8778-4BDB-96AA-CFB0568C19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71D-4CAE-B5BD-87E9D5C6FEC6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BA7DB21D-D012-4DED-B672-6DDAA65A6F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71D-4CAE-B5BD-87E9D5C6FEC6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EA151ACE-F328-43CE-A27E-BDD043DD32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71D-4CAE-B5BD-87E9D5C6FEC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C6298EA-469A-471D-9B4C-D9B7DA325B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71D-4CAE-B5BD-87E9D5C6FEC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71D-4CAE-B5BD-87E9D5C6FEC6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FF2C8D38-831D-436D-BC2D-DE5DB672EB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71D-4CAE-B5BD-87E9D5C6FEC6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63FB0AC9-49C8-4D08-B3C0-BAB8D2597D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71D-4CAE-B5BD-87E9D5C6FEC6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91CCC4DB-AA9C-400A-B567-DB998DFBF8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471D-4CAE-B5BD-87E9D5C6FEC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692AAC1-B8ED-4E44-80E4-226A499BE2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71D-4CAE-B5BD-87E9D5C6FE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Caolin!$AM$5:$AM$19</c15:f>
                <c15:dlblRangeCache>
                  <c:ptCount val="15"/>
                  <c:pt idx="0">
                    <c:v>16.22%</c:v>
                  </c:pt>
                  <c:pt idx="1">
                    <c:v>19.98%</c:v>
                  </c:pt>
                  <c:pt idx="2">
                    <c:v>26.69%</c:v>
                  </c:pt>
                  <c:pt idx="3">
                    <c:v>11.70%</c:v>
                  </c:pt>
                  <c:pt idx="5">
                    <c:v>10.63%</c:v>
                  </c:pt>
                  <c:pt idx="6">
                    <c:v>14.52%</c:v>
                  </c:pt>
                  <c:pt idx="7">
                    <c:v>16.49%</c:v>
                  </c:pt>
                  <c:pt idx="8">
                    <c:v>7.99%</c:v>
                  </c:pt>
                  <c:pt idx="9">
                    <c:v>22.85%</c:v>
                  </c:pt>
                  <c:pt idx="11">
                    <c:v>9.04%</c:v>
                  </c:pt>
                  <c:pt idx="12">
                    <c:v>15.09%</c:v>
                  </c:pt>
                  <c:pt idx="13">
                    <c:v>18.55%</c:v>
                  </c:pt>
                  <c:pt idx="14">
                    <c:v>22.48%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471D-4CAE-B5BD-87E9D5C6FE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Estandar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3E07BD2-94D3-4F90-A2AF-12EE7E62A5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774F-44BC-B294-725DE31806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8D384BE-A205-40BA-8ED6-B06FECB8FC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74F-44BC-B294-725DE31806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A01C849-3EE2-461D-A5A3-95D741B0A7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74F-44BC-B294-725DE3180609}"/>
                </c:ext>
              </c:extLst>
            </c:dLbl>
            <c:dLbl>
              <c:idx val="3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/>
                    </a:pPr>
                    <a:fld id="{CA2618EC-D4D7-4186-9C3A-F626F317FC95}" type="CELLRANGE">
                      <a:rPr lang="en-US"/>
                      <a:pPr>
                        <a:defRPr/>
                      </a:pPr>
                      <a:t>[CELLRANGE]</a:t>
                    </a:fld>
                    <a:endParaRPr lang="en-US"/>
                  </a:p>
                </c:rich>
              </c:tx>
              <c:numFmt formatCode="#,##0.0" sourceLinked="0"/>
              <c:spPr>
                <a:noFill/>
                <a:ln>
                  <a:noFill/>
                </a:ln>
                <a:effectLst/>
              </c:sp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74F-44BC-B294-725DE318060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Caolin!$S$5:$S$8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Caolin!$K$5:$K$8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Caolin!$AQ$5:$AQ$8</c15:f>
                <c15:dlblRangeCache>
                  <c:ptCount val="4"/>
                  <c:pt idx="0">
                    <c:v>100.715</c:v>
                  </c:pt>
                  <c:pt idx="1">
                    <c:v>0.758</c:v>
                  </c:pt>
                  <c:pt idx="2">
                    <c:v>0.327</c:v>
                  </c:pt>
                  <c:pt idx="3">
                    <c:v>77.674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774F-44BC-B294-725DE318060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Caolin!$AB$7</c:f>
              <c:numCache>
                <c:formatCode>0.00%</c:formatCode>
                <c:ptCount val="1"/>
                <c:pt idx="0">
                  <c:v>0.18099999999999999</c:v>
                </c:pt>
              </c:numCache>
            </c:numRef>
          </c:xVal>
          <c:yVal>
            <c:numRef>
              <c:f>Caolin!$AC$7</c:f>
              <c:numCache>
                <c:formatCode>0.000</c:formatCode>
                <c:ptCount val="1"/>
                <c:pt idx="0">
                  <c:v>1.67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74F-44BC-B294-725DE31806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6F0D7AA-7A6B-4F9E-9FE1-6C2B7AA85E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DDC-468D-A976-A63FF1A4CD1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4604BC6-E6A1-4457-8D18-59AE662A73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DDC-468D-A976-A63FF1A4CD1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D235F7A-E963-4353-8F21-094CBE3637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9DDC-468D-A976-A63FF1A4CD1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FB97869-6CB8-4005-9390-295329C58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DDC-468D-A976-A63FF1A4CD1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DA6730B-91F5-4659-BC0E-57780AE192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DDC-468D-A976-A63FF1A4CD13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Caolin!$S$10:$S$14</c:f>
              <c:numCache>
                <c:formatCode>0.000%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Caolin!$K$10:$K$14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Caolin!$AQ$10:$AQ$14</c15:f>
                <c15:dlblRangeCache>
                  <c:ptCount val="5"/>
                  <c:pt idx="0">
                    <c:v>269.206</c:v>
                  </c:pt>
                  <c:pt idx="1">
                    <c:v>283.131</c:v>
                  </c:pt>
                  <c:pt idx="2">
                    <c:v>127.566</c:v>
                  </c:pt>
                  <c:pt idx="3">
                    <c:v>241.603</c:v>
                  </c:pt>
                  <c:pt idx="4">
                    <c:v>41.043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9DDC-468D-A976-A63FF1A4CD1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Caolin!$AB$12</c:f>
              <c:numCache>
                <c:formatCode>0.00%</c:formatCode>
                <c:ptCount val="1"/>
                <c:pt idx="0">
                  <c:v>0.15</c:v>
                </c:pt>
              </c:numCache>
            </c:numRef>
          </c:xVal>
          <c:yVal>
            <c:numRef>
              <c:f>Caolin!$AC$12</c:f>
              <c:numCache>
                <c:formatCode>0.000</c:formatCode>
                <c:ptCount val="1"/>
                <c:pt idx="0">
                  <c:v>1.7949999999999999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DC-468D-A976-A63FF1A4CD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Caolin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43F1446-EB52-4866-8BA7-FEC7C98B87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9B0-4D2D-827B-934E53FF123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48C7CC-6C67-470C-A958-564BFAA72D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9B0-4D2D-827B-934E53FF123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F3374A9-BFDF-4281-B1BC-49508DB81C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9B0-4D2D-827B-934E53FF123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75D203-4776-40BA-B40F-502B7DCBFD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9B0-4D2D-827B-934E53FF1230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Caolin!$S$16:$S$19</c:f>
              <c:numCache>
                <c:formatCode>0.000%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Caolin!$K$16:$K$19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Caolin!$AQ$16:$AQ$19</c15:f>
                <c15:dlblRangeCache>
                  <c:ptCount val="4"/>
                  <c:pt idx="0">
                    <c:v>349.346</c:v>
                  </c:pt>
                  <c:pt idx="1">
                    <c:v>562.172</c:v>
                  </c:pt>
                  <c:pt idx="2">
                    <c:v>164.152</c:v>
                  </c:pt>
                  <c:pt idx="3">
                    <c:v>6.284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9B0-4D2D-827B-934E53FF12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Caolin!$AB$18</c:f>
              <c:numCache>
                <c:formatCode>0.00%</c:formatCode>
                <c:ptCount val="1"/>
                <c:pt idx="0">
                  <c:v>0.14499999999999999</c:v>
                </c:pt>
              </c:numCache>
            </c:numRef>
          </c:xVal>
          <c:yVal>
            <c:numRef>
              <c:f>Caolin!$AC$18</c:f>
              <c:numCache>
                <c:formatCode>0.000</c:formatCode>
                <c:ptCount val="1"/>
                <c:pt idx="0">
                  <c:v>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9B0-4D2D-827B-934E53FF123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13512283328820796"/>
                  <c:y val="1.7060846458509915E-2"/>
                </c:manualLayout>
              </c:layout>
              <c:tx>
                <c:rich>
                  <a:bodyPr/>
                  <a:lstStyle/>
                  <a:p>
                    <a:fld id="{F7611A46-FD15-42ED-8AFC-5B96A16BC8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BD3E-4C41-B4BC-6966FB9BE9F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A6CF4E2-887C-44FB-ADD2-D6FC99E8E4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D3E-4C41-B4BC-6966FB9BE9F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FE4C4DB-7C62-4BC7-9402-3FB49D4B1B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D3E-4C41-B4BC-6966FB9BE9FD}"/>
                </c:ext>
              </c:extLst>
            </c:dLbl>
            <c:dLbl>
              <c:idx val="3"/>
              <c:layout>
                <c:manualLayout>
                  <c:x val="-4.740450443979069E-2"/>
                  <c:y val="-4.6172866647337808E-2"/>
                </c:manualLayout>
              </c:layout>
              <c:tx>
                <c:rich>
                  <a:bodyPr/>
                  <a:lstStyle/>
                  <a:p>
                    <a:fld id="{F1A1134B-BE4E-46C7-9696-85A06B8191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D3E-4C41-B4BC-6966FB9BE9F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D3E-4C41-B4BC-6966FB9BE9FD}"/>
                </c:ext>
              </c:extLst>
            </c:dLbl>
            <c:dLbl>
              <c:idx val="5"/>
              <c:layout>
                <c:manualLayout>
                  <c:x val="-7.0796058799368719E-2"/>
                  <c:y val="7.0566296009611923E-2"/>
                </c:manualLayout>
              </c:layout>
              <c:tx>
                <c:rich>
                  <a:bodyPr/>
                  <a:lstStyle/>
                  <a:p>
                    <a:fld id="{5F278DC1-4DB5-4A94-8079-1114083F8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D3E-4C41-B4BC-6966FB9BE9FD}"/>
                </c:ext>
              </c:extLst>
            </c:dLbl>
            <c:dLbl>
              <c:idx val="6"/>
              <c:layout>
                <c:manualLayout>
                  <c:x val="-5.0328448734738039E-2"/>
                  <c:y val="-0.13372723864005004"/>
                </c:manualLayout>
              </c:layout>
              <c:tx>
                <c:rich>
                  <a:bodyPr/>
                  <a:lstStyle/>
                  <a:p>
                    <a:fld id="{C76CC7F9-FC9D-4203-92D3-8AA846FA6C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BD3E-4C41-B4BC-6966FB9BE9FD}"/>
                </c:ext>
              </c:extLst>
            </c:dLbl>
            <c:dLbl>
              <c:idx val="7"/>
              <c:layout>
                <c:manualLayout>
                  <c:x val="1.6922270049048591E-2"/>
                  <c:y val="-2.3956806509816929E-3"/>
                </c:manualLayout>
              </c:layout>
              <c:tx>
                <c:rich>
                  <a:bodyPr/>
                  <a:lstStyle/>
                  <a:p>
                    <a:fld id="{76AD45D1-5CD5-49FD-AFE2-1B3CE4700D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BD3E-4C41-B4BC-6966FB9BE9FD}"/>
                </c:ext>
              </c:extLst>
            </c:dLbl>
            <c:dLbl>
              <c:idx val="8"/>
              <c:layout>
                <c:manualLayout>
                  <c:x val="-8.4597075871519697E-2"/>
                  <c:y val="6.5702164232238847E-2"/>
                </c:manualLayout>
              </c:layout>
              <c:tx>
                <c:rich>
                  <a:bodyPr/>
                  <a:lstStyle/>
                  <a:p>
                    <a:fld id="{2F14AE54-AEF9-4B2B-9F24-9D015DF51C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BD3E-4C41-B4BC-6966FB9BE9F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501A4DC-C7FB-4DAB-85DD-0D5D6E344F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D3E-4C41-B4BC-6966FB9BE9F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D3E-4C41-B4BC-6966FB9BE9FD}"/>
                </c:ext>
              </c:extLst>
            </c:dLbl>
            <c:dLbl>
              <c:idx val="11"/>
              <c:layout>
                <c:manualLayout>
                  <c:x val="-3.7813967152363744E-2"/>
                  <c:y val="0.10947935022859505"/>
                </c:manualLayout>
              </c:layout>
              <c:tx>
                <c:rich>
                  <a:bodyPr/>
                  <a:lstStyle/>
                  <a:p>
                    <a:fld id="{B089EBA6-CF61-408D-89A2-DF5F7E2DAE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BD3E-4C41-B4BC-6966FB9BE9FD}"/>
                </c:ext>
              </c:extLst>
            </c:dLbl>
            <c:dLbl>
              <c:idx val="12"/>
              <c:layout>
                <c:manualLayout>
                  <c:x val="-6.2139572063485047E-4"/>
                  <c:y val="6.5702164232238749E-2"/>
                </c:manualLayout>
              </c:layout>
              <c:tx>
                <c:rich>
                  <a:bodyPr/>
                  <a:lstStyle/>
                  <a:p>
                    <a:fld id="{9B317369-5654-40B3-92B0-F4F233CDF2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D3E-4C41-B4BC-6966FB9BE9FD}"/>
                </c:ext>
              </c:extLst>
            </c:dLbl>
            <c:dLbl>
              <c:idx val="13"/>
              <c:layout>
                <c:manualLayout>
                  <c:x val="-0.11173127892863008"/>
                  <c:y val="-8.5085920866321024E-2"/>
                </c:manualLayout>
              </c:layout>
              <c:tx>
                <c:rich>
                  <a:bodyPr/>
                  <a:lstStyle/>
                  <a:p>
                    <a:fld id="{964ABAF4-F001-4656-86B5-E826E1CA03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D3E-4C41-B4BC-6966FB9BE9F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F00965B-B008-4719-8601-DB407E5373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D3E-4C41-B4BC-6966FB9BE9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Caolin!$AL$5:$AL$19</c:f>
              <c:numCache>
                <c:formatCode>General</c:formatCode>
                <c:ptCount val="15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  <c:pt idx="5">
                  <c:v>1.741579267448629</c:v>
                </c:pt>
                <c:pt idx="6">
                  <c:v>1.7894306168364227</c:v>
                </c:pt>
                <c:pt idx="7">
                  <c:v>1.8061947339895521</c:v>
                </c:pt>
                <c:pt idx="8">
                  <c:v>1.6673281341222654</c:v>
                </c:pt>
                <c:pt idx="9">
                  <c:v>1.5456713004509131</c:v>
                </c:pt>
                <c:pt idx="11">
                  <c:v>1.7743615616875121</c:v>
                </c:pt>
                <c:pt idx="12">
                  <c:v>1.8202988531912971</c:v>
                </c:pt>
                <c:pt idx="13">
                  <c:v>1.7636738086928547</c:v>
                </c:pt>
                <c:pt idx="14">
                  <c:v>1.642825029593429</c:v>
                </c:pt>
              </c:numCache>
            </c:numRef>
          </c:xVal>
          <c:yVal>
            <c:numRef>
              <c:f>Caolin!$AN$5:$AN$19</c:f>
              <c:numCache>
                <c:formatCode>0.00000</c:formatCode>
                <c:ptCount val="15"/>
                <c:pt idx="0">
                  <c:v>1.5273735815121369E-3</c:v>
                </c:pt>
                <c:pt idx="1">
                  <c:v>2.890681458621547E-3</c:v>
                </c:pt>
                <c:pt idx="2">
                  <c:v>3.125061036351795E-3</c:v>
                </c:pt>
                <c:pt idx="3">
                  <c:v>1.6015937811292957E-3</c:v>
                </c:pt>
                <c:pt idx="5">
                  <c:v>1.2695560460160848E-3</c:v>
                </c:pt>
                <c:pt idx="6">
                  <c:v>1.2549073224095153E-3</c:v>
                </c:pt>
                <c:pt idx="7">
                  <c:v>1.464872360793379E-3</c:v>
                </c:pt>
                <c:pt idx="8">
                  <c:v>1.2988534932323326E-3</c:v>
                </c:pt>
                <c:pt idx="9">
                  <c:v>1.7773784644233182E-3</c:v>
                </c:pt>
                <c:pt idx="11">
                  <c:v>1.2070548252893331E-3</c:v>
                </c:pt>
                <c:pt idx="12">
                  <c:v>1.101584015313506E-3</c:v>
                </c:pt>
                <c:pt idx="13">
                  <c:v>1.3984648137657985E-3</c:v>
                </c:pt>
                <c:pt idx="14">
                  <c:v>2.3008261880093526E-3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Caolin!$AO$5:$AO$19</c15:f>
                <c15:dlblRangeCache>
                  <c:ptCount val="15"/>
                  <c:pt idx="0">
                    <c:v>72.15%</c:v>
                  </c:pt>
                  <c:pt idx="1">
                    <c:v>89.01%</c:v>
                  </c:pt>
                  <c:pt idx="2">
                    <c:v>93.24%</c:v>
                  </c:pt>
                  <c:pt idx="3">
                    <c:v>45.41%</c:v>
                  </c:pt>
                  <c:pt idx="5">
                    <c:v>54.01%</c:v>
                  </c:pt>
                  <c:pt idx="6">
                    <c:v>80.04%</c:v>
                  </c:pt>
                  <c:pt idx="7">
                    <c:v>93.54%</c:v>
                  </c:pt>
                  <c:pt idx="8">
                    <c:v>35.92%</c:v>
                  </c:pt>
                  <c:pt idx="9">
                    <c:v>84.75%</c:v>
                  </c:pt>
                  <c:pt idx="11">
                    <c:v>48.56%</c:v>
                  </c:pt>
                  <c:pt idx="12">
                    <c:v>87.70%</c:v>
                  </c:pt>
                  <c:pt idx="13">
                    <c:v>97.82%</c:v>
                  </c:pt>
                  <c:pt idx="14">
                    <c:v>97.16%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BD3E-4C41-B4BC-6966FB9BE9F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  <c:min val="5.0000000000000012E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Caolin!$AM$5:$AM$8</c:f>
              <c:numCache>
                <c:formatCode>0.00%</c:formatCode>
                <c:ptCount val="4"/>
                <c:pt idx="0">
                  <c:v>0.1622203098106714</c:v>
                </c:pt>
                <c:pt idx="1">
                  <c:v>0.19980314960629944</c:v>
                </c:pt>
                <c:pt idx="2">
                  <c:v>0.26691858467880425</c:v>
                </c:pt>
                <c:pt idx="3">
                  <c:v>0.11699064074874009</c:v>
                </c:pt>
              </c:numCache>
            </c:numRef>
          </c:xVal>
          <c:yVal>
            <c:numRef>
              <c:f>Caolin!$AL$5:$AL$8</c:f>
              <c:numCache>
                <c:formatCode>General</c:formatCode>
                <c:ptCount val="4"/>
                <c:pt idx="0">
                  <c:v>1.6605570810323071</c:v>
                </c:pt>
                <c:pt idx="1">
                  <c:v>1.6615859430054534</c:v>
                </c:pt>
                <c:pt idx="2">
                  <c:v>1.5068636991765223</c:v>
                </c:pt>
                <c:pt idx="3">
                  <c:v>1.5747783227223249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B3-4490-9FF7-874E799A756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Caolin!$AM$10:$AM$14</c:f>
              <c:numCache>
                <c:formatCode>0.00%</c:formatCode>
                <c:ptCount val="5"/>
                <c:pt idx="0">
                  <c:v>0.10631793478260841</c:v>
                </c:pt>
                <c:pt idx="1">
                  <c:v>0.14524886877828025</c:v>
                </c:pt>
                <c:pt idx="2">
                  <c:v>0.16490566037735838</c:v>
                </c:pt>
                <c:pt idx="3">
                  <c:v>7.9882740930743851E-2</c:v>
                </c:pt>
                <c:pt idx="4">
                  <c:v>0.22849968612680469</c:v>
                </c:pt>
              </c:numCache>
            </c:numRef>
          </c:xVal>
          <c:yVal>
            <c:numRef>
              <c:f>Caolin!$AL$10:$AL$14</c:f>
              <c:numCache>
                <c:formatCode>General</c:formatCode>
                <c:ptCount val="5"/>
                <c:pt idx="0">
                  <c:v>1.741579267448629</c:v>
                </c:pt>
                <c:pt idx="1">
                  <c:v>1.7894306168364227</c:v>
                </c:pt>
                <c:pt idx="2">
                  <c:v>1.8061947339895521</c:v>
                </c:pt>
                <c:pt idx="3">
                  <c:v>1.6673281341222654</c:v>
                </c:pt>
                <c:pt idx="4">
                  <c:v>1.5456713004509131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B3-4490-9FF7-874E799A756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Caolin!$AM$16:$AM$19</c:f>
              <c:numCache>
                <c:formatCode>0.00%</c:formatCode>
                <c:ptCount val="4"/>
                <c:pt idx="0">
                  <c:v>9.0436590436590164E-2</c:v>
                </c:pt>
                <c:pt idx="1">
                  <c:v>0.1508515815085158</c:v>
                </c:pt>
                <c:pt idx="2">
                  <c:v>0.18550811785929003</c:v>
                </c:pt>
                <c:pt idx="3">
                  <c:v>0.22477693891557984</c:v>
                </c:pt>
              </c:numCache>
            </c:numRef>
          </c:xVal>
          <c:yVal>
            <c:numRef>
              <c:f>Caolin!$AL$16:$AL$19</c:f>
              <c:numCache>
                <c:formatCode>General</c:formatCode>
                <c:ptCount val="4"/>
                <c:pt idx="0">
                  <c:v>1.7743615616875121</c:v>
                </c:pt>
                <c:pt idx="1">
                  <c:v>1.8202988531912971</c:v>
                </c:pt>
                <c:pt idx="2">
                  <c:v>1.7636738086928547</c:v>
                </c:pt>
                <c:pt idx="3">
                  <c:v>1.642825029593429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B3-4490-9FF7-874E799A75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(TOF)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AE3F5251-1A13-4E49-BB12-713D782AF0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7CD-47D7-8922-75A920B732D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E437E1-4766-49FC-A920-4D49DDDC26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096-4EED-AD64-F9A361FB2481}"/>
                </c:ext>
              </c:extLst>
            </c:dLbl>
            <c:dLbl>
              <c:idx val="2"/>
              <c:layout>
                <c:manualLayout>
                  <c:x val="0"/>
                  <c:y val="8.2829051073065152E-2"/>
                </c:manualLayout>
              </c:layout>
              <c:tx>
                <c:rich>
                  <a:bodyPr/>
                  <a:lstStyle/>
                  <a:p>
                    <a:fld id="{80F4F924-C33C-4939-9A3E-B0F34DA67D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096-4EED-AD64-F9A361FB248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F1313E6-158B-4023-A902-C459DB4C10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096-4EED-AD64-F9A361FB248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6125954-BDB5-4D78-9BAD-6CB0E73A0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7CD-47D7-8922-75A920B732D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'Limo-Arenoso'!$AJ$5:$AJ$9</c15:f>
                <c15:dlblRangeCache>
                  <c:ptCount val="5"/>
                  <c:pt idx="0">
                    <c:v>0.00185</c:v>
                  </c:pt>
                  <c:pt idx="1">
                    <c:v>0.00173</c:v>
                  </c:pt>
                  <c:pt idx="2">
                    <c:v>0.00166</c:v>
                  </c:pt>
                  <c:pt idx="3">
                    <c:v>0.00266</c:v>
                  </c:pt>
                  <c:pt idx="4">
                    <c:v>0.00309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919-4505-849A-ED2C2FCDBB6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E-40FD-9C6B-D2D9D77E939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2FE47606-5DBE-4F25-BB57-A8E978E0D8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0E7-4E64-921F-EF90B4EDA2C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BA86A7E-61FE-454D-A0A6-B2FE94E0A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0E7-4E64-921F-EF90B4EDA2C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5BD221D-5B5E-4938-B671-082F0AE38F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40E7-4E64-921F-EF90B4EDA2C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EBA573-4529-4787-AADE-4167719D3E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0E7-4E64-921F-EF90B4EDA2C2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'Limo-Arenoso'!$AN$11:$AN$14</c15:f>
                <c15:dlblRangeCache>
                  <c:ptCount val="4"/>
                  <c:pt idx="0">
                    <c:v>0.00162</c:v>
                  </c:pt>
                  <c:pt idx="1">
                    <c:v>0.00158</c:v>
                  </c:pt>
                  <c:pt idx="2">
                    <c:v>0.00174</c:v>
                  </c:pt>
                  <c:pt idx="3">
                    <c:v>0.00256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6B37-4252-9284-DE5C99E7B85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B37-4252-9284-DE5C99E7B8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(TOF)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7872DED-9F52-4C6D-939D-FDDC7DA5AE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9C0-4E3E-A346-F43BF6171AE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D5432CF-BD44-4980-A350-E1079141A4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9C0-4E3E-A346-F43BF6171AE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AF5C14A-C2F8-4D05-AB9F-EC140F6682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9C0-4E3E-A346-F43BF6171AE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F534440-81BF-4742-AF63-D91DEFB174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9C0-4E3E-A346-F43BF6171AEE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'Limo-Arenoso'!$AN$16:$AN$19</c15:f>
                <c15:dlblRangeCache>
                  <c:ptCount val="4"/>
                  <c:pt idx="0">
                    <c:v>0.00121</c:v>
                  </c:pt>
                  <c:pt idx="1">
                    <c:v>0.00144</c:v>
                  </c:pt>
                  <c:pt idx="2">
                    <c:v>0.00203</c:v>
                  </c:pt>
                  <c:pt idx="3">
                    <c:v>0.00236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6866-4EBF-BF89-2A090E3AEEC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6866-4EBF-BF89-2A090E3AEEC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(Humedad)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7D82A6D-490D-4F1E-B5E3-DF32389226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F3-4332-8750-F136661EF22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C2470F6-C318-4F96-9C5C-1237082004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F3-4332-8750-F136661EF22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9AD8E76-42BB-4CE0-B111-7C52AC570D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F3-4332-8750-F136661EF22C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0B6DE70A-C5D6-4995-9809-11652B5C29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6F3-4332-8750-F136661EF22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4221EB-F3F2-45D9-8408-EC8E0819A8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F3-4332-8750-F136661EF22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6F3-4332-8750-F136661EF22C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8C4227C9-16D1-4E40-8BBB-F53CD51060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6F3-4332-8750-F136661EF22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5F1DBC1-45D9-4DC1-B139-895CD8B100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F3-4332-8750-F136661EF22C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96BEB162-D126-4447-98AA-30B772DB4A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6F3-4332-8750-F136661EF22C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0DCDCA95-047A-42D9-A888-D1E3088269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6F3-4332-8750-F136661EF22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6F3-4332-8750-F136661EF22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98D9AEF-D6B5-4D3A-9E64-ECE8E9F748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F3-4332-8750-F136661EF22C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33C380A6-23FA-43D3-9583-090DA51A84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6F3-4332-8750-F136661EF22C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6A407936-68DE-4D04-9447-373F1EB29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6F3-4332-8750-F136661EF22C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D2D72F58-07B5-4E55-88BD-889CC0250E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6F3-4332-8750-F136661EF2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'Limo-Arenoso'!$AM$5:$AM$19</c15:f>
                <c15:dlblRangeCache>
                  <c:ptCount val="15"/>
                  <c:pt idx="0">
                    <c:v>11.30%</c:v>
                  </c:pt>
                  <c:pt idx="1">
                    <c:v>14.26%</c:v>
                  </c:pt>
                  <c:pt idx="2">
                    <c:v>19.20%</c:v>
                  </c:pt>
                  <c:pt idx="3">
                    <c:v>24.61%</c:v>
                  </c:pt>
                  <c:pt idx="4">
                    <c:v>29.51%</c:v>
                  </c:pt>
                  <c:pt idx="6">
                    <c:v>11.08%</c:v>
                  </c:pt>
                  <c:pt idx="7">
                    <c:v>16.01%</c:v>
                  </c:pt>
                  <c:pt idx="8">
                    <c:v>18.88%</c:v>
                  </c:pt>
                  <c:pt idx="9">
                    <c:v>24.16%</c:v>
                  </c:pt>
                  <c:pt idx="11">
                    <c:v>13.23%</c:v>
                  </c:pt>
                  <c:pt idx="12">
                    <c:v>15.98%</c:v>
                  </c:pt>
                  <c:pt idx="13">
                    <c:v>18.81%</c:v>
                  </c:pt>
                  <c:pt idx="14">
                    <c:v>22.39%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6F3-4332-8750-F136661EF2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Densidad Seca</a:t>
            </a:r>
            <a:r>
              <a:rPr lang="en-US" baseline="0"/>
              <a:t> VS TOF - Limo  (Saturación)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6805555555555"/>
          <c:y val="0.14538364197530865"/>
          <c:w val="0.76644884259259261"/>
          <c:h val="0.6808799382716049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6FFB06F-98AA-42D2-B858-8AFA9FB96E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8B9-4E5C-92C5-04C3750FC9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9E676CF-1455-45FF-AAC7-DC088654D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8B9-4E5C-92C5-04C3750FC9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C56BB8D-0E02-4E74-82F1-DEB94FBAF3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8B9-4E5C-92C5-04C3750FC9C7}"/>
                </c:ext>
              </c:extLst>
            </c:dLbl>
            <c:dLbl>
              <c:idx val="3"/>
              <c:layout>
                <c:manualLayout>
                  <c:x val="-3.5852800262255739E-3"/>
                  <c:y val="-7.0445476015962252E-2"/>
                </c:manualLayout>
              </c:layout>
              <c:tx>
                <c:rich>
                  <a:bodyPr/>
                  <a:lstStyle/>
                  <a:p>
                    <a:fld id="{12B0628A-6CB3-445A-86CD-F54EAF86DC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8B9-4E5C-92C5-04C3750FC9C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F924973-4A23-4D85-B3CD-B87A9D46E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8B9-4E5C-92C5-04C3750FC9C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8B9-4E5C-92C5-04C3750FC9C7}"/>
                </c:ext>
              </c:extLst>
            </c:dLbl>
            <c:dLbl>
              <c:idx val="6"/>
              <c:layout>
                <c:manualLayout>
                  <c:x val="-3.9067887727813944E-2"/>
                  <c:y val="0.11407506307765425"/>
                </c:manualLayout>
              </c:layout>
              <c:tx>
                <c:rich>
                  <a:bodyPr/>
                  <a:lstStyle/>
                  <a:p>
                    <a:fld id="{F893D5EA-C5BF-4079-A49D-70B42FE071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8B9-4E5C-92C5-04C3750FC9C7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ED51CC3-5BA1-41B4-AEE3-0BE762781F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8B9-4E5C-92C5-04C3750FC9C7}"/>
                </c:ext>
              </c:extLst>
            </c:dLbl>
            <c:dLbl>
              <c:idx val="8"/>
              <c:layout>
                <c:manualLayout>
                  <c:x val="1.4156023824568664E-2"/>
                  <c:y val="5.0949615492995981E-2"/>
                </c:manualLayout>
              </c:layout>
              <c:tx>
                <c:rich>
                  <a:bodyPr/>
                  <a:lstStyle/>
                  <a:p>
                    <a:fld id="{68FD0E9C-413F-4A3F-9645-232530DD0A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8B9-4E5C-92C5-04C3750FC9C7}"/>
                </c:ext>
              </c:extLst>
            </c:dLbl>
            <c:dLbl>
              <c:idx val="9"/>
              <c:layout>
                <c:manualLayout>
                  <c:x val="-0.13664505890718232"/>
                  <c:y val="3.1526400851562671E-2"/>
                </c:manualLayout>
              </c:layout>
              <c:tx>
                <c:rich>
                  <a:bodyPr/>
                  <a:lstStyle/>
                  <a:p>
                    <a:fld id="{93F7F20D-B821-4211-A72F-77FDD1612C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8B9-4E5C-92C5-04C3750FC9C7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8B9-4E5C-92C5-04C3750FC9C7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63D4D6B-DB2B-441D-9160-55B4504E0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8B9-4E5C-92C5-04C3750FC9C7}"/>
                </c:ext>
              </c:extLst>
            </c:dLbl>
            <c:dLbl>
              <c:idx val="12"/>
              <c:layout>
                <c:manualLayout>
                  <c:x val="-2.6973766618502829E-2"/>
                  <c:y val="6.066122281371264E-2"/>
                </c:manualLayout>
              </c:layout>
              <c:tx>
                <c:rich>
                  <a:bodyPr/>
                  <a:lstStyle/>
                  <a:p>
                    <a:fld id="{4DC881DA-222B-4511-9322-E8B920AED7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8B9-4E5C-92C5-04C3750FC9C7}"/>
                </c:ext>
              </c:extLst>
            </c:dLbl>
            <c:dLbl>
              <c:idx val="13"/>
              <c:layout>
                <c:manualLayout>
                  <c:x val="1.1199139849436291E-2"/>
                  <c:y val="-2.1887439412378935E-2"/>
                </c:manualLayout>
              </c:layout>
              <c:tx>
                <c:rich>
                  <a:bodyPr/>
                  <a:lstStyle/>
                  <a:p>
                    <a:fld id="{A97C4974-5356-48AA-9FA2-9F4394945E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8B9-4E5C-92C5-04C3750FC9C7}"/>
                </c:ext>
              </c:extLst>
            </c:dLbl>
            <c:dLbl>
              <c:idx val="14"/>
              <c:layout>
                <c:manualLayout>
                  <c:x val="2.0069791774833517E-2"/>
                  <c:y val="-2.4642247709456238E-3"/>
                </c:manualLayout>
              </c:layout>
              <c:tx>
                <c:rich>
                  <a:bodyPr/>
                  <a:lstStyle/>
                  <a:p>
                    <a:fld id="{D72EF769-C8AB-4100-B9BE-7081281444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8B9-4E5C-92C5-04C3750FC9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'Limo-Arenoso'!$AL$5:$AL$19</c:f>
              <c:numCache>
                <c:formatCode>General</c:formatCode>
                <c:ptCount val="1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  <c:pt idx="6">
                  <c:v>1.5620971263646288</c:v>
                </c:pt>
                <c:pt idx="7">
                  <c:v>1.6528849879326786</c:v>
                </c:pt>
                <c:pt idx="8">
                  <c:v>1.6642190869949036</c:v>
                </c:pt>
                <c:pt idx="9">
                  <c:v>1.516311109759529</c:v>
                </c:pt>
                <c:pt idx="11">
                  <c:v>1.7257129651616301</c:v>
                </c:pt>
                <c:pt idx="12">
                  <c:v>1.7591036538600133</c:v>
                </c:pt>
                <c:pt idx="13">
                  <c:v>1.7091057435408057</c:v>
                </c:pt>
                <c:pt idx="14">
                  <c:v>1.5558289053196588</c:v>
                </c:pt>
              </c:numCache>
            </c:numRef>
          </c:xVal>
          <c:yVal>
            <c:numRef>
              <c:f>'Limo-Arenoso'!$AN$5:$AN$19</c:f>
              <c:numCache>
                <c:formatCode>0.00000</c:formatCode>
                <c:ptCount val="15"/>
                <c:pt idx="0">
                  <c:v>1.8476923377406251E-3</c:v>
                </c:pt>
                <c:pt idx="1">
                  <c:v>1.7318046576407415E-3</c:v>
                </c:pt>
                <c:pt idx="2">
                  <c:v>1.6601886755722717E-3</c:v>
                </c:pt>
                <c:pt idx="3">
                  <c:v>2.656301880895029E-3</c:v>
                </c:pt>
                <c:pt idx="4">
                  <c:v>3.093810425986021E-3</c:v>
                </c:pt>
                <c:pt idx="6">
                  <c:v>1.6211254126045442E-3</c:v>
                </c:pt>
                <c:pt idx="7">
                  <c:v>1.5820621496551723E-3</c:v>
                </c:pt>
                <c:pt idx="8">
                  <c:v>1.7422215277640874E-3</c:v>
                </c:pt>
                <c:pt idx="9">
                  <c:v>2.5625500498065888E-3</c:v>
                </c:pt>
                <c:pt idx="11">
                  <c:v>1.2070548252907543E-3</c:v>
                </c:pt>
                <c:pt idx="12">
                  <c:v>1.4414344030157622E-3</c:v>
                </c:pt>
                <c:pt idx="13">
                  <c:v>2.027383347330769E-3</c:v>
                </c:pt>
                <c:pt idx="14">
                  <c:v>2.3555147561467038E-3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'Limo-Arenoso'!$N$5:$N$19</c15:f>
                <c15:dlblRangeCache>
                  <c:ptCount val="15"/>
                  <c:pt idx="0">
                    <c:v>32.12%</c:v>
                  </c:pt>
                  <c:pt idx="1">
                    <c:v>45.93%</c:v>
                  </c:pt>
                  <c:pt idx="2">
                    <c:v>68.05%</c:v>
                  </c:pt>
                  <c:pt idx="3">
                    <c:v>88.59%</c:v>
                  </c:pt>
                  <c:pt idx="4">
                    <c:v>84.00%</c:v>
                  </c:pt>
                  <c:pt idx="6">
                    <c:v>42.16%</c:v>
                  </c:pt>
                  <c:pt idx="7">
                    <c:v>70.35%</c:v>
                  </c:pt>
                  <c:pt idx="8">
                    <c:v>84.48%</c:v>
                  </c:pt>
                  <c:pt idx="9">
                    <c:v>85.64%</c:v>
                  </c:pt>
                  <c:pt idx="11">
                    <c:v>65.45%</c:v>
                  </c:pt>
                  <c:pt idx="12">
                    <c:v>83.61%</c:v>
                  </c:pt>
                  <c:pt idx="13">
                    <c:v>90.55%</c:v>
                  </c:pt>
                  <c:pt idx="14">
                    <c:v>84.37%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E8B9-4E5C-92C5-04C3750FC9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21663327"/>
        <c:axId val="1910853791"/>
      </c:scatterChart>
      <c:valAx>
        <c:axId val="1921663327"/>
        <c:scaling>
          <c:orientation val="minMax"/>
          <c:min val="1.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ρ</a:t>
                </a:r>
                <a:r>
                  <a:rPr lang="en-US"/>
                  <a:t>_dry</a:t>
                </a:r>
                <a:r>
                  <a:rPr lang="en-US" baseline="0"/>
                  <a:t> [g/cm3]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853791"/>
        <c:crosses val="autoZero"/>
        <c:crossBetween val="midCat"/>
      </c:valAx>
      <c:valAx>
        <c:axId val="19108537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TOF</a:t>
                </a:r>
                <a:r>
                  <a:rPr lang="en-US" baseline="0"/>
                  <a:t> [s]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63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</a:t>
            </a:r>
            <a:r>
              <a:rPr lang="en-US" baseline="0"/>
              <a:t> Proctor Estandar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49307600-DF90-447D-9EAE-8F317418E9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D4F-41E8-873F-D9B93D02A5F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B9181B2-6F4A-4B57-82B0-A5E110F34A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D4F-41E8-873F-D9B93D02A5F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05859F1-43A6-4765-8CF1-C58B8F9AC8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D4F-41E8-873F-D9B93D02A5F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38423F7-5853-49BE-9089-66A7A109D3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D4F-41E8-873F-D9B93D02A5F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E8B9B23-27B2-4691-BC12-00486AB389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8D4F-41E8-873F-D9B93D02A5F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'Limo-Arenoso'!$S$5:$S$9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'Limo-Arenoso'!$K$5:$K$9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'Limo-Arenoso'!$AQ$5:$AQ$9</c15:f>
                <c15:dlblRangeCache>
                  <c:ptCount val="5"/>
                  <c:pt idx="0">
                    <c:v>32.626</c:v>
                  </c:pt>
                  <c:pt idx="1">
                    <c:v>50.233</c:v>
                  </c:pt>
                  <c:pt idx="2">
                    <c:v>65.587</c:v>
                  </c:pt>
                  <c:pt idx="3">
                    <c:v>1.606</c:v>
                  </c:pt>
                  <c:pt idx="4">
                    <c:v>0.315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D4F-41E8-873F-D9B93D02A5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'Limo-Arenoso'!$AB$7</c:f>
              <c:numCache>
                <c:formatCode>0.00%</c:formatCode>
                <c:ptCount val="1"/>
                <c:pt idx="0">
                  <c:v>0.21</c:v>
                </c:pt>
              </c:numCache>
            </c:numRef>
          </c:xVal>
          <c:yVal>
            <c:numRef>
              <c:f>'Limo-Arenoso'!$AC$7</c:f>
              <c:numCache>
                <c:formatCode>0.000</c:formatCode>
                <c:ptCount val="1"/>
                <c:pt idx="0">
                  <c:v>1.54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D4F-41E8-873F-D9B93D02A5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865318D-5FD5-4C55-AF1D-6FF003A07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6F30-424E-8261-569287EB869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2D653B8-AA20-4814-B3DA-B88EBD1DC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F30-424E-8261-569287EB869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736EE9-FAB3-49B7-86A9-01614769D1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F30-424E-8261-569287EB869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E2B1E31-2DE1-40ED-8654-CBB8425E3A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F30-424E-8261-569287EB869D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'Limo-Arenoso'!$S$11:$S$14</c:f>
              <c:numCache>
                <c:formatCode>0.000%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'Limo-Arenoso'!$K$11:$K$14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'Limo-Arenoso'!$AQ$11:$AQ$14</c15:f>
                <c15:dlblRangeCache>
                  <c:ptCount val="4"/>
                  <c:pt idx="0">
                    <c:v>75.858</c:v>
                  </c:pt>
                  <c:pt idx="1">
                    <c:v>87.736</c:v>
                  </c:pt>
                  <c:pt idx="2">
                    <c:v>48.322</c:v>
                  </c:pt>
                  <c:pt idx="3">
                    <c:v>2.277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6F30-424E-8261-569287EB869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'Limo-Arenoso'!$AB$13</c:f>
              <c:numCache>
                <c:formatCode>0.00%</c:formatCode>
                <c:ptCount val="1"/>
                <c:pt idx="0">
                  <c:v>0.17199999999999999</c:v>
                </c:pt>
              </c:numCache>
            </c:numRef>
          </c:xVal>
          <c:yVal>
            <c:numRef>
              <c:f>'Limo-Arenoso'!$AC$13</c:f>
              <c:numCache>
                <c:formatCode>0.000</c:formatCode>
                <c:ptCount val="1"/>
                <c:pt idx="0">
                  <c:v>1.665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30-424E-8261-569287EB86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Limo Proctor Modificado 56 Golpes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(Mod E)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526264657033578"/>
          <c:y val="0.17827103017950008"/>
          <c:w val="0.7859179701863126"/>
          <c:h val="0.5991303663878069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9F9DCC3-CBAF-429C-A3EB-3181C9D1C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DFA4-4DF9-93D9-D810B62159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F4C2954-E0C3-47F2-AFCD-6EF40235B4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FA4-4DF9-93D9-D810B62159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F5E537D-D305-48B9-845E-6A05FDCD6E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FA4-4DF9-93D9-D810B62159F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C34392E-84F6-4B57-B06A-31B192FBD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FA4-4DF9-93D9-D810B62159FF}"/>
                </c:ext>
              </c:extLst>
            </c:dLbl>
            <c:spPr>
              <a:noFill/>
              <a:ln>
                <a:noFill/>
              </a:ln>
              <a:effectLst/>
            </c:sp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'Limo-Arenoso'!$S$16:$S$19</c:f>
              <c:numCache>
                <c:formatCode>0.000%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'Limo-Arenoso'!$K$16:$K$19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'Limo-Arenoso'!$AQ$16:$AQ$19</c15:f>
                <c15:dlblRangeCache>
                  <c:ptCount val="4"/>
                  <c:pt idx="0">
                    <c:v>370.782</c:v>
                  </c:pt>
                  <c:pt idx="1">
                    <c:v>148.842</c:v>
                  </c:pt>
                  <c:pt idx="2">
                    <c:v>16.709</c:v>
                  </c:pt>
                  <c:pt idx="3">
                    <c:v>4.923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DFA4-4DF9-93D9-D810B62159F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'Limo-Arenoso'!$AB$18</c:f>
              <c:numCache>
                <c:formatCode>0.00%</c:formatCode>
                <c:ptCount val="1"/>
                <c:pt idx="0">
                  <c:v>0.16</c:v>
                </c:pt>
              </c:numCache>
            </c:numRef>
          </c:xVal>
          <c:yVal>
            <c:numRef>
              <c:f>'Limo-Arenoso'!$AC$18</c:f>
              <c:numCache>
                <c:formatCode>0.000</c:formatCode>
                <c:ptCount val="1"/>
                <c:pt idx="0">
                  <c:v>1.76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FA4-4DF9-93D9-D810B62159F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43411823"/>
        <c:axId val="1043412783"/>
      </c:scatterChart>
      <c:valAx>
        <c:axId val="1043411823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Humedad</a:t>
                </a:r>
                <a:r>
                  <a:rPr lang="en-US" baseline="0"/>
                  <a:t> [%]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2783"/>
        <c:crosses val="autoZero"/>
        <c:crossBetween val="midCat"/>
      </c:valAx>
      <c:valAx>
        <c:axId val="104341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Densidad Seca [g/cm3]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411823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'Limo-Arenoso'!$AM$5:$AM$9</c:f>
              <c:numCache>
                <c:formatCode>0.00%</c:formatCode>
                <c:ptCount val="5"/>
                <c:pt idx="0">
                  <c:v>0.11302982731554165</c:v>
                </c:pt>
                <c:pt idx="1">
                  <c:v>0.14261363636363625</c:v>
                </c:pt>
                <c:pt idx="2">
                  <c:v>0.19204244031830223</c:v>
                </c:pt>
                <c:pt idx="3">
                  <c:v>0.24606215410813118</c:v>
                </c:pt>
                <c:pt idx="4">
                  <c:v>0.29512735326688799</c:v>
                </c:pt>
              </c:numCache>
            </c:numRef>
          </c:xVal>
          <c:yVal>
            <c:numRef>
              <c:f>'Limo-Arenoso'!$AL$5:$AL$9</c:f>
              <c:numCache>
                <c:formatCode>General</c:formatCode>
                <c:ptCount val="5"/>
                <c:pt idx="0">
                  <c:v>1.371360301675431</c:v>
                </c:pt>
                <c:pt idx="1">
                  <c:v>1.4537727083051852</c:v>
                </c:pt>
                <c:pt idx="2">
                  <c:v>1.5161625901741522</c:v>
                </c:pt>
                <c:pt idx="3">
                  <c:v>1.5264483299970262</c:v>
                </c:pt>
                <c:pt idx="4">
                  <c:v>1.3723113437156407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DF-46AC-89BE-6CAC30DB9FD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'Limo-Arenoso'!$AM$11:$AM$14</c:f>
              <c:numCache>
                <c:formatCode>0.00%</c:formatCode>
                <c:ptCount val="4"/>
                <c:pt idx="0">
                  <c:v>0.11079723791588189</c:v>
                </c:pt>
                <c:pt idx="1">
                  <c:v>0.16014588859416429</c:v>
                </c:pt>
                <c:pt idx="2">
                  <c:v>0.18882395909422914</c:v>
                </c:pt>
                <c:pt idx="3">
                  <c:v>0.24161849710982658</c:v>
                </c:pt>
              </c:numCache>
            </c:numRef>
          </c:xVal>
          <c:yVal>
            <c:numRef>
              <c:f>'Limo-Arenoso'!$AL$11:$AL$14</c:f>
              <c:numCache>
                <c:formatCode>General</c:formatCode>
                <c:ptCount val="4"/>
                <c:pt idx="0">
                  <c:v>1.5620971263646288</c:v>
                </c:pt>
                <c:pt idx="1">
                  <c:v>1.6528849879326786</c:v>
                </c:pt>
                <c:pt idx="2">
                  <c:v>1.6642190869949036</c:v>
                </c:pt>
                <c:pt idx="3">
                  <c:v>1.516311109759529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DF-46AC-89BE-6CAC30DB9FDE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'Limo-Arenoso'!$AM$16:$AM$19</c:f>
              <c:numCache>
                <c:formatCode>0.00%</c:formatCode>
                <c:ptCount val="4"/>
                <c:pt idx="0">
                  <c:v>0.13227722772277212</c:v>
                </c:pt>
                <c:pt idx="1">
                  <c:v>0.15978994748687164</c:v>
                </c:pt>
                <c:pt idx="2">
                  <c:v>0.18811394891944982</c:v>
                </c:pt>
                <c:pt idx="3">
                  <c:v>0.22389937106918242</c:v>
                </c:pt>
              </c:numCache>
            </c:numRef>
          </c:xVal>
          <c:yVal>
            <c:numRef>
              <c:f>'Limo-Arenoso'!$AL$16:$AL$19</c:f>
              <c:numCache>
                <c:formatCode>General</c:formatCode>
                <c:ptCount val="4"/>
                <c:pt idx="0">
                  <c:v>1.7257129651616301</c:v>
                </c:pt>
                <c:pt idx="1">
                  <c:v>1.7591036538600133</c:v>
                </c:pt>
                <c:pt idx="2">
                  <c:v>1.7091057435408057</c:v>
                </c:pt>
                <c:pt idx="3">
                  <c:v>1.5558289053196588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CDF-46AC-89BE-6CAC30DB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111344"/>
        <c:axId val="1978124304"/>
      </c:scatterChart>
      <c:valAx>
        <c:axId val="197811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24304"/>
        <c:crosses val="autoZero"/>
        <c:crossBetween val="midCat"/>
      </c:valAx>
      <c:valAx>
        <c:axId val="1978124304"/>
        <c:scaling>
          <c:orientation val="minMax"/>
          <c:min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11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image" Target="../media/image1.png"/><Relationship Id="rId9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2.xml"/><Relationship Id="rId7" Type="http://schemas.openxmlformats.org/officeDocument/2006/relationships/chart" Target="../charts/chart15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10" Type="http://schemas.openxmlformats.org/officeDocument/2006/relationships/chart" Target="../charts/chart18.xml"/><Relationship Id="rId4" Type="http://schemas.openxmlformats.org/officeDocument/2006/relationships/image" Target="../media/image2.png"/><Relationship Id="rId9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.xml"/><Relationship Id="rId3" Type="http://schemas.openxmlformats.org/officeDocument/2006/relationships/chart" Target="../charts/chart21.xml"/><Relationship Id="rId7" Type="http://schemas.openxmlformats.org/officeDocument/2006/relationships/chart" Target="../charts/chart24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3.xml"/><Relationship Id="rId5" Type="http://schemas.openxmlformats.org/officeDocument/2006/relationships/image" Target="../media/image3.png"/><Relationship Id="rId10" Type="http://schemas.openxmlformats.org/officeDocument/2006/relationships/chart" Target="../charts/chart27.xml"/><Relationship Id="rId4" Type="http://schemas.openxmlformats.org/officeDocument/2006/relationships/chart" Target="../charts/chart22.xml"/><Relationship Id="rId9" Type="http://schemas.openxmlformats.org/officeDocument/2006/relationships/chart" Target="../charts/chart26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3" Type="http://schemas.openxmlformats.org/officeDocument/2006/relationships/chart" Target="../charts/chart30.xml"/><Relationship Id="rId7" Type="http://schemas.openxmlformats.org/officeDocument/2006/relationships/chart" Target="../charts/chart33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image" Target="../media/image4.png"/><Relationship Id="rId5" Type="http://schemas.openxmlformats.org/officeDocument/2006/relationships/chart" Target="../charts/chart32.xml"/><Relationship Id="rId10" Type="http://schemas.openxmlformats.org/officeDocument/2006/relationships/chart" Target="../charts/chart36.xml"/><Relationship Id="rId4" Type="http://schemas.openxmlformats.org/officeDocument/2006/relationships/chart" Target="../charts/chart31.xml"/><Relationship Id="rId9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307504</xdr:colOff>
      <xdr:row>2</xdr:row>
      <xdr:rowOff>29312</xdr:rowOff>
    </xdr:from>
    <xdr:to>
      <xdr:col>26</xdr:col>
      <xdr:colOff>103130</xdr:colOff>
      <xdr:row>9</xdr:row>
      <xdr:rowOff>247186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899C8-C565-4757-8047-0712D2C573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289874</xdr:colOff>
      <xdr:row>9</xdr:row>
      <xdr:rowOff>479229</xdr:rowOff>
    </xdr:from>
    <xdr:to>
      <xdr:col>26</xdr:col>
      <xdr:colOff>85500</xdr:colOff>
      <xdr:row>15</xdr:row>
      <xdr:rowOff>241265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BC05FC-8A32-4336-849D-01E12166C3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271823</xdr:colOff>
      <xdr:row>15</xdr:row>
      <xdr:rowOff>480376</xdr:rowOff>
    </xdr:from>
    <xdr:to>
      <xdr:col>26</xdr:col>
      <xdr:colOff>67449</xdr:colOff>
      <xdr:row>21</xdr:row>
      <xdr:rowOff>153965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79091C-1B90-4815-ADA4-76188922DE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38</xdr:col>
      <xdr:colOff>227772</xdr:colOff>
      <xdr:row>21</xdr:row>
      <xdr:rowOff>131141</xdr:rowOff>
    </xdr:from>
    <xdr:to>
      <xdr:col>42</xdr:col>
      <xdr:colOff>193260</xdr:colOff>
      <xdr:row>31</xdr:row>
      <xdr:rowOff>149180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2FA66F0-8375-41DC-95B1-C83FEA3CD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61631" y="6771032"/>
          <a:ext cx="2533097" cy="1812605"/>
        </a:xfrm>
        <a:prstGeom prst="rect">
          <a:avLst/>
        </a:prstGeom>
      </xdr:spPr>
    </xdr:pic>
    <xdr:clientData/>
  </xdr:twoCellAnchor>
  <xdr:twoCellAnchor>
    <xdr:from>
      <xdr:col>43</xdr:col>
      <xdr:colOff>259225</xdr:colOff>
      <xdr:row>26</xdr:row>
      <xdr:rowOff>41709</xdr:rowOff>
    </xdr:from>
    <xdr:to>
      <xdr:col>50</xdr:col>
      <xdr:colOff>383403</xdr:colOff>
      <xdr:row>41</xdr:row>
      <xdr:rowOff>142943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16D84A-75FF-48C8-ADAE-61B19D2F3B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139211</xdr:colOff>
      <xdr:row>24</xdr:row>
      <xdr:rowOff>146529</xdr:rowOff>
    </xdr:from>
    <xdr:to>
      <xdr:col>42</xdr:col>
      <xdr:colOff>289413</xdr:colOff>
      <xdr:row>24</xdr:row>
      <xdr:rowOff>146529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3A5F5BE6-A0D6-16FF-7172-CDDC15C7D803}"/>
            </a:ext>
          </a:extLst>
        </xdr:cNvPr>
        <xdr:cNvCxnSpPr/>
      </xdr:nvCxnSpPr>
      <xdr:spPr>
        <a:xfrm flipV="1">
          <a:off x="24812625" y="7312260"/>
          <a:ext cx="272927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153868</xdr:colOff>
      <xdr:row>21</xdr:row>
      <xdr:rowOff>172183</xdr:rowOff>
    </xdr:from>
    <xdr:to>
      <xdr:col>40</xdr:col>
      <xdr:colOff>153868</xdr:colOff>
      <xdr:row>32</xdr:row>
      <xdr:rowOff>135548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14D7F0B-7962-E997-FEA9-6FF49102537A}"/>
            </a:ext>
          </a:extLst>
        </xdr:cNvPr>
        <xdr:cNvCxnSpPr/>
      </xdr:nvCxnSpPr>
      <xdr:spPr>
        <a:xfrm flipH="1" flipV="1">
          <a:off x="26116820" y="6799385"/>
          <a:ext cx="0" cy="193797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265341</xdr:colOff>
      <xdr:row>2</xdr:row>
      <xdr:rowOff>142873</xdr:rowOff>
    </xdr:from>
    <xdr:to>
      <xdr:col>50</xdr:col>
      <xdr:colOff>60967</xdr:colOff>
      <xdr:row>9</xdr:row>
      <xdr:rowOff>360747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A9881AF-F774-4AA0-8327-C30A7154D3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251733</xdr:colOff>
      <xdr:row>9</xdr:row>
      <xdr:rowOff>510269</xdr:rowOff>
    </xdr:from>
    <xdr:to>
      <xdr:col>50</xdr:col>
      <xdr:colOff>47359</xdr:colOff>
      <xdr:row>15</xdr:row>
      <xdr:rowOff>272305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2C2B22B-5940-468A-A870-BFB3F2B0C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251733</xdr:colOff>
      <xdr:row>15</xdr:row>
      <xdr:rowOff>469446</xdr:rowOff>
    </xdr:from>
    <xdr:to>
      <xdr:col>50</xdr:col>
      <xdr:colOff>47359</xdr:colOff>
      <xdr:row>21</xdr:row>
      <xdr:rowOff>143035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C14019-654B-4898-8968-77A580164C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51</xdr:col>
      <xdr:colOff>0</xdr:colOff>
      <xdr:row>4</xdr:row>
      <xdr:rowOff>0</xdr:rowOff>
    </xdr:from>
    <xdr:to>
      <xdr:col>57</xdr:col>
      <xdr:colOff>445228</xdr:colOff>
      <xdr:row>11</xdr:row>
      <xdr:rowOff>122773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577421-284F-4437-94C4-B3E3B84B7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50</xdr:col>
      <xdr:colOff>554182</xdr:colOff>
      <xdr:row>12</xdr:row>
      <xdr:rowOff>173181</xdr:rowOff>
    </xdr:from>
    <xdr:to>
      <xdr:col>57</xdr:col>
      <xdr:colOff>358638</xdr:colOff>
      <xdr:row>19</xdr:row>
      <xdr:rowOff>105452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819712D-EDD1-417F-B366-BAB791214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201590</xdr:colOff>
      <xdr:row>1</xdr:row>
      <xdr:rowOff>38689</xdr:rowOff>
    </xdr:from>
    <xdr:to>
      <xdr:col>25</xdr:col>
      <xdr:colOff>643555</xdr:colOff>
      <xdr:row>9</xdr:row>
      <xdr:rowOff>379029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91866-3268-458A-BC8D-79F7A61A6E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208305</xdr:colOff>
      <xdr:row>9</xdr:row>
      <xdr:rowOff>496460</xdr:rowOff>
    </xdr:from>
    <xdr:to>
      <xdr:col>26</xdr:col>
      <xdr:colOff>3930</xdr:colOff>
      <xdr:row>14</xdr:row>
      <xdr:rowOff>564656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022619-AFF8-4CD6-9393-C9A7DF54F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211854</xdr:colOff>
      <xdr:row>14</xdr:row>
      <xdr:rowOff>655998</xdr:rowOff>
    </xdr:from>
    <xdr:to>
      <xdr:col>26</xdr:col>
      <xdr:colOff>7479</xdr:colOff>
      <xdr:row>23</xdr:row>
      <xdr:rowOff>64248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6952CC-D1CE-49A1-8C3F-E10E13386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0</xdr:colOff>
      <xdr:row>25</xdr:row>
      <xdr:rowOff>0</xdr:rowOff>
    </xdr:from>
    <xdr:to>
      <xdr:col>25</xdr:col>
      <xdr:colOff>531959</xdr:colOff>
      <xdr:row>39</xdr:row>
      <xdr:rowOff>74839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01609C0-D24B-DB93-3460-AB6604E4F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87769" y="6674304"/>
          <a:ext cx="3763656" cy="2646589"/>
        </a:xfrm>
        <a:prstGeom prst="rect">
          <a:avLst/>
        </a:prstGeom>
      </xdr:spPr>
    </xdr:pic>
    <xdr:clientData/>
  </xdr:twoCellAnchor>
  <xdr:twoCellAnchor>
    <xdr:from>
      <xdr:col>43</xdr:col>
      <xdr:colOff>254551</xdr:colOff>
      <xdr:row>25</xdr:row>
      <xdr:rowOff>52934</xdr:rowOff>
    </xdr:from>
    <xdr:to>
      <xdr:col>50</xdr:col>
      <xdr:colOff>354849</xdr:colOff>
      <xdr:row>40</xdr:row>
      <xdr:rowOff>148982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8E4C43-65AD-4942-AD73-E14A5E8B3E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203277</xdr:colOff>
      <xdr:row>26</xdr:row>
      <xdr:rowOff>34847</xdr:rowOff>
    </xdr:from>
    <xdr:to>
      <xdr:col>25</xdr:col>
      <xdr:colOff>540136</xdr:colOff>
      <xdr:row>26</xdr:row>
      <xdr:rowOff>34847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E8650F1-064F-C802-24CD-01CABB03D4D3}"/>
            </a:ext>
          </a:extLst>
        </xdr:cNvPr>
        <xdr:cNvCxnSpPr/>
      </xdr:nvCxnSpPr>
      <xdr:spPr>
        <a:xfrm flipH="1">
          <a:off x="12277957" y="6899817"/>
          <a:ext cx="420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389139</xdr:colOff>
      <xdr:row>24</xdr:row>
      <xdr:rowOff>133582</xdr:rowOff>
    </xdr:from>
    <xdr:to>
      <xdr:col>24</xdr:col>
      <xdr:colOff>389139</xdr:colOff>
      <xdr:row>38</xdr:row>
      <xdr:rowOff>121967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CAD092D-9D96-2E09-9F83-6399C3200A24}"/>
            </a:ext>
          </a:extLst>
        </xdr:cNvPr>
        <xdr:cNvCxnSpPr/>
      </xdr:nvCxnSpPr>
      <xdr:spPr>
        <a:xfrm flipH="1">
          <a:off x="15687218" y="6638460"/>
          <a:ext cx="0" cy="25090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360589</xdr:colOff>
      <xdr:row>1</xdr:row>
      <xdr:rowOff>34018</xdr:rowOff>
    </xdr:from>
    <xdr:to>
      <xdr:col>50</xdr:col>
      <xdr:colOff>156216</xdr:colOff>
      <xdr:row>9</xdr:row>
      <xdr:rowOff>374358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13FC1BA-72D6-4CB8-80F7-5C737D26A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353785</xdr:colOff>
      <xdr:row>9</xdr:row>
      <xdr:rowOff>496661</xdr:rowOff>
    </xdr:from>
    <xdr:to>
      <xdr:col>50</xdr:col>
      <xdr:colOff>149410</xdr:colOff>
      <xdr:row>14</xdr:row>
      <xdr:rowOff>564857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74CE2DD-7E93-4FB5-B91E-B4DF1FD7B2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367392</xdr:colOff>
      <xdr:row>14</xdr:row>
      <xdr:rowOff>687161</xdr:rowOff>
    </xdr:from>
    <xdr:to>
      <xdr:col>50</xdr:col>
      <xdr:colOff>163017</xdr:colOff>
      <xdr:row>23</xdr:row>
      <xdr:rowOff>95411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CC36BD0-D11E-46C1-B327-C36A62563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605519</xdr:colOff>
      <xdr:row>0</xdr:row>
      <xdr:rowOff>129268</xdr:rowOff>
    </xdr:from>
    <xdr:to>
      <xdr:col>57</xdr:col>
      <xdr:colOff>440008</xdr:colOff>
      <xdr:row>9</xdr:row>
      <xdr:rowOff>929946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9182319-F554-4105-8FE3-91DF55AD1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0</xdr:colOff>
      <xdr:row>11</xdr:row>
      <xdr:rowOff>0</xdr:rowOff>
    </xdr:from>
    <xdr:to>
      <xdr:col>57</xdr:col>
      <xdr:colOff>480829</xdr:colOff>
      <xdr:row>19</xdr:row>
      <xdr:rowOff>167947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7F2371E-8363-426F-9F78-BE0F14E244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404211</xdr:colOff>
      <xdr:row>1</xdr:row>
      <xdr:rowOff>3986</xdr:rowOff>
    </xdr:from>
    <xdr:to>
      <xdr:col>26</xdr:col>
      <xdr:colOff>199837</xdr:colOff>
      <xdr:row>8</xdr:row>
      <xdr:rowOff>453183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EF5779-D814-4C40-A67B-FD9B2106D7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399881</xdr:colOff>
      <xdr:row>8</xdr:row>
      <xdr:rowOff>597115</xdr:rowOff>
    </xdr:from>
    <xdr:to>
      <xdr:col>26</xdr:col>
      <xdr:colOff>195506</xdr:colOff>
      <xdr:row>14</xdr:row>
      <xdr:rowOff>488418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75CB8B-5339-4238-B423-F14E3921F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397562</xdr:colOff>
      <xdr:row>14</xdr:row>
      <xdr:rowOff>633224</xdr:rowOff>
    </xdr:from>
    <xdr:to>
      <xdr:col>26</xdr:col>
      <xdr:colOff>193187</xdr:colOff>
      <xdr:row>23</xdr:row>
      <xdr:rowOff>34671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3C8306-1917-4B65-AA9C-0CFCBAA02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496288</xdr:colOff>
      <xdr:row>2</xdr:row>
      <xdr:rowOff>65754</xdr:rowOff>
    </xdr:from>
    <xdr:to>
      <xdr:col>57</xdr:col>
      <xdr:colOff>330779</xdr:colOff>
      <xdr:row>10</xdr:row>
      <xdr:rowOff>233699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E2C476-8B11-409F-9708-11BDE03348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37</xdr:col>
      <xdr:colOff>173182</xdr:colOff>
      <xdr:row>20</xdr:row>
      <xdr:rowOff>84636</xdr:rowOff>
    </xdr:from>
    <xdr:to>
      <xdr:col>41</xdr:col>
      <xdr:colOff>519545</xdr:colOff>
      <xdr:row>33</xdr:row>
      <xdr:rowOff>25041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110E9C4-421E-DFD9-5514-D48CC3A68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556933" y="5877569"/>
          <a:ext cx="3013363" cy="2304336"/>
        </a:xfrm>
        <a:prstGeom prst="rect">
          <a:avLst/>
        </a:prstGeom>
      </xdr:spPr>
    </xdr:pic>
    <xdr:clientData/>
  </xdr:twoCellAnchor>
  <xdr:twoCellAnchor>
    <xdr:from>
      <xdr:col>43</xdr:col>
      <xdr:colOff>244929</xdr:colOff>
      <xdr:row>1</xdr:row>
      <xdr:rowOff>68036</xdr:rowOff>
    </xdr:from>
    <xdr:to>
      <xdr:col>50</xdr:col>
      <xdr:colOff>40555</xdr:colOff>
      <xdr:row>8</xdr:row>
      <xdr:rowOff>517233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C826F69-FD73-42DC-ACD7-B8A2F5F24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224518</xdr:colOff>
      <xdr:row>8</xdr:row>
      <xdr:rowOff>632733</xdr:rowOff>
    </xdr:from>
    <xdr:to>
      <xdr:col>50</xdr:col>
      <xdr:colOff>20143</xdr:colOff>
      <xdr:row>14</xdr:row>
      <xdr:rowOff>524036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19DB00-503D-4729-8751-87A0C352D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258535</xdr:colOff>
      <xdr:row>14</xdr:row>
      <xdr:rowOff>653142</xdr:rowOff>
    </xdr:from>
    <xdr:to>
      <xdr:col>50</xdr:col>
      <xdr:colOff>54160</xdr:colOff>
      <xdr:row>23</xdr:row>
      <xdr:rowOff>54589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1577FFA-9A72-420C-8A2E-1C4637215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50</xdr:col>
      <xdr:colOff>517071</xdr:colOff>
      <xdr:row>11</xdr:row>
      <xdr:rowOff>156482</xdr:rowOff>
    </xdr:from>
    <xdr:to>
      <xdr:col>57</xdr:col>
      <xdr:colOff>351562</xdr:colOff>
      <xdr:row>20</xdr:row>
      <xdr:rowOff>18267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98C248-899C-4E83-99CC-389FF5C30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449036</xdr:colOff>
      <xdr:row>24</xdr:row>
      <xdr:rowOff>87209</xdr:rowOff>
    </xdr:from>
    <xdr:to>
      <xdr:col>50</xdr:col>
      <xdr:colOff>537716</xdr:colOff>
      <xdr:row>39</xdr:row>
      <xdr:rowOff>124845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7978013-4821-437B-9734-B9F61C35BF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547087</xdr:colOff>
      <xdr:row>2</xdr:row>
      <xdr:rowOff>3069</xdr:rowOff>
    </xdr:from>
    <xdr:to>
      <xdr:col>26</xdr:col>
      <xdr:colOff>342712</xdr:colOff>
      <xdr:row>9</xdr:row>
      <xdr:rowOff>361744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AB325C-4386-9281-0F3F-2D7BD2FA2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547087</xdr:colOff>
      <xdr:row>9</xdr:row>
      <xdr:rowOff>501861</xdr:rowOff>
    </xdr:from>
    <xdr:to>
      <xdr:col>26</xdr:col>
      <xdr:colOff>342712</xdr:colOff>
      <xdr:row>14</xdr:row>
      <xdr:rowOff>406771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E7CA7AE-6847-410C-8BA6-903DF2EBBA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560850</xdr:colOff>
      <xdr:row>14</xdr:row>
      <xdr:rowOff>578796</xdr:rowOff>
    </xdr:from>
    <xdr:to>
      <xdr:col>26</xdr:col>
      <xdr:colOff>356475</xdr:colOff>
      <xdr:row>21</xdr:row>
      <xdr:rowOff>116315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967CE2-6E77-4488-AFDA-C4EDB33BD4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51</xdr:col>
      <xdr:colOff>287467</xdr:colOff>
      <xdr:row>1</xdr:row>
      <xdr:rowOff>163379</xdr:rowOff>
    </xdr:from>
    <xdr:to>
      <xdr:col>58</xdr:col>
      <xdr:colOff>86354</xdr:colOff>
      <xdr:row>9</xdr:row>
      <xdr:rowOff>980116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900A42-9F97-F904-23CB-9FF97B4DF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51</xdr:col>
      <xdr:colOff>233858</xdr:colOff>
      <xdr:row>10</xdr:row>
      <xdr:rowOff>132110</xdr:rowOff>
    </xdr:from>
    <xdr:to>
      <xdr:col>58</xdr:col>
      <xdr:colOff>32745</xdr:colOff>
      <xdr:row>17</xdr:row>
      <xdr:rowOff>203602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73737F-C591-4D05-A556-95C7EC2229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36</xdr:col>
      <xdr:colOff>607583</xdr:colOff>
      <xdr:row>21</xdr:row>
      <xdr:rowOff>147118</xdr:rowOff>
    </xdr:from>
    <xdr:to>
      <xdr:col>42</xdr:col>
      <xdr:colOff>349632</xdr:colOff>
      <xdr:row>35</xdr:row>
      <xdr:rowOff>109820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CB3AA31-9AD9-77D3-3017-909BF8060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3749805" y="6647049"/>
          <a:ext cx="3604966" cy="2555619"/>
        </a:xfrm>
        <a:prstGeom prst="rect">
          <a:avLst/>
        </a:prstGeom>
      </xdr:spPr>
    </xdr:pic>
    <xdr:clientData/>
  </xdr:twoCellAnchor>
  <xdr:twoCellAnchor>
    <xdr:from>
      <xdr:col>43</xdr:col>
      <xdr:colOff>469143</xdr:colOff>
      <xdr:row>2</xdr:row>
      <xdr:rowOff>120841</xdr:rowOff>
    </xdr:from>
    <xdr:to>
      <xdr:col>50</xdr:col>
      <xdr:colOff>264767</xdr:colOff>
      <xdr:row>9</xdr:row>
      <xdr:rowOff>475599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8CB6B3-0467-4BD8-AC4B-FFF8AB9A1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454926</xdr:colOff>
      <xdr:row>9</xdr:row>
      <xdr:rowOff>632630</xdr:rowOff>
    </xdr:from>
    <xdr:to>
      <xdr:col>50</xdr:col>
      <xdr:colOff>250550</xdr:colOff>
      <xdr:row>14</xdr:row>
      <xdr:rowOff>537540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B378A8-B88B-4302-8864-CEA5049B5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43</xdr:col>
      <xdr:colOff>440709</xdr:colOff>
      <xdr:row>14</xdr:row>
      <xdr:rowOff>682388</xdr:rowOff>
    </xdr:from>
    <xdr:to>
      <xdr:col>50</xdr:col>
      <xdr:colOff>236333</xdr:colOff>
      <xdr:row>22</xdr:row>
      <xdr:rowOff>42201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9D1B06-2808-415E-809A-798A45C12F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51</xdr:col>
      <xdr:colOff>445940</xdr:colOff>
      <xdr:row>20</xdr:row>
      <xdr:rowOff>158562</xdr:rowOff>
    </xdr:from>
    <xdr:to>
      <xdr:col>58</xdr:col>
      <xdr:colOff>534621</xdr:colOff>
      <xdr:row>36</xdr:row>
      <xdr:rowOff>14357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6B12AD1F-C5A8-317A-E5C3-C6F33946F8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42854-F9EF-4F51-930F-1924F1359A8C}">
  <dimension ref="B2:AQ42"/>
  <sheetViews>
    <sheetView tabSelected="1" zoomScale="70" zoomScaleNormal="70" workbookViewId="0">
      <selection activeCell="I16" sqref="I16"/>
    </sheetView>
  </sheetViews>
  <sheetFormatPr defaultColWidth="9" defaultRowHeight="14.25" x14ac:dyDescent="0.45"/>
  <cols>
    <col min="1" max="1" width="9" style="1"/>
    <col min="2" max="2" width="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.398437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7" width="9" style="1"/>
    <col min="28" max="29" width="13.1328125" style="1" customWidth="1"/>
    <col min="30" max="16384" width="9" style="1"/>
  </cols>
  <sheetData>
    <row r="2" spans="2:43" ht="18" customHeight="1" x14ac:dyDescent="0.45">
      <c r="C2" s="59" t="s">
        <v>16</v>
      </c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2"/>
      <c r="P2" s="58" t="s">
        <v>11</v>
      </c>
      <c r="Q2" s="58"/>
      <c r="R2" s="58"/>
      <c r="S2" s="58"/>
      <c r="AE2" s="58" t="s">
        <v>55</v>
      </c>
      <c r="AF2" s="58"/>
      <c r="AG2" s="58"/>
      <c r="AH2" s="58"/>
      <c r="AI2" s="58"/>
      <c r="AJ2" s="58"/>
      <c r="AL2" s="59" t="s">
        <v>56</v>
      </c>
      <c r="AM2" s="60"/>
      <c r="AN2" s="60"/>
      <c r="AO2" s="60"/>
      <c r="AP2" s="60"/>
      <c r="AQ2" s="60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42</v>
      </c>
      <c r="M3" s="7" t="s">
        <v>43</v>
      </c>
      <c r="N3" s="7" t="s">
        <v>44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L3" s="7" t="s">
        <v>13</v>
      </c>
      <c r="AM3" s="6" t="s">
        <v>11</v>
      </c>
      <c r="AN3" s="6" t="s">
        <v>40</v>
      </c>
      <c r="AO3" s="6" t="s">
        <v>44</v>
      </c>
      <c r="AP3" s="6" t="s">
        <v>49</v>
      </c>
      <c r="AQ3" s="6" t="s">
        <v>47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4" t="s">
        <v>45</v>
      </c>
      <c r="M4" s="24" t="s">
        <v>45</v>
      </c>
      <c r="N4" s="24" t="s">
        <v>46</v>
      </c>
      <c r="O4" s="2"/>
      <c r="P4" s="2" t="s">
        <v>8</v>
      </c>
      <c r="Q4" s="2" t="s">
        <v>8</v>
      </c>
      <c r="R4" s="2" t="s">
        <v>8</v>
      </c>
      <c r="S4" s="2" t="s">
        <v>17</v>
      </c>
      <c r="AE4" s="2" t="s">
        <v>41</v>
      </c>
      <c r="AF4" s="2" t="s">
        <v>41</v>
      </c>
      <c r="AG4" s="2" t="s">
        <v>41</v>
      </c>
      <c r="AH4" s="2" t="s">
        <v>41</v>
      </c>
      <c r="AI4" s="2" t="s">
        <v>41</v>
      </c>
      <c r="AJ4" s="2" t="s">
        <v>41</v>
      </c>
      <c r="AL4" s="29" t="s">
        <v>15</v>
      </c>
      <c r="AM4" s="4" t="s">
        <v>17</v>
      </c>
      <c r="AN4" s="4" t="s">
        <v>41</v>
      </c>
      <c r="AO4" s="19" t="s">
        <v>17</v>
      </c>
      <c r="AP4" s="19" t="s">
        <v>14</v>
      </c>
      <c r="AQ4" s="19" t="s">
        <v>48</v>
      </c>
    </row>
    <row r="5" spans="2:43" ht="21.85" customHeight="1" x14ac:dyDescent="0.45">
      <c r="B5" s="61" t="s">
        <v>29</v>
      </c>
      <c r="C5" s="4" t="s">
        <v>10</v>
      </c>
      <c r="D5" s="4" t="s">
        <v>5</v>
      </c>
      <c r="E5" s="4">
        <v>3577</v>
      </c>
      <c r="F5" s="3">
        <v>939.61803067669177</v>
      </c>
      <c r="G5" s="4">
        <v>5493.2</v>
      </c>
      <c r="H5" s="4">
        <f>G5-E5</f>
        <v>1916.1999999999998</v>
      </c>
      <c r="I5" s="9">
        <f>S5</f>
        <v>7.6316350458324425E-2</v>
      </c>
      <c r="J5" s="4">
        <f>H5/F5</f>
        <v>2.0393393245338167</v>
      </c>
      <c r="K5" s="4">
        <f>J5/(1+I5)</f>
        <v>1.8947397051669903</v>
      </c>
      <c r="L5" s="17">
        <v>2.65</v>
      </c>
      <c r="M5" s="17">
        <f>L5/K5-1</f>
        <v>0.398608997728501</v>
      </c>
      <c r="N5" s="20">
        <f>(I5)*(L5/M5)</f>
        <v>0.50736016965755371</v>
      </c>
      <c r="O5" s="2"/>
      <c r="P5" s="4">
        <v>18.78</v>
      </c>
      <c r="Q5" s="4">
        <v>69.27</v>
      </c>
      <c r="R5" s="4">
        <v>65.69</v>
      </c>
      <c r="S5" s="8">
        <f>((Q5-P5)-(R5-P5))/(R5-P5)</f>
        <v>7.6316350458324425E-2</v>
      </c>
      <c r="AB5" s="62" t="s">
        <v>33</v>
      </c>
      <c r="AC5" s="62"/>
      <c r="AE5" s="26">
        <v>2.5586437235105564E-3</v>
      </c>
      <c r="AF5" s="26">
        <v>2.4023906716941212E-3</v>
      </c>
      <c r="AG5" s="26">
        <v>2.597706986463777E-3</v>
      </c>
      <c r="AH5" s="26">
        <v>2.5391120920374988E-3</v>
      </c>
      <c r="AI5" s="26">
        <v>2.5586437235105564E-3</v>
      </c>
      <c r="AJ5" s="52">
        <f>AVERAGE(AE5:AI5)</f>
        <v>2.5312994394433019E-3</v>
      </c>
      <c r="AL5" s="3">
        <f>K5</f>
        <v>1.8947397051669903</v>
      </c>
      <c r="AM5" s="27">
        <f>S5</f>
        <v>7.6316350458324425E-2</v>
      </c>
      <c r="AN5" s="3">
        <f>AJ5</f>
        <v>2.5312994394433019E-3</v>
      </c>
      <c r="AO5" s="43">
        <f>N5</f>
        <v>0.50736016965755371</v>
      </c>
      <c r="AP5" s="44">
        <v>0.34200000000000003</v>
      </c>
      <c r="AQ5" s="44">
        <v>2.5276212539384448</v>
      </c>
    </row>
    <row r="6" spans="2:43" ht="21.85" customHeight="1" x14ac:dyDescent="0.45">
      <c r="B6" s="61"/>
      <c r="C6" s="4" t="s">
        <v>10</v>
      </c>
      <c r="D6" s="4" t="s">
        <v>6</v>
      </c>
      <c r="E6" s="4">
        <v>3550.8</v>
      </c>
      <c r="F6" s="3">
        <v>939.61803067669177</v>
      </c>
      <c r="G6" s="4">
        <v>5543.4</v>
      </c>
      <c r="H6" s="4">
        <f t="shared" ref="H6:H20" si="0">G6-E6</f>
        <v>1992.5999999999995</v>
      </c>
      <c r="I6" s="9">
        <f t="shared" ref="I6:I20" si="1">S6</f>
        <v>9.6030729833546741E-2</v>
      </c>
      <c r="J6" s="4">
        <f t="shared" ref="J6:J20" si="2">H6/F6</f>
        <v>2.1206489604770291</v>
      </c>
      <c r="K6" s="4">
        <f t="shared" ref="K6:K20" si="3">J6/(1+I6)</f>
        <v>1.9348444370707474</v>
      </c>
      <c r="L6" s="17">
        <v>2.65</v>
      </c>
      <c r="M6" s="17">
        <f>L6/K6-1</f>
        <v>0.36961915347156293</v>
      </c>
      <c r="N6" s="20">
        <f t="shared" ref="N6:N15" si="4">(I6)*(L6/M6)</f>
        <v>0.68849633918789233</v>
      </c>
      <c r="O6" s="2"/>
      <c r="P6" s="4">
        <v>17.87</v>
      </c>
      <c r="Q6" s="4">
        <v>60.67</v>
      </c>
      <c r="R6" s="4">
        <v>56.92</v>
      </c>
      <c r="S6" s="8">
        <f>((Q6-P6)-(R6-P6))/(R6-P6)</f>
        <v>9.6030729833546741E-2</v>
      </c>
      <c r="AB6" s="6" t="s">
        <v>31</v>
      </c>
      <c r="AC6" s="6" t="s">
        <v>32</v>
      </c>
      <c r="AE6" s="26">
        <v>2.031289673626091E-3</v>
      </c>
      <c r="AF6" s="26">
        <v>1.8945682532844899E-3</v>
      </c>
      <c r="AG6" s="26">
        <v>1.8750366218114323E-3</v>
      </c>
      <c r="AH6" s="26">
        <v>1.8945682532915953E-3</v>
      </c>
      <c r="AI6" s="26">
        <v>1.8945682532915953E-3</v>
      </c>
      <c r="AJ6" s="52">
        <f t="shared" ref="AJ6:AJ20" si="5">AVERAGE(AE6:AI6)</f>
        <v>1.9180062110610407E-3</v>
      </c>
      <c r="AL6" s="3">
        <f t="shared" ref="AL6:AL20" si="6">K6</f>
        <v>1.9348444370707474</v>
      </c>
      <c r="AM6" s="27">
        <f t="shared" ref="AM6:AM20" si="7">S6</f>
        <v>9.6030729833546741E-2</v>
      </c>
      <c r="AN6" s="3">
        <f t="shared" ref="AN6:AN9" si="8">AJ6</f>
        <v>1.9180062110610407E-3</v>
      </c>
      <c r="AO6" s="43">
        <f t="shared" ref="AO6:AO9" si="9">N6</f>
        <v>0.68849633918789233</v>
      </c>
      <c r="AP6" s="44">
        <v>0.34200000000000003</v>
      </c>
      <c r="AQ6" s="44">
        <v>23.641659094985162</v>
      </c>
    </row>
    <row r="7" spans="2:43" ht="21.85" customHeight="1" x14ac:dyDescent="0.45">
      <c r="B7" s="61"/>
      <c r="C7" s="4" t="s">
        <v>10</v>
      </c>
      <c r="D7" s="4" t="s">
        <v>7</v>
      </c>
      <c r="E7" s="4">
        <v>3564.6</v>
      </c>
      <c r="F7" s="3">
        <v>939.61803067669177</v>
      </c>
      <c r="G7" s="4">
        <v>5632.8</v>
      </c>
      <c r="H7" s="4">
        <f t="shared" si="0"/>
        <v>2068.2000000000003</v>
      </c>
      <c r="I7" s="9">
        <f t="shared" si="1"/>
        <v>0.11954206602768888</v>
      </c>
      <c r="J7" s="4">
        <f t="shared" si="2"/>
        <v>2.2011071866197898</v>
      </c>
      <c r="K7" s="4">
        <f t="shared" si="3"/>
        <v>1.9660781433873795</v>
      </c>
      <c r="L7" s="17">
        <v>2.65</v>
      </c>
      <c r="M7" s="17">
        <f t="shared" ref="M7:M9" si="10">L7/K7-1</f>
        <v>0.34786097333561883</v>
      </c>
      <c r="N7" s="20">
        <f t="shared" si="4"/>
        <v>0.91066977688163253</v>
      </c>
      <c r="O7" s="2"/>
      <c r="P7" s="4">
        <v>17.45</v>
      </c>
      <c r="Q7" s="4">
        <v>59.5</v>
      </c>
      <c r="R7" s="4">
        <v>55.01</v>
      </c>
      <c r="S7" s="8">
        <f>((Q7-P7)-(R7-P7))/(R7-P7)</f>
        <v>0.11954206602768888</v>
      </c>
      <c r="AB7" s="20">
        <v>0.112</v>
      </c>
      <c r="AC7" s="25">
        <v>1.9650000000000001</v>
      </c>
      <c r="AE7" s="26">
        <v>2.1680110939659158E-3</v>
      </c>
      <c r="AF7" s="26">
        <v>2.1875427254443025E-3</v>
      </c>
      <c r="AG7" s="26">
        <v>2.1094161995343086E-3</v>
      </c>
      <c r="AH7" s="26">
        <v>2.1094161995378613E-3</v>
      </c>
      <c r="AI7" s="26">
        <v>2.0898845680576983E-3</v>
      </c>
      <c r="AJ7" s="52">
        <f t="shared" si="5"/>
        <v>2.1328541573080173E-3</v>
      </c>
      <c r="AL7" s="3">
        <f t="shared" si="6"/>
        <v>1.9660781433873795</v>
      </c>
      <c r="AM7" s="27">
        <f t="shared" si="7"/>
        <v>0.11954206602768888</v>
      </c>
      <c r="AN7" s="3">
        <f t="shared" si="8"/>
        <v>2.1328541573080173E-3</v>
      </c>
      <c r="AO7" s="43">
        <f t="shared" si="9"/>
        <v>0.91066977688163253</v>
      </c>
      <c r="AP7" s="3">
        <v>0.34399999999999997</v>
      </c>
      <c r="AQ7" s="44">
        <v>10.792218901392721</v>
      </c>
    </row>
    <row r="8" spans="2:43" ht="21.85" customHeight="1" x14ac:dyDescent="0.45">
      <c r="B8" s="61"/>
      <c r="C8" s="4" t="s">
        <v>10</v>
      </c>
      <c r="D8" s="4" t="s">
        <v>27</v>
      </c>
      <c r="E8" s="4">
        <v>3595.2</v>
      </c>
      <c r="F8" s="3">
        <v>939.61803067669177</v>
      </c>
      <c r="G8" s="4">
        <v>5676.8</v>
      </c>
      <c r="H8" s="4">
        <f>G8-E8</f>
        <v>2081.6000000000004</v>
      </c>
      <c r="I8" s="9">
        <f t="shared" si="1"/>
        <v>0.13162271323354713</v>
      </c>
      <c r="J8" s="4">
        <f t="shared" si="2"/>
        <v>2.215368300777369</v>
      </c>
      <c r="K8" s="4">
        <f t="shared" si="3"/>
        <v>1.9576916183018995</v>
      </c>
      <c r="L8" s="17">
        <v>2.65</v>
      </c>
      <c r="M8" s="17">
        <f t="shared" si="10"/>
        <v>0.35363505427816477</v>
      </c>
      <c r="N8" s="20">
        <f t="shared" si="4"/>
        <v>0.98632809685925016</v>
      </c>
      <c r="O8" s="2"/>
      <c r="P8" s="4">
        <v>17.899999999999999</v>
      </c>
      <c r="Q8" s="4">
        <v>65.53</v>
      </c>
      <c r="R8" s="4">
        <v>59.99</v>
      </c>
      <c r="S8" s="8">
        <f>((Q8-P8)-(R8-P8))/(R8-P8)</f>
        <v>0.13162271323354713</v>
      </c>
      <c r="AE8" s="26">
        <v>2.7148967753269915E-3</v>
      </c>
      <c r="AF8" s="26">
        <v>2.6367702494169976E-3</v>
      </c>
      <c r="AG8" s="26">
        <v>2.597706986463777E-3</v>
      </c>
      <c r="AH8" s="26">
        <v>2.5781753549836139E-3</v>
      </c>
      <c r="AI8" s="26">
        <v>2.636770249424103E-3</v>
      </c>
      <c r="AJ8" s="52">
        <f t="shared" si="5"/>
        <v>2.6328639231230967E-3</v>
      </c>
      <c r="AL8" s="3">
        <f t="shared" si="6"/>
        <v>1.9576916183018995</v>
      </c>
      <c r="AM8" s="27">
        <f t="shared" si="7"/>
        <v>0.13162271323354713</v>
      </c>
      <c r="AN8" s="3">
        <f t="shared" si="8"/>
        <v>2.6328639231230967E-3</v>
      </c>
      <c r="AO8" s="43">
        <f t="shared" si="9"/>
        <v>0.98632809685925016</v>
      </c>
      <c r="AP8" s="3">
        <v>0.34399999999999997</v>
      </c>
      <c r="AQ8" s="44">
        <v>1.7429536490818622</v>
      </c>
    </row>
    <row r="9" spans="2:43" ht="21.85" customHeight="1" x14ac:dyDescent="0.45">
      <c r="B9" s="61"/>
      <c r="C9" s="4" t="s">
        <v>10</v>
      </c>
      <c r="D9" s="4" t="s">
        <v>5</v>
      </c>
      <c r="E9" s="4">
        <v>3577</v>
      </c>
      <c r="F9" s="3">
        <v>939.61803067669177</v>
      </c>
      <c r="G9" s="4">
        <v>5614.8</v>
      </c>
      <c r="H9" s="4">
        <f>G9-E9</f>
        <v>2037.8000000000002</v>
      </c>
      <c r="I9" s="9">
        <f>S9</f>
        <v>0.14385679414157856</v>
      </c>
      <c r="J9" s="4">
        <f>H9/F9</f>
        <v>2.1687536142025952</v>
      </c>
      <c r="K9" s="4">
        <f>J9/(1+I9)</f>
        <v>1.8960009900803738</v>
      </c>
      <c r="L9" s="17">
        <v>2.65</v>
      </c>
      <c r="M9" s="17">
        <f t="shared" si="10"/>
        <v>0.39767859503473324</v>
      </c>
      <c r="N9" s="20">
        <f t="shared" si="4"/>
        <v>0.95861459287716344</v>
      </c>
      <c r="O9" s="2"/>
      <c r="P9" s="4">
        <v>19.11</v>
      </c>
      <c r="Q9" s="4">
        <v>89.4</v>
      </c>
      <c r="R9" s="4">
        <v>80.56</v>
      </c>
      <c r="S9" s="8">
        <f>((Q9-P9)-(R9-P9))/(R9-P9)</f>
        <v>0.14385679414157856</v>
      </c>
      <c r="AE9" s="26">
        <v>2.0898845680576983E-3</v>
      </c>
      <c r="AF9" s="26">
        <v>2.0508213051044777E-3</v>
      </c>
      <c r="AG9" s="26">
        <v>2.0117580421512571E-3</v>
      </c>
      <c r="AH9" s="26">
        <v>2.0703529365775353E-3</v>
      </c>
      <c r="AI9" s="26">
        <v>2.0508213051044777E-3</v>
      </c>
      <c r="AJ9" s="52">
        <f t="shared" si="5"/>
        <v>2.0547276313990894E-3</v>
      </c>
      <c r="AL9" s="32">
        <f t="shared" si="6"/>
        <v>1.8960009900803738</v>
      </c>
      <c r="AM9" s="46">
        <f t="shared" si="7"/>
        <v>0.14385679414157856</v>
      </c>
      <c r="AN9" s="32">
        <f t="shared" si="8"/>
        <v>2.0547276313990894E-3</v>
      </c>
      <c r="AO9" s="43">
        <f t="shared" si="9"/>
        <v>0.95861459287716344</v>
      </c>
      <c r="AP9" s="3">
        <v>0.34399999999999997</v>
      </c>
      <c r="AQ9" s="44">
        <v>14.349388285701364</v>
      </c>
    </row>
    <row r="10" spans="2:43" ht="64.900000000000006" customHeight="1" x14ac:dyDescent="0.45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2"/>
      <c r="Q10" s="2"/>
      <c r="R10" s="2"/>
      <c r="S10" s="12"/>
      <c r="AJ10" s="53"/>
      <c r="AL10" s="34"/>
      <c r="AM10" s="35"/>
      <c r="AN10" s="34"/>
      <c r="AQ10" s="45"/>
    </row>
    <row r="11" spans="2:43" ht="21.85" customHeight="1" x14ac:dyDescent="0.45">
      <c r="B11" s="61" t="s">
        <v>26</v>
      </c>
      <c r="C11" s="4" t="s">
        <v>26</v>
      </c>
      <c r="D11" s="4" t="s">
        <v>1</v>
      </c>
      <c r="E11" s="4">
        <v>3579</v>
      </c>
      <c r="F11" s="3">
        <v>939.61803067669177</v>
      </c>
      <c r="G11" s="4">
        <v>5582.2</v>
      </c>
      <c r="H11" s="4">
        <f t="shared" si="0"/>
        <v>2003.1999999999998</v>
      </c>
      <c r="I11" s="9">
        <f t="shared" si="1"/>
        <v>5.7142857142856933E-2</v>
      </c>
      <c r="J11" s="4">
        <f t="shared" si="2"/>
        <v>2.1319301403330249</v>
      </c>
      <c r="K11" s="4">
        <f t="shared" si="3"/>
        <v>2.016690673287997</v>
      </c>
      <c r="L11" s="17">
        <v>2.65</v>
      </c>
      <c r="M11" s="17">
        <f>L11/K11-1</f>
        <v>0.31403394437256971</v>
      </c>
      <c r="N11" s="20">
        <f>(I11)*(L11/M11)</f>
        <v>0.48220446910960713</v>
      </c>
      <c r="O11" s="2"/>
      <c r="P11" s="4">
        <v>18.989999999999998</v>
      </c>
      <c r="Q11" s="4">
        <v>52.29</v>
      </c>
      <c r="R11" s="4">
        <v>50.49</v>
      </c>
      <c r="S11" s="10">
        <f>((Q11-P11)-(R11-P11))/(R11-P11)</f>
        <v>5.7142857142856933E-2</v>
      </c>
      <c r="AB11" s="62" t="s">
        <v>33</v>
      </c>
      <c r="AC11" s="62"/>
      <c r="AE11" s="26">
        <v>1.8555049903317133E-3</v>
      </c>
      <c r="AF11" s="26">
        <v>1.6015937811282299E-3</v>
      </c>
      <c r="AG11" s="26">
        <v>1.5625305181750093E-3</v>
      </c>
      <c r="AH11" s="26">
        <v>1.503935623738073E-3</v>
      </c>
      <c r="AI11" s="26">
        <v>1.523467255218236E-3</v>
      </c>
      <c r="AJ11" s="52">
        <f t="shared" si="5"/>
        <v>1.6094064337182524E-3</v>
      </c>
      <c r="AL11" s="33">
        <f t="shared" si="6"/>
        <v>2.016690673287997</v>
      </c>
      <c r="AM11" s="47">
        <f t="shared" si="7"/>
        <v>5.7142857142856933E-2</v>
      </c>
      <c r="AN11" s="33">
        <f>AJ11</f>
        <v>1.6094064337182524E-3</v>
      </c>
      <c r="AO11" s="43">
        <f>N11</f>
        <v>0.48220446910960713</v>
      </c>
      <c r="AP11" s="44">
        <v>0.34200000000000003</v>
      </c>
      <c r="AQ11" s="44">
        <v>72.820419249846893</v>
      </c>
    </row>
    <row r="12" spans="2:43" ht="21.85" customHeight="1" x14ac:dyDescent="0.45">
      <c r="B12" s="61"/>
      <c r="C12" s="4" t="s">
        <v>26</v>
      </c>
      <c r="D12" s="4" t="s">
        <v>2</v>
      </c>
      <c r="E12" s="4">
        <v>3573.4</v>
      </c>
      <c r="F12" s="3">
        <v>939.61803067669177</v>
      </c>
      <c r="G12" s="4">
        <v>5629.4</v>
      </c>
      <c r="H12" s="4">
        <f t="shared" si="0"/>
        <v>2055.9999999999995</v>
      </c>
      <c r="I12" s="9">
        <f t="shared" si="1"/>
        <v>6.9455103607060725E-2</v>
      </c>
      <c r="J12" s="4">
        <f t="shared" si="2"/>
        <v>2.1881231871628883</v>
      </c>
      <c r="K12" s="4">
        <f t="shared" si="3"/>
        <v>2.0460168732495467</v>
      </c>
      <c r="L12" s="17">
        <v>2.65</v>
      </c>
      <c r="M12" s="17">
        <f>L12/K12-1</f>
        <v>0.29519948473894475</v>
      </c>
      <c r="N12" s="20">
        <f t="shared" si="4"/>
        <v>0.62349710644474232</v>
      </c>
      <c r="O12" s="2"/>
      <c r="P12" s="4">
        <v>16.7</v>
      </c>
      <c r="Q12" s="4">
        <v>44.57</v>
      </c>
      <c r="R12" s="4">
        <v>42.76</v>
      </c>
      <c r="S12" s="10">
        <f>((Q12-P12)-(R12-P12))/(R12-P12)</f>
        <v>6.9455103607060725E-2</v>
      </c>
      <c r="AB12" s="6" t="s">
        <v>31</v>
      </c>
      <c r="AC12" s="6" t="s">
        <v>32</v>
      </c>
      <c r="AE12" s="26">
        <v>1.4844039922654595E-3</v>
      </c>
      <c r="AF12" s="26">
        <v>1.3281509404468039E-3</v>
      </c>
      <c r="AG12" s="26">
        <v>1.2890876774953597E-3</v>
      </c>
      <c r="AH12" s="26">
        <v>1.3672142034018009E-3</v>
      </c>
      <c r="AI12" s="26">
        <v>1.289087677491807E-3</v>
      </c>
      <c r="AJ12" s="52">
        <f t="shared" si="5"/>
        <v>1.3515888982202461E-3</v>
      </c>
      <c r="AL12" s="3">
        <f t="shared" si="6"/>
        <v>2.0460168732495467</v>
      </c>
      <c r="AM12" s="27">
        <f t="shared" si="7"/>
        <v>6.9455103607060725E-2</v>
      </c>
      <c r="AN12" s="3">
        <f t="shared" ref="AN12:AN20" si="11">AJ12</f>
        <v>1.3515888982202461E-3</v>
      </c>
      <c r="AO12" s="43">
        <f t="shared" ref="AO12:AO14" si="12">N12</f>
        <v>0.62349710644474232</v>
      </c>
      <c r="AP12" s="44">
        <v>0.34200000000000003</v>
      </c>
      <c r="AQ12" s="44">
        <v>191.11743360723705</v>
      </c>
    </row>
    <row r="13" spans="2:43" ht="21.85" customHeight="1" x14ac:dyDescent="0.45">
      <c r="B13" s="61"/>
      <c r="C13" s="4" t="s">
        <v>26</v>
      </c>
      <c r="D13" s="4" t="s">
        <v>3</v>
      </c>
      <c r="E13" s="4">
        <v>3555.8</v>
      </c>
      <c r="F13" s="3">
        <v>939.61803067669177</v>
      </c>
      <c r="G13" s="4">
        <v>5668</v>
      </c>
      <c r="H13" s="4">
        <f t="shared" si="0"/>
        <v>2112.1999999999998</v>
      </c>
      <c r="I13" s="9">
        <f t="shared" si="1"/>
        <v>9.3951093951094009E-2</v>
      </c>
      <c r="J13" s="4">
        <f t="shared" si="2"/>
        <v>2.2479347256446758</v>
      </c>
      <c r="K13" s="4">
        <f t="shared" si="3"/>
        <v>2.054876802148133</v>
      </c>
      <c r="L13" s="17">
        <v>2.65</v>
      </c>
      <c r="M13" s="17">
        <f t="shared" ref="M13" si="13">L13/K13-1</f>
        <v>0.28961502569386899</v>
      </c>
      <c r="N13" s="20">
        <f t="shared" si="4"/>
        <v>0.85965981348484188</v>
      </c>
      <c r="O13" s="2"/>
      <c r="P13" s="4">
        <v>17.649999999999999</v>
      </c>
      <c r="Q13" s="4">
        <v>51.65</v>
      </c>
      <c r="R13" s="4">
        <v>48.73</v>
      </c>
      <c r="S13" s="10">
        <f>((Q13-P13)-(R13-P13))/(R13-P13)</f>
        <v>9.3951093951094009E-2</v>
      </c>
      <c r="AB13" s="20">
        <v>9.4E-2</v>
      </c>
      <c r="AC13" s="25">
        <v>2.0649999999999999</v>
      </c>
      <c r="AE13" s="26">
        <v>1.3281509404468039E-3</v>
      </c>
      <c r="AF13" s="26">
        <v>1.30861930897197E-3</v>
      </c>
      <c r="AG13" s="26">
        <v>1.30861930897197E-3</v>
      </c>
      <c r="AH13" s="26">
        <v>1.30861930897197E-3</v>
      </c>
      <c r="AI13" s="26">
        <v>1.30861930897197E-3</v>
      </c>
      <c r="AJ13" s="52">
        <f>AVERAGE(AE13:AI13)</f>
        <v>1.3125256352669369E-3</v>
      </c>
      <c r="AL13" s="3">
        <f t="shared" si="6"/>
        <v>2.054876802148133</v>
      </c>
      <c r="AM13" s="27">
        <f t="shared" si="7"/>
        <v>9.3951093951094009E-2</v>
      </c>
      <c r="AN13" s="3">
        <f t="shared" si="11"/>
        <v>1.3125256352669369E-3</v>
      </c>
      <c r="AO13" s="43">
        <f t="shared" si="12"/>
        <v>0.85965981348484188</v>
      </c>
      <c r="AP13" s="3">
        <v>0.34399999999999997</v>
      </c>
      <c r="AQ13" s="44">
        <v>221.54039519476154</v>
      </c>
    </row>
    <row r="14" spans="2:43" ht="21.85" customHeight="1" x14ac:dyDescent="0.45">
      <c r="B14" s="61"/>
      <c r="C14" s="4" t="s">
        <v>26</v>
      </c>
      <c r="D14" s="4" t="s">
        <v>4</v>
      </c>
      <c r="E14" s="4">
        <v>3981.6</v>
      </c>
      <c r="F14" s="3">
        <v>939.61803067669177</v>
      </c>
      <c r="G14" s="4">
        <v>6126</v>
      </c>
      <c r="H14" s="4">
        <f t="shared" si="0"/>
        <v>2144.4</v>
      </c>
      <c r="I14" s="9">
        <f t="shared" si="1"/>
        <v>0.10994263862332682</v>
      </c>
      <c r="J14" s="4">
        <f t="shared" si="2"/>
        <v>2.2822039701128887</v>
      </c>
      <c r="K14" s="4">
        <f t="shared" si="3"/>
        <v>2.0561458679914573</v>
      </c>
      <c r="L14" s="17">
        <v>2.65</v>
      </c>
      <c r="M14" s="17">
        <f>L14/K14-1</f>
        <v>0.28881906738875873</v>
      </c>
      <c r="N14" s="20">
        <f t="shared" si="4"/>
        <v>1.0087560872830232</v>
      </c>
      <c r="O14" s="2"/>
      <c r="P14" s="4">
        <v>18.57</v>
      </c>
      <c r="Q14" s="4">
        <v>53.4</v>
      </c>
      <c r="R14" s="4">
        <v>49.95</v>
      </c>
      <c r="S14" s="10">
        <f>((Q14-P14)-(R14-P14))/(R14-P14)</f>
        <v>0.10994263862332682</v>
      </c>
      <c r="AE14" s="26">
        <v>2.3633274087373479E-3</v>
      </c>
      <c r="AF14" s="26">
        <v>2.3242641457841273E-3</v>
      </c>
      <c r="AG14" s="26">
        <v>2.2266059883975231E-3</v>
      </c>
      <c r="AH14" s="26">
        <v>2.2852008828380121E-3</v>
      </c>
      <c r="AI14" s="26">
        <v>2.2461376198776861E-3</v>
      </c>
      <c r="AJ14" s="52">
        <f t="shared" si="5"/>
        <v>2.2891072091269392E-3</v>
      </c>
      <c r="AL14" s="32">
        <f t="shared" si="6"/>
        <v>2.0561458679914573</v>
      </c>
      <c r="AM14" s="46">
        <f t="shared" si="7"/>
        <v>0.10994263862332682</v>
      </c>
      <c r="AN14" s="32">
        <f t="shared" si="11"/>
        <v>2.2891072091269392E-3</v>
      </c>
      <c r="AO14" s="43">
        <f t="shared" si="12"/>
        <v>1.0087560872830232</v>
      </c>
      <c r="AP14" s="3">
        <v>0.34399999999999997</v>
      </c>
      <c r="AQ14" s="44">
        <v>6.1047159611294095</v>
      </c>
    </row>
    <row r="15" spans="2:43" ht="21.85" customHeight="1" x14ac:dyDescent="0.45">
      <c r="B15" s="61"/>
      <c r="C15" s="4" t="s">
        <v>26</v>
      </c>
      <c r="D15" s="4" t="s">
        <v>6</v>
      </c>
      <c r="E15" s="4">
        <v>3580.8</v>
      </c>
      <c r="F15" s="3">
        <v>939.61803067669177</v>
      </c>
      <c r="G15" s="4">
        <v>5682</v>
      </c>
      <c r="H15" s="4">
        <f>G15-E15</f>
        <v>2101.1999999999998</v>
      </c>
      <c r="I15" s="9">
        <f>S15</f>
        <v>0.13374411018484977</v>
      </c>
      <c r="J15" s="4">
        <f>H15/F15</f>
        <v>2.2362278408884544</v>
      </c>
      <c r="K15" s="4">
        <f>J15/(1+I15)</f>
        <v>1.9724273059498865</v>
      </c>
      <c r="L15" s="17">
        <v>2.65</v>
      </c>
      <c r="M15" s="17">
        <f>L15/K15-1</f>
        <v>0.34352226416973397</v>
      </c>
      <c r="N15" s="20">
        <f t="shared" si="4"/>
        <v>1.0317290288198975</v>
      </c>
      <c r="O15" s="2"/>
      <c r="P15" s="4">
        <v>16.64</v>
      </c>
      <c r="Q15" s="4">
        <v>79.2</v>
      </c>
      <c r="R15" s="4">
        <v>71.819999999999993</v>
      </c>
      <c r="S15" s="8">
        <f>((Q15-P15)-(R15-P15))/(R15-P15)</f>
        <v>0.13374411018484977</v>
      </c>
      <c r="AE15" s="26">
        <v>2.8516181956677045E-3</v>
      </c>
      <c r="AF15" s="26">
        <v>2.7344284068071545E-3</v>
      </c>
      <c r="AG15" s="26">
        <v>2.61723861794394E-3</v>
      </c>
      <c r="AH15" s="26">
        <v>2.6758335123702182E-3</v>
      </c>
      <c r="AI15" s="26">
        <v>2.7344284068036018E-3</v>
      </c>
      <c r="AJ15" s="52">
        <f t="shared" si="5"/>
        <v>2.7227094279185238E-3</v>
      </c>
      <c r="AL15" s="32">
        <f t="shared" ref="AL15" si="14">K15</f>
        <v>1.9724273059498865</v>
      </c>
      <c r="AM15" s="46">
        <f t="shared" ref="AM15" si="15">S15</f>
        <v>0.13374411018484977</v>
      </c>
      <c r="AN15" s="32">
        <f t="shared" ref="AN15" si="16">AJ15</f>
        <v>2.7227094279185238E-3</v>
      </c>
      <c r="AO15" s="48">
        <f t="shared" ref="AO15" si="17">N15</f>
        <v>1.0317290288198975</v>
      </c>
      <c r="AP15" s="3">
        <v>0.34399999999999997</v>
      </c>
      <c r="AQ15" s="54">
        <v>1.2560438454204883</v>
      </c>
    </row>
    <row r="16" spans="2:43" ht="79.5" customHeight="1" x14ac:dyDescent="0.45">
      <c r="AJ16" s="53"/>
      <c r="AL16" s="34"/>
      <c r="AM16" s="35"/>
      <c r="AN16" s="34"/>
      <c r="AO16" s="50"/>
      <c r="AP16" s="51"/>
      <c r="AQ16" s="51"/>
    </row>
    <row r="17" spans="2:43" ht="21.85" customHeight="1" x14ac:dyDescent="0.45">
      <c r="B17" s="61" t="s">
        <v>30</v>
      </c>
      <c r="C17" s="4" t="s">
        <v>28</v>
      </c>
      <c r="D17" s="4" t="s">
        <v>1</v>
      </c>
      <c r="E17" s="4">
        <v>3579</v>
      </c>
      <c r="F17" s="3">
        <v>939.61803067669177</v>
      </c>
      <c r="G17" s="4">
        <v>5621</v>
      </c>
      <c r="H17" s="4">
        <f t="shared" si="0"/>
        <v>2042</v>
      </c>
      <c r="I17" s="9">
        <f t="shared" si="1"/>
        <v>4.5409015025041716E-2</v>
      </c>
      <c r="J17" s="4">
        <f t="shared" si="2"/>
        <v>2.1732235156549704</v>
      </c>
      <c r="K17" s="4">
        <f t="shared" si="3"/>
        <v>2.0788260713467381</v>
      </c>
      <c r="L17" s="17">
        <v>2.65</v>
      </c>
      <c r="M17" s="17">
        <f>L17/K17-1</f>
        <v>0.274757920600464</v>
      </c>
      <c r="N17" s="20">
        <f>(I17)*(L17/M17)</f>
        <v>0.43796331531909738</v>
      </c>
      <c r="P17" s="4">
        <v>15.98</v>
      </c>
      <c r="Q17" s="4">
        <v>47.29</v>
      </c>
      <c r="R17" s="4">
        <v>45.93</v>
      </c>
      <c r="S17" s="10">
        <f>((Q17-P17)-(R17-P17))/(R17-P17)</f>
        <v>4.5409015025041716E-2</v>
      </c>
      <c r="AB17" s="62" t="s">
        <v>33</v>
      </c>
      <c r="AC17" s="62"/>
      <c r="AE17" s="26">
        <v>2.0312896736278674E-3</v>
      </c>
      <c r="AF17" s="26">
        <v>1.9922264106710941E-3</v>
      </c>
      <c r="AG17" s="26">
        <v>2.3047325143039643E-3</v>
      </c>
      <c r="AH17" s="26">
        <v>2.3047325143039643E-3</v>
      </c>
      <c r="AI17" s="26">
        <v>2.3242641457841273E-3</v>
      </c>
      <c r="AJ17" s="52">
        <f t="shared" si="5"/>
        <v>2.1914490517382034E-3</v>
      </c>
      <c r="AL17" s="33">
        <f t="shared" si="6"/>
        <v>2.0788260713467381</v>
      </c>
      <c r="AM17" s="47">
        <f t="shared" si="7"/>
        <v>4.5409015025041716E-2</v>
      </c>
      <c r="AN17" s="33">
        <f t="shared" si="11"/>
        <v>2.1914490517382034E-3</v>
      </c>
      <c r="AO17" s="49">
        <f t="shared" ref="AO17:AO19" si="18">N17</f>
        <v>0.43796331531909738</v>
      </c>
      <c r="AP17" s="44">
        <v>0.34</v>
      </c>
      <c r="AQ17" s="55">
        <v>8.7338834199091426</v>
      </c>
    </row>
    <row r="18" spans="2:43" ht="21.85" customHeight="1" x14ac:dyDescent="0.45">
      <c r="B18" s="61"/>
      <c r="C18" s="4" t="s">
        <v>28</v>
      </c>
      <c r="D18" s="4" t="s">
        <v>2</v>
      </c>
      <c r="E18" s="4">
        <v>3543.4</v>
      </c>
      <c r="F18" s="3">
        <v>939.61803067669177</v>
      </c>
      <c r="G18" s="4">
        <v>5694.2</v>
      </c>
      <c r="H18" s="4">
        <f t="shared" si="0"/>
        <v>2150.7999999999997</v>
      </c>
      <c r="I18" s="9">
        <f t="shared" si="1"/>
        <v>7.8056951423785534E-2</v>
      </c>
      <c r="J18" s="4">
        <f t="shared" si="2"/>
        <v>2.2890152485165083</v>
      </c>
      <c r="K18" s="4">
        <f t="shared" si="3"/>
        <v>2.1232785944132311</v>
      </c>
      <c r="L18" s="17">
        <v>2.65</v>
      </c>
      <c r="M18" s="17">
        <f>L18/K18-1</f>
        <v>0.24806985148942662</v>
      </c>
      <c r="N18" s="20">
        <f t="shared" ref="N18:N20" si="19">(I18)*(L18/M18)</f>
        <v>0.83384143631757757</v>
      </c>
      <c r="P18" s="4">
        <v>23.21</v>
      </c>
      <c r="Q18" s="4">
        <v>55.39</v>
      </c>
      <c r="R18" s="4">
        <v>53.06</v>
      </c>
      <c r="S18" s="10">
        <f>((Q18-P18)-(R18-P18))/(R18-P18)</f>
        <v>7.8056951423785534E-2</v>
      </c>
      <c r="AB18" s="6" t="s">
        <v>31</v>
      </c>
      <c r="AC18" s="6" t="s">
        <v>32</v>
      </c>
      <c r="AE18" s="26">
        <v>1.6797203070373357E-3</v>
      </c>
      <c r="AF18" s="26">
        <v>1.5234672552217887E-3</v>
      </c>
      <c r="AG18" s="26">
        <v>1.523467255218236E-3</v>
      </c>
      <c r="AH18" s="26">
        <v>1.5039356237451784E-3</v>
      </c>
      <c r="AI18" s="26">
        <v>1.5039356237309676E-3</v>
      </c>
      <c r="AJ18" s="52">
        <f t="shared" si="5"/>
        <v>1.5469052129907014E-3</v>
      </c>
      <c r="AL18" s="3">
        <f t="shared" si="6"/>
        <v>2.1232785944132311</v>
      </c>
      <c r="AM18" s="27">
        <f t="shared" si="7"/>
        <v>7.8056951423785534E-2</v>
      </c>
      <c r="AN18" s="3">
        <f t="shared" si="11"/>
        <v>1.5469052129907014E-3</v>
      </c>
      <c r="AO18" s="43">
        <f t="shared" si="18"/>
        <v>0.83384143631757757</v>
      </c>
      <c r="AP18" s="3">
        <v>0.34399999999999997</v>
      </c>
      <c r="AQ18" s="44">
        <v>91.417756589907754</v>
      </c>
    </row>
    <row r="19" spans="2:43" ht="21.85" customHeight="1" x14ac:dyDescent="0.45">
      <c r="B19" s="61"/>
      <c r="C19" s="4" t="s">
        <v>28</v>
      </c>
      <c r="D19" s="4" t="s">
        <v>3</v>
      </c>
      <c r="E19" s="4">
        <v>3555.8</v>
      </c>
      <c r="F19" s="3">
        <v>939.61803067669177</v>
      </c>
      <c r="G19" s="4">
        <v>5754.4</v>
      </c>
      <c r="H19" s="4">
        <f t="shared" si="0"/>
        <v>2198.5999999999995</v>
      </c>
      <c r="I19" s="9">
        <f t="shared" si="1"/>
        <v>9.9105071262843708E-2</v>
      </c>
      <c r="J19" s="4">
        <f t="shared" si="2"/>
        <v>2.3398869840935439</v>
      </c>
      <c r="K19" s="4">
        <f t="shared" si="3"/>
        <v>2.1289019997015148</v>
      </c>
      <c r="L19" s="17">
        <v>2.65</v>
      </c>
      <c r="M19" s="17">
        <f t="shared" ref="M19:M20" si="20">L19/K19-1</f>
        <v>0.24477312735463919</v>
      </c>
      <c r="N19" s="20">
        <f t="shared" si="19"/>
        <v>1.0729463715435845</v>
      </c>
      <c r="P19" s="4">
        <v>19.21</v>
      </c>
      <c r="Q19" s="4">
        <v>52.37</v>
      </c>
      <c r="R19" s="4">
        <v>49.38</v>
      </c>
      <c r="S19" s="10">
        <f>((Q19-P19)-(R19-P19))/(R19-P19)</f>
        <v>9.9105071262843708E-2</v>
      </c>
      <c r="AB19" s="20">
        <v>8.0500000000000002E-2</v>
      </c>
      <c r="AC19" s="25">
        <v>2.1349999999999998</v>
      </c>
      <c r="AE19" s="26">
        <v>1.5234672552217887E-3</v>
      </c>
      <c r="AF19" s="26">
        <v>1.5039356237416257E-3</v>
      </c>
      <c r="AG19" s="26">
        <v>1.5039356237451784E-3</v>
      </c>
      <c r="AH19" s="26">
        <v>1.503935623738073E-3</v>
      </c>
      <c r="AI19" s="26">
        <v>1.5039356237451784E-3</v>
      </c>
      <c r="AJ19" s="52">
        <f t="shared" si="5"/>
        <v>1.5078419500383689E-3</v>
      </c>
      <c r="AL19" s="3">
        <f t="shared" si="6"/>
        <v>2.1289019997015148</v>
      </c>
      <c r="AM19" s="27">
        <f t="shared" si="7"/>
        <v>9.9105071262843708E-2</v>
      </c>
      <c r="AN19" s="3">
        <f t="shared" si="11"/>
        <v>1.5078419500383689E-3</v>
      </c>
      <c r="AO19" s="43">
        <f t="shared" si="18"/>
        <v>1.0729463715435845</v>
      </c>
      <c r="AP19" s="3">
        <v>0.34399999999999997</v>
      </c>
      <c r="AQ19" s="44">
        <v>105.63437015283893</v>
      </c>
    </row>
    <row r="20" spans="2:43" ht="21.85" customHeight="1" x14ac:dyDescent="0.45">
      <c r="B20" s="61"/>
      <c r="C20" s="4" t="s">
        <v>28</v>
      </c>
      <c r="D20" s="4" t="s">
        <v>4</v>
      </c>
      <c r="E20" s="4">
        <v>3981.6</v>
      </c>
      <c r="F20" s="3">
        <v>939.618030676692</v>
      </c>
      <c r="G20" s="4">
        <v>6144.8</v>
      </c>
      <c r="H20" s="4">
        <f t="shared" si="0"/>
        <v>2163.2000000000003</v>
      </c>
      <c r="I20" s="9">
        <f t="shared" si="1"/>
        <v>0.11525518788558609</v>
      </c>
      <c r="J20" s="4">
        <f t="shared" si="2"/>
        <v>2.3022121004235219</v>
      </c>
      <c r="K20" s="4">
        <f t="shared" si="3"/>
        <v>2.0642917651773396</v>
      </c>
      <c r="L20" s="17">
        <v>2.65</v>
      </c>
      <c r="M20" s="17">
        <f t="shared" si="20"/>
        <v>0.2837332613068595</v>
      </c>
      <c r="N20" s="20">
        <f t="shared" si="19"/>
        <v>1.076455564250828</v>
      </c>
      <c r="P20" s="4">
        <v>19.77</v>
      </c>
      <c r="Q20" s="4">
        <v>59.54</v>
      </c>
      <c r="R20" s="4">
        <v>55.43</v>
      </c>
      <c r="S20" s="10">
        <f>((Q20-P20)-(R20-P20))/(R20-P20)</f>
        <v>0.11525518788558609</v>
      </c>
      <c r="AE20" s="26">
        <v>2.3242641457841273E-3</v>
      </c>
      <c r="AF20" s="26">
        <v>2.2461376198776861E-3</v>
      </c>
      <c r="AG20" s="26">
        <v>2.2266059883975231E-3</v>
      </c>
      <c r="AH20" s="26">
        <v>2.2656692513578491E-3</v>
      </c>
      <c r="AI20" s="26">
        <v>2.2461376198776861E-3</v>
      </c>
      <c r="AJ20" s="52">
        <f t="shared" si="5"/>
        <v>2.2617629250589744E-3</v>
      </c>
      <c r="AL20" s="3">
        <f t="shared" si="6"/>
        <v>2.0642917651773396</v>
      </c>
      <c r="AM20" s="27">
        <f t="shared" si="7"/>
        <v>0.11525518788558609</v>
      </c>
      <c r="AN20" s="3">
        <f t="shared" si="11"/>
        <v>2.2617629250589744E-3</v>
      </c>
      <c r="AO20" s="43">
        <f>N20</f>
        <v>1.076455564250828</v>
      </c>
      <c r="AP20" s="3">
        <v>0.34399999999999997</v>
      </c>
      <c r="AQ20" s="44">
        <v>6.7447892892838883</v>
      </c>
    </row>
    <row r="41" spans="19:19" x14ac:dyDescent="0.45">
      <c r="S41" s="15"/>
    </row>
    <row r="42" spans="19:19" x14ac:dyDescent="0.45">
      <c r="S42" s="13"/>
    </row>
  </sheetData>
  <mergeCells count="10">
    <mergeCell ref="AE2:AJ2"/>
    <mergeCell ref="AL2:AQ2"/>
    <mergeCell ref="B17:B20"/>
    <mergeCell ref="AB5:AC5"/>
    <mergeCell ref="AB11:AC11"/>
    <mergeCell ref="AB17:AC17"/>
    <mergeCell ref="P2:S2"/>
    <mergeCell ref="B5:B9"/>
    <mergeCell ref="B11:B15"/>
    <mergeCell ref="C2:N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92D8F-1551-452B-8DFC-26D22F2365B9}">
  <dimension ref="B2:AQ24"/>
  <sheetViews>
    <sheetView zoomScale="70" zoomScaleNormal="70" workbookViewId="0">
      <selection activeCell="N22" sqref="N22"/>
    </sheetView>
  </sheetViews>
  <sheetFormatPr defaultColWidth="9" defaultRowHeight="14.25" x14ac:dyDescent="0.45"/>
  <cols>
    <col min="1" max="1" width="9" style="1" customWidth="1"/>
    <col min="2" max="2" width="4.1992187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" style="1" customWidth="1"/>
    <col min="15" max="15" width="8.53125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6" width="9" style="1"/>
    <col min="27" max="27" width="6.3984375" style="1" customWidth="1"/>
    <col min="28" max="29" width="12.53125" style="1" customWidth="1"/>
    <col min="30" max="16384" width="9" style="1"/>
  </cols>
  <sheetData>
    <row r="2" spans="2:43" x14ac:dyDescent="0.45">
      <c r="C2" s="58" t="s">
        <v>16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2"/>
      <c r="P2" s="58" t="s">
        <v>11</v>
      </c>
      <c r="Q2" s="58"/>
      <c r="R2" s="58"/>
      <c r="S2" s="58"/>
      <c r="AE2" s="58" t="s">
        <v>55</v>
      </c>
      <c r="AF2" s="58"/>
      <c r="AG2" s="58"/>
      <c r="AH2" s="58"/>
      <c r="AI2" s="58"/>
      <c r="AJ2" s="58"/>
      <c r="AL2" s="59" t="s">
        <v>54</v>
      </c>
      <c r="AM2" s="60"/>
      <c r="AN2" s="60"/>
      <c r="AO2" s="60"/>
      <c r="AP2" s="60"/>
      <c r="AQ2" s="60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42</v>
      </c>
      <c r="M3" s="7" t="s">
        <v>43</v>
      </c>
      <c r="N3" s="7" t="s">
        <v>44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L3" s="7" t="s">
        <v>13</v>
      </c>
      <c r="AM3" s="6" t="s">
        <v>11</v>
      </c>
      <c r="AN3" s="6" t="s">
        <v>40</v>
      </c>
      <c r="AO3" s="6" t="s">
        <v>44</v>
      </c>
      <c r="AP3" s="6" t="s">
        <v>49</v>
      </c>
      <c r="AQ3" s="6" t="s">
        <v>47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4" t="s">
        <v>45</v>
      </c>
      <c r="M4" s="24" t="s">
        <v>45</v>
      </c>
      <c r="N4" s="24" t="s">
        <v>46</v>
      </c>
      <c r="O4" s="2"/>
      <c r="P4" s="2" t="s">
        <v>8</v>
      </c>
      <c r="Q4" s="2" t="s">
        <v>8</v>
      </c>
      <c r="R4" s="2" t="s">
        <v>8</v>
      </c>
      <c r="S4" s="2" t="s">
        <v>17</v>
      </c>
      <c r="AE4" s="2" t="s">
        <v>41</v>
      </c>
      <c r="AF4" s="2" t="s">
        <v>41</v>
      </c>
      <c r="AG4" s="2" t="s">
        <v>41</v>
      </c>
      <c r="AH4" s="2" t="s">
        <v>41</v>
      </c>
      <c r="AI4" s="2" t="s">
        <v>41</v>
      </c>
      <c r="AJ4" s="2" t="s">
        <v>41</v>
      </c>
      <c r="AL4" s="29" t="s">
        <v>15</v>
      </c>
      <c r="AM4" s="4" t="s">
        <v>17</v>
      </c>
      <c r="AN4" s="4" t="s">
        <v>41</v>
      </c>
      <c r="AO4" s="19" t="s">
        <v>17</v>
      </c>
      <c r="AP4" s="19" t="s">
        <v>14</v>
      </c>
      <c r="AQ4" s="19" t="s">
        <v>48</v>
      </c>
    </row>
    <row r="5" spans="2:43" ht="17.350000000000001" customHeight="1" x14ac:dyDescent="0.45">
      <c r="B5" s="61" t="s">
        <v>29</v>
      </c>
      <c r="C5" s="4" t="s">
        <v>10</v>
      </c>
      <c r="D5" s="4" t="s">
        <v>1</v>
      </c>
      <c r="E5" s="4">
        <v>3579</v>
      </c>
      <c r="F5" s="3">
        <v>939.61803067669177</v>
      </c>
      <c r="G5" s="4">
        <v>5719.4</v>
      </c>
      <c r="H5" s="4">
        <f>G5-E5</f>
        <v>2140.3999999999996</v>
      </c>
      <c r="I5" s="9">
        <f>S5</f>
        <v>0.10614119922630562</v>
      </c>
      <c r="J5" s="4">
        <f>H5/F5</f>
        <v>2.277946921110626</v>
      </c>
      <c r="K5" s="4">
        <f>J5/(1+I5)</f>
        <v>2.0593635990630705</v>
      </c>
      <c r="L5" s="17">
        <v>2.65</v>
      </c>
      <c r="M5" s="17">
        <f>L5/K5-1</f>
        <v>0.28680530296138373</v>
      </c>
      <c r="N5" s="20">
        <f>(I5)*(L5/M5)</f>
        <v>0.98071470452407028</v>
      </c>
      <c r="O5" s="2"/>
      <c r="P5" s="4">
        <v>19.239999999999998</v>
      </c>
      <c r="Q5" s="4">
        <v>64.989999999999995</v>
      </c>
      <c r="R5" s="4">
        <v>60.6</v>
      </c>
      <c r="S5" s="8">
        <f>((Q5-P5)-(R5-P5))/(R5-P5)</f>
        <v>0.10614119922630562</v>
      </c>
      <c r="AB5" s="62" t="s">
        <v>33</v>
      </c>
      <c r="AC5" s="62"/>
      <c r="AE5" s="26">
        <v>2.070352936581088E-3</v>
      </c>
      <c r="AF5" s="26">
        <v>2.0312896736243147E-3</v>
      </c>
      <c r="AG5" s="26">
        <v>2.0703529365846407E-3</v>
      </c>
      <c r="AH5" s="26">
        <v>2.0117580421441517E-3</v>
      </c>
      <c r="AI5" s="26">
        <v>2.0898845680505929E-3</v>
      </c>
      <c r="AJ5" s="52">
        <f>AVERAGE(AE5:AI5)</f>
        <v>2.0547276313969574E-3</v>
      </c>
      <c r="AL5" s="3">
        <f>K5</f>
        <v>2.0593635990630705</v>
      </c>
      <c r="AM5" s="27">
        <f>S5</f>
        <v>0.10614119922630562</v>
      </c>
      <c r="AN5" s="3">
        <f>AJ5</f>
        <v>2.0547276313969574E-3</v>
      </c>
      <c r="AO5" s="43">
        <f>N5</f>
        <v>0.98071470452407028</v>
      </c>
      <c r="AP5" s="44">
        <v>0.34</v>
      </c>
      <c r="AQ5" s="56">
        <v>14.374990072243435</v>
      </c>
    </row>
    <row r="6" spans="2:43" ht="17.350000000000001" customHeight="1" x14ac:dyDescent="0.45">
      <c r="B6" s="61"/>
      <c r="C6" s="4" t="s">
        <v>10</v>
      </c>
      <c r="D6" s="4" t="s">
        <v>2</v>
      </c>
      <c r="E6" s="4">
        <v>3573.4</v>
      </c>
      <c r="F6" s="3">
        <v>939.61803067669177</v>
      </c>
      <c r="G6" s="4">
        <v>5683.8</v>
      </c>
      <c r="H6" s="4">
        <f t="shared" ref="H6:H14" si="0">G6-E6</f>
        <v>2110.4</v>
      </c>
      <c r="I6" s="9">
        <f t="shared" ref="I6:I19" si="1">S6</f>
        <v>0.12695463694070272</v>
      </c>
      <c r="J6" s="4">
        <f t="shared" ref="J6:J19" si="2">H6/F6</f>
        <v>2.2460190535936579</v>
      </c>
      <c r="K6" s="4">
        <f t="shared" ref="K6:K19" si="3">J6/(1+I6)</f>
        <v>1.9929986354116553</v>
      </c>
      <c r="L6" s="17">
        <v>2.65</v>
      </c>
      <c r="M6" s="17">
        <f>L6/K6-1</f>
        <v>0.32965469866096542</v>
      </c>
      <c r="N6" s="20">
        <f t="shared" ref="N6:N9" si="4">(I6)*(L6/M6)</f>
        <v>1.0205520784609372</v>
      </c>
      <c r="O6" s="2"/>
      <c r="P6" s="4">
        <v>19.04</v>
      </c>
      <c r="Q6" s="4">
        <v>91.83</v>
      </c>
      <c r="R6" s="4">
        <v>83.63</v>
      </c>
      <c r="S6" s="8">
        <f t="shared" ref="S6:S19" si="5">((Q6-P6)-(R6-P6))/(R6-P6)</f>
        <v>0.12695463694070272</v>
      </c>
      <c r="AB6" s="6" t="s">
        <v>31</v>
      </c>
      <c r="AC6" s="6" t="s">
        <v>32</v>
      </c>
      <c r="AE6" s="26">
        <v>3.7696048750950339E-3</v>
      </c>
      <c r="AF6" s="26">
        <v>3.5156936658893301E-3</v>
      </c>
      <c r="AG6" s="26">
        <v>3.9063262954357469E-3</v>
      </c>
      <c r="AH6" s="26">
        <v>2.9688079845300308E-3</v>
      </c>
      <c r="AI6" s="26">
        <v>3.6914783491823755E-3</v>
      </c>
      <c r="AJ6" s="52">
        <f t="shared" ref="AJ6:AJ20" si="6">AVERAGE(AE6:AI6)</f>
        <v>3.5703822340265035E-3</v>
      </c>
      <c r="AL6" s="3">
        <f t="shared" ref="AL6:AL20" si="7">K6</f>
        <v>1.9929986354116553</v>
      </c>
      <c r="AM6" s="27">
        <f t="shared" ref="AM6:AM20" si="8">S6</f>
        <v>0.12695463694070272</v>
      </c>
      <c r="AN6" s="3">
        <f t="shared" ref="AN6:AN9" si="9">AJ6</f>
        <v>3.5703822340265035E-3</v>
      </c>
      <c r="AO6" s="43">
        <f t="shared" ref="AO6:AO9" si="10">N6</f>
        <v>1.0205520784609372</v>
      </c>
      <c r="AP6" s="44">
        <v>0.34</v>
      </c>
      <c r="AQ6" s="56">
        <v>5.7366344617829391E-2</v>
      </c>
    </row>
    <row r="7" spans="2:43" ht="17.350000000000001" customHeight="1" x14ac:dyDescent="0.45">
      <c r="B7" s="61"/>
      <c r="C7" s="4" t="s">
        <v>10</v>
      </c>
      <c r="D7" s="4" t="s">
        <v>3</v>
      </c>
      <c r="E7" s="4">
        <v>3555.8</v>
      </c>
      <c r="F7" s="3">
        <v>939.61803067669177</v>
      </c>
      <c r="G7" s="4">
        <v>5505.8</v>
      </c>
      <c r="H7" s="4">
        <f t="shared" si="0"/>
        <v>1950</v>
      </c>
      <c r="I7" s="9">
        <f t="shared" si="1"/>
        <v>6.2609713282621576E-2</v>
      </c>
      <c r="J7" s="4">
        <f t="shared" si="2"/>
        <v>2.0753113886029344</v>
      </c>
      <c r="K7" s="4">
        <f t="shared" si="3"/>
        <v>1.9530325788119023</v>
      </c>
      <c r="L7" s="17">
        <v>2.65</v>
      </c>
      <c r="M7" s="17">
        <f>L7/K7-1</f>
        <v>0.35686420633704286</v>
      </c>
      <c r="N7" s="20">
        <f t="shared" si="4"/>
        <v>0.46492681880862802</v>
      </c>
      <c r="O7" s="2"/>
      <c r="P7" s="4">
        <v>18.940000000000001</v>
      </c>
      <c r="Q7" s="4">
        <v>73.42</v>
      </c>
      <c r="R7" s="4">
        <v>70.209999999999994</v>
      </c>
      <c r="S7" s="8">
        <f t="shared" si="5"/>
        <v>6.2609713282621576E-2</v>
      </c>
      <c r="AB7" s="20">
        <v>0.1</v>
      </c>
      <c r="AC7" s="25">
        <v>2.06</v>
      </c>
      <c r="AE7" s="26">
        <v>2.2070743569209128E-3</v>
      </c>
      <c r="AF7" s="26">
        <v>1.9726947791944838E-3</v>
      </c>
      <c r="AG7" s="26">
        <v>1.8750366218114323E-3</v>
      </c>
      <c r="AH7" s="26">
        <v>1.8750366218114323E-3</v>
      </c>
      <c r="AI7" s="26">
        <v>1.7773784644248281E-3</v>
      </c>
      <c r="AJ7" s="52">
        <f t="shared" si="6"/>
        <v>1.9414441688326179E-3</v>
      </c>
      <c r="AL7" s="3">
        <f t="shared" si="7"/>
        <v>1.9530325788119023</v>
      </c>
      <c r="AM7" s="27">
        <f t="shared" si="8"/>
        <v>6.2609713282621576E-2</v>
      </c>
      <c r="AN7" s="3">
        <f t="shared" si="9"/>
        <v>1.9414441688326179E-3</v>
      </c>
      <c r="AO7" s="43">
        <f t="shared" si="10"/>
        <v>0.46492681880862802</v>
      </c>
      <c r="AP7" s="44">
        <v>0.33</v>
      </c>
      <c r="AQ7" s="56">
        <v>21.807492181111002</v>
      </c>
    </row>
    <row r="8" spans="2:43" ht="17.350000000000001" customHeight="1" x14ac:dyDescent="0.45">
      <c r="B8" s="61"/>
      <c r="C8" s="4" t="s">
        <v>10</v>
      </c>
      <c r="D8" s="4" t="s">
        <v>4</v>
      </c>
      <c r="E8" s="4">
        <v>3981.6</v>
      </c>
      <c r="F8" s="3">
        <v>939.61803067669177</v>
      </c>
      <c r="G8" s="4">
        <v>6124</v>
      </c>
      <c r="H8" s="4">
        <f>G8-E8</f>
        <v>2142.4</v>
      </c>
      <c r="I8" s="9">
        <f t="shared" si="1"/>
        <v>0.10971223021582741</v>
      </c>
      <c r="J8" s="4">
        <f t="shared" si="2"/>
        <v>2.2800754456117578</v>
      </c>
      <c r="K8" s="4">
        <f t="shared" si="3"/>
        <v>2.0546546965318271</v>
      </c>
      <c r="L8" s="17">
        <v>2.65</v>
      </c>
      <c r="M8" s="17">
        <f>L8/K8-1</f>
        <v>0.28975443147361513</v>
      </c>
      <c r="N8" s="20">
        <f t="shared" si="4"/>
        <v>1.0033924540630088</v>
      </c>
      <c r="O8" s="2"/>
      <c r="P8" s="4">
        <v>17.25</v>
      </c>
      <c r="Q8" s="4">
        <v>66.61</v>
      </c>
      <c r="R8" s="4">
        <v>61.73</v>
      </c>
      <c r="S8" s="8">
        <f t="shared" si="5"/>
        <v>0.10971223021582741</v>
      </c>
      <c r="AE8" s="26">
        <v>2.4609855661275049E-3</v>
      </c>
      <c r="AF8" s="26">
        <v>2.4609855661239521E-3</v>
      </c>
      <c r="AG8" s="26">
        <v>2.4609855661239521E-3</v>
      </c>
      <c r="AH8" s="26">
        <v>2.4805171975970097E-3</v>
      </c>
      <c r="AI8" s="26">
        <v>2.5391120920374988E-3</v>
      </c>
      <c r="AJ8" s="52">
        <f>AVERAGE(AE8:AI8)</f>
        <v>2.4805171976019836E-3</v>
      </c>
      <c r="AL8" s="3">
        <f t="shared" si="7"/>
        <v>2.0546546965318271</v>
      </c>
      <c r="AM8" s="27">
        <f t="shared" si="8"/>
        <v>0.10971223021582741</v>
      </c>
      <c r="AN8" s="3">
        <f t="shared" si="9"/>
        <v>2.4805171976019836E-3</v>
      </c>
      <c r="AO8" s="43">
        <f t="shared" si="10"/>
        <v>1.0033924540630088</v>
      </c>
      <c r="AP8" s="44">
        <v>0.34</v>
      </c>
      <c r="AQ8" s="56">
        <v>3.0456193140208896</v>
      </c>
    </row>
    <row r="9" spans="2:43" ht="17.350000000000001" customHeight="1" x14ac:dyDescent="0.45">
      <c r="B9" s="61"/>
      <c r="C9" s="4" t="s">
        <v>10</v>
      </c>
      <c r="D9" s="4" t="s">
        <v>7</v>
      </c>
      <c r="E9" s="4">
        <v>3564.6</v>
      </c>
      <c r="F9" s="3">
        <v>939.61803067669177</v>
      </c>
      <c r="G9" s="4">
        <v>5554.8</v>
      </c>
      <c r="H9" s="4">
        <f>G9-E9</f>
        <v>1990.2000000000003</v>
      </c>
      <c r="I9" s="9">
        <f>S9</f>
        <v>6.8930216686572371E-2</v>
      </c>
      <c r="J9" s="4">
        <f>H9/F9</f>
        <v>2.1180947310756721</v>
      </c>
      <c r="K9" s="4">
        <f>J9/(1+I9)</f>
        <v>1.9815088936687171</v>
      </c>
      <c r="L9" s="17">
        <v>2.65</v>
      </c>
      <c r="M9" s="17">
        <f>L9/K9-1</f>
        <v>0.33736467621580402</v>
      </c>
      <c r="N9" s="20">
        <f t="shared" si="4"/>
        <v>0.54144694776097524</v>
      </c>
      <c r="O9" s="2"/>
      <c r="P9" s="4">
        <v>19.05</v>
      </c>
      <c r="Q9" s="4">
        <v>81.7</v>
      </c>
      <c r="R9" s="4">
        <v>77.66</v>
      </c>
      <c r="S9" s="8">
        <f>((Q9-P9)-(R9-P9))/(R9-P9)</f>
        <v>6.8930216686572371E-2</v>
      </c>
      <c r="AE9" s="26">
        <v>1.835973358854659E-3</v>
      </c>
      <c r="AF9" s="26">
        <v>1.7969100958978856E-3</v>
      </c>
      <c r="AG9" s="26">
        <v>1.835973358854659E-3</v>
      </c>
      <c r="AH9" s="26">
        <v>1.7187835699914444E-3</v>
      </c>
      <c r="AI9" s="26">
        <v>1.6797203070382238E-3</v>
      </c>
      <c r="AJ9" s="52">
        <f t="shared" si="6"/>
        <v>1.7734721381273745E-3</v>
      </c>
      <c r="AL9" s="32">
        <f t="shared" si="7"/>
        <v>1.9815088936687171</v>
      </c>
      <c r="AM9" s="46">
        <f t="shared" si="8"/>
        <v>6.8930216686572371E-2</v>
      </c>
      <c r="AN9" s="32">
        <f t="shared" si="9"/>
        <v>1.7734721381273745E-3</v>
      </c>
      <c r="AO9" s="43">
        <f t="shared" si="10"/>
        <v>0.54144694776097524</v>
      </c>
      <c r="AP9" s="44">
        <v>0.33</v>
      </c>
      <c r="AQ9" s="56">
        <v>40.189987871759591</v>
      </c>
    </row>
    <row r="10" spans="2:43" ht="81.75" customHeight="1" x14ac:dyDescent="0.45">
      <c r="C10" s="2"/>
      <c r="D10" s="2"/>
      <c r="E10" s="2"/>
      <c r="G10" s="2"/>
      <c r="H10" s="2"/>
      <c r="I10" s="11"/>
      <c r="J10" s="2"/>
      <c r="K10" s="2"/>
      <c r="L10" s="2"/>
      <c r="M10" s="2"/>
      <c r="N10" s="2"/>
      <c r="O10" s="2"/>
      <c r="P10" s="2"/>
      <c r="Q10" s="2"/>
      <c r="R10" s="2"/>
      <c r="S10" s="12"/>
      <c r="AJ10" s="53"/>
      <c r="AL10" s="34"/>
      <c r="AM10" s="35"/>
      <c r="AN10" s="34"/>
      <c r="AQ10" s="57"/>
    </row>
    <row r="11" spans="2:43" ht="17.350000000000001" customHeight="1" x14ac:dyDescent="0.45">
      <c r="B11" s="61" t="s">
        <v>26</v>
      </c>
      <c r="C11" s="4" t="s">
        <v>26</v>
      </c>
      <c r="D11" s="4" t="s">
        <v>5</v>
      </c>
      <c r="E11" s="4">
        <v>3597</v>
      </c>
      <c r="F11" s="3">
        <v>939.61803067669177</v>
      </c>
      <c r="G11" s="4">
        <v>5665.4</v>
      </c>
      <c r="H11" s="4">
        <f t="shared" si="0"/>
        <v>2068.3999999999996</v>
      </c>
      <c r="I11" s="9">
        <f t="shared" si="1"/>
        <v>3.3795493934141954E-2</v>
      </c>
      <c r="J11" s="4">
        <f t="shared" si="2"/>
        <v>2.2013200390699019</v>
      </c>
      <c r="K11" s="4">
        <f t="shared" si="3"/>
        <v>2.1293573554791845</v>
      </c>
      <c r="L11" s="17">
        <v>2.65</v>
      </c>
      <c r="M11" s="17">
        <f>L11/K11-1</f>
        <v>0.24450693688455671</v>
      </c>
      <c r="N11" s="20">
        <f>(I11-0.015)*(L11/M11)</f>
        <v>0.20370816288534552</v>
      </c>
      <c r="O11" s="2"/>
      <c r="P11" s="4">
        <v>19.399999999999999</v>
      </c>
      <c r="Q11" s="4">
        <v>55.19</v>
      </c>
      <c r="R11" s="4">
        <v>54.02</v>
      </c>
      <c r="S11" s="10">
        <f>((Q11-P11)-(R11-P11))/(R11-P11)</f>
        <v>3.3795493934141954E-2</v>
      </c>
      <c r="AB11" s="62" t="s">
        <v>33</v>
      </c>
      <c r="AC11" s="62"/>
      <c r="AE11" s="26">
        <v>9.5704994238232644E-4</v>
      </c>
      <c r="AF11" s="26">
        <v>9.1798667942555312E-4</v>
      </c>
      <c r="AG11" s="26">
        <v>8.7892341647233252E-4</v>
      </c>
      <c r="AH11" s="26">
        <v>8.7892341647233252E-4</v>
      </c>
      <c r="AI11" s="26">
        <v>8.5939178499216951E-4</v>
      </c>
      <c r="AJ11" s="52">
        <f t="shared" si="6"/>
        <v>8.9845504794894282E-4</v>
      </c>
      <c r="AL11" s="33">
        <f t="shared" si="7"/>
        <v>2.1293573554791845</v>
      </c>
      <c r="AM11" s="47">
        <f t="shared" si="8"/>
        <v>3.3795493934141954E-2</v>
      </c>
      <c r="AN11" s="33">
        <f>AJ11</f>
        <v>8.9845504794894282E-4</v>
      </c>
      <c r="AO11" s="43">
        <f>N11</f>
        <v>0.20370816288534552</v>
      </c>
      <c r="AP11" s="44">
        <v>0.33</v>
      </c>
      <c r="AQ11" s="56">
        <v>1647.1172015370512</v>
      </c>
    </row>
    <row r="12" spans="2:43" ht="17.350000000000001" customHeight="1" x14ac:dyDescent="0.45">
      <c r="B12" s="61"/>
      <c r="C12" s="4" t="s">
        <v>26</v>
      </c>
      <c r="D12" s="4" t="s">
        <v>6</v>
      </c>
      <c r="E12" s="4">
        <v>3560.8</v>
      </c>
      <c r="F12" s="3">
        <v>939.61803067669177</v>
      </c>
      <c r="G12" s="4">
        <v>5733</v>
      </c>
      <c r="H12" s="4">
        <f t="shared" si="0"/>
        <v>2172.1999999999998</v>
      </c>
      <c r="I12" s="9">
        <f t="shared" si="1"/>
        <v>5.5575604474919035E-2</v>
      </c>
      <c r="J12" s="4">
        <f t="shared" si="2"/>
        <v>2.3117904606786124</v>
      </c>
      <c r="K12" s="4">
        <f t="shared" si="3"/>
        <v>2.1900756808685244</v>
      </c>
      <c r="L12" s="17">
        <v>2.65</v>
      </c>
      <c r="M12" s="17">
        <f>L12/K12-1</f>
        <v>0.21000384742370271</v>
      </c>
      <c r="N12" s="20">
        <f t="shared" ref="N12:N14" si="11">(I12-0.015)*(L12/M12)</f>
        <v>0.51201610436018741</v>
      </c>
      <c r="O12" s="2"/>
      <c r="P12" s="4">
        <v>18.45</v>
      </c>
      <c r="Q12" s="4">
        <v>47.7</v>
      </c>
      <c r="R12" s="4">
        <v>46.16</v>
      </c>
      <c r="S12" s="10">
        <f>((Q12-P12)-(R12-P12))/(R12-P12)</f>
        <v>5.5575604474919035E-2</v>
      </c>
      <c r="AB12" s="6" t="s">
        <v>31</v>
      </c>
      <c r="AC12" s="6" t="s">
        <v>32</v>
      </c>
      <c r="AE12" s="26">
        <v>1.0547080997671543E-3</v>
      </c>
      <c r="AF12" s="26">
        <v>1.0547080997689307E-3</v>
      </c>
      <c r="AG12" s="26">
        <v>9.7658157385893674E-4</v>
      </c>
      <c r="AH12" s="26">
        <v>1.0156448368121573E-3</v>
      </c>
      <c r="AI12" s="26">
        <v>1.0351764682923204E-3</v>
      </c>
      <c r="AJ12" s="52">
        <f t="shared" si="6"/>
        <v>1.0273638156998999E-3</v>
      </c>
      <c r="AL12" s="3">
        <f t="shared" si="7"/>
        <v>2.1900756808685244</v>
      </c>
      <c r="AM12" s="27">
        <f t="shared" si="8"/>
        <v>5.5575604474919035E-2</v>
      </c>
      <c r="AN12" s="3">
        <f t="shared" ref="AN12:AN20" si="12">AJ12</f>
        <v>1.0273638156998999E-3</v>
      </c>
      <c r="AO12" s="43">
        <f t="shared" ref="AO12:AO14" si="13">N12</f>
        <v>0.51201610436018741</v>
      </c>
      <c r="AP12" s="44">
        <v>0.34</v>
      </c>
      <c r="AQ12" s="56">
        <v>805.32052067017969</v>
      </c>
    </row>
    <row r="13" spans="2:43" ht="17.350000000000001" customHeight="1" x14ac:dyDescent="0.45">
      <c r="B13" s="61"/>
      <c r="C13" s="4" t="s">
        <v>26</v>
      </c>
      <c r="D13" s="4" t="s">
        <v>7</v>
      </c>
      <c r="E13" s="4">
        <v>3564.6</v>
      </c>
      <c r="F13" s="3">
        <v>939.61803067669177</v>
      </c>
      <c r="G13" s="4">
        <v>5793</v>
      </c>
      <c r="H13" s="4">
        <f t="shared" si="0"/>
        <v>2228.4</v>
      </c>
      <c r="I13" s="9">
        <f t="shared" si="1"/>
        <v>8.8829787234042445E-2</v>
      </c>
      <c r="J13" s="4">
        <f t="shared" si="2"/>
        <v>2.3716019991603998</v>
      </c>
      <c r="K13" s="4">
        <f t="shared" si="3"/>
        <v>2.1781200578512712</v>
      </c>
      <c r="L13" s="17">
        <v>2.65</v>
      </c>
      <c r="M13" s="17">
        <f>L13/K13-1</f>
        <v>0.21664551522207698</v>
      </c>
      <c r="N13" s="20">
        <f t="shared" si="11"/>
        <v>0.90308325085639762</v>
      </c>
      <c r="O13" s="2"/>
      <c r="P13" s="4">
        <v>16.96</v>
      </c>
      <c r="Q13" s="4">
        <v>57.9</v>
      </c>
      <c r="R13" s="4">
        <v>54.56</v>
      </c>
      <c r="S13" s="10">
        <f>((Q13-P13)-(R13-P13))/(R13-P13)</f>
        <v>8.8829787234042445E-2</v>
      </c>
      <c r="AB13" s="20">
        <v>7.2499999999999995E-2</v>
      </c>
      <c r="AC13" s="25">
        <v>2.2000000000000002</v>
      </c>
      <c r="AE13" s="26">
        <v>2.1680110939663599E-3</v>
      </c>
      <c r="AF13" s="26">
        <v>1.8750366218096559E-3</v>
      </c>
      <c r="AG13" s="26">
        <v>1.8750366218078796E-3</v>
      </c>
      <c r="AH13" s="26">
        <v>1.8750366218114323E-3</v>
      </c>
      <c r="AI13" s="26">
        <v>1.8945682532844899E-3</v>
      </c>
      <c r="AJ13" s="52">
        <f t="shared" si="6"/>
        <v>1.9375378425359635E-3</v>
      </c>
      <c r="AL13" s="3">
        <f t="shared" si="7"/>
        <v>2.1781200578512712</v>
      </c>
      <c r="AM13" s="27">
        <f t="shared" si="8"/>
        <v>8.8829787234042445E-2</v>
      </c>
      <c r="AN13" s="3">
        <f t="shared" si="12"/>
        <v>1.9375378425359635E-3</v>
      </c>
      <c r="AO13" s="43">
        <f t="shared" si="13"/>
        <v>0.90308325085639762</v>
      </c>
      <c r="AP13" s="44">
        <v>0.34</v>
      </c>
      <c r="AQ13" s="56">
        <v>22.034003152339405</v>
      </c>
    </row>
    <row r="14" spans="2:43" ht="17.350000000000001" customHeight="1" x14ac:dyDescent="0.45">
      <c r="B14" s="61"/>
      <c r="C14" s="4" t="s">
        <v>26</v>
      </c>
      <c r="D14" s="4" t="s">
        <v>27</v>
      </c>
      <c r="E14" s="4">
        <v>3575.2</v>
      </c>
      <c r="F14" s="3">
        <v>939.61803067669177</v>
      </c>
      <c r="G14" s="4">
        <v>5776</v>
      </c>
      <c r="H14" s="4">
        <f t="shared" si="0"/>
        <v>2200.8000000000002</v>
      </c>
      <c r="I14" s="9">
        <f t="shared" si="1"/>
        <v>0.11358267716535424</v>
      </c>
      <c r="J14" s="4">
        <f t="shared" si="2"/>
        <v>2.3422283610447892</v>
      </c>
      <c r="K14" s="4">
        <f t="shared" si="3"/>
        <v>2.1033268647883205</v>
      </c>
      <c r="L14" s="17">
        <v>2.65</v>
      </c>
      <c r="M14" s="17">
        <f>L14/K14-1</f>
        <v>0.2599087875325059</v>
      </c>
      <c r="N14" s="20">
        <f t="shared" si="11"/>
        <v>1.0051375983411712</v>
      </c>
      <c r="O14" s="2"/>
      <c r="P14" s="4">
        <v>18.350000000000001</v>
      </c>
      <c r="Q14" s="4">
        <v>74.92</v>
      </c>
      <c r="R14" s="4">
        <v>69.150000000000006</v>
      </c>
      <c r="S14" s="10">
        <f>((Q14-P14)-(R14-P14))/(R14-P14)</f>
        <v>0.11358267716535424</v>
      </c>
      <c r="AE14" s="26">
        <v>3.6133518232777107E-3</v>
      </c>
      <c r="AF14" s="26">
        <v>3.593820191799324E-3</v>
      </c>
      <c r="AG14" s="26">
        <v>2.7539600382837648E-3</v>
      </c>
      <c r="AH14" s="26">
        <v>2.8711498271434266E-3</v>
      </c>
      <c r="AI14" s="26">
        <v>3.7696048750959221E-3</v>
      </c>
      <c r="AJ14" s="52">
        <f t="shared" si="6"/>
        <v>3.3203773511200295E-3</v>
      </c>
      <c r="AL14" s="32">
        <f t="shared" si="7"/>
        <v>2.1033268647883205</v>
      </c>
      <c r="AM14" s="46">
        <f t="shared" si="8"/>
        <v>0.11358267716535424</v>
      </c>
      <c r="AN14" s="32">
        <f t="shared" si="12"/>
        <v>3.3203773511200295E-3</v>
      </c>
      <c r="AO14" s="43">
        <f t="shared" si="13"/>
        <v>1.0051375983411712</v>
      </c>
      <c r="AP14" s="44">
        <v>0.34</v>
      </c>
      <c r="AQ14" s="56">
        <v>0.14267909050834893</v>
      </c>
    </row>
    <row r="15" spans="2:43" ht="73.5" customHeight="1" x14ac:dyDescent="0.45">
      <c r="AJ15" s="53"/>
      <c r="AL15" s="34"/>
      <c r="AM15" s="35"/>
      <c r="AN15" s="34"/>
      <c r="AQ15" s="57"/>
    </row>
    <row r="16" spans="2:43" ht="17.350000000000001" customHeight="1" x14ac:dyDescent="0.45">
      <c r="B16" s="61" t="s">
        <v>30</v>
      </c>
      <c r="C16" s="4" t="s">
        <v>28</v>
      </c>
      <c r="D16" s="4" t="s">
        <v>1</v>
      </c>
      <c r="E16" s="4">
        <v>3579</v>
      </c>
      <c r="F16" s="3">
        <v>939.61803067669177</v>
      </c>
      <c r="G16" s="4">
        <v>5672.6</v>
      </c>
      <c r="H16" s="4">
        <f>G16-E16</f>
        <v>2093.6000000000004</v>
      </c>
      <c r="I16" s="9">
        <f>S16</f>
        <v>4.0761532828899237E-2</v>
      </c>
      <c r="J16" s="4">
        <f t="shared" si="2"/>
        <v>2.2281394477841561</v>
      </c>
      <c r="K16" s="4">
        <f>J16/(1+I16)</f>
        <v>2.1408741363911084</v>
      </c>
      <c r="L16" s="17">
        <v>2.65</v>
      </c>
      <c r="M16" s="17">
        <f>L16/K16-1</f>
        <v>0.23781214175772614</v>
      </c>
      <c r="N16" s="20">
        <f>(I16)*(L16/M16)</f>
        <v>0.45421592521809767</v>
      </c>
      <c r="P16" s="4">
        <v>17.77</v>
      </c>
      <c r="Q16" s="4">
        <v>60.41</v>
      </c>
      <c r="R16" s="4">
        <v>58.74</v>
      </c>
      <c r="S16" s="10">
        <f>((Q16-P16)-(R16-P16))/(R16-P16)</f>
        <v>4.0761532828899237E-2</v>
      </c>
      <c r="AB16" s="62" t="s">
        <v>33</v>
      </c>
      <c r="AC16" s="62"/>
      <c r="AE16" s="26">
        <v>1.2695560460187494E-3</v>
      </c>
      <c r="AF16" s="26">
        <v>1.2304927830584234E-3</v>
      </c>
      <c r="AG16" s="26">
        <v>1.2304927830655288E-3</v>
      </c>
      <c r="AH16" s="26">
        <v>1.2109611515853658E-3</v>
      </c>
      <c r="AI16" s="26">
        <v>1.2304927830655288E-3</v>
      </c>
      <c r="AJ16" s="52">
        <f t="shared" si="6"/>
        <v>1.2343991093587193E-3</v>
      </c>
      <c r="AL16" s="33">
        <f t="shared" si="7"/>
        <v>2.1408741363911084</v>
      </c>
      <c r="AM16" s="47">
        <f t="shared" si="8"/>
        <v>4.0761532828899237E-2</v>
      </c>
      <c r="AN16" s="33">
        <f t="shared" si="12"/>
        <v>1.2343991093587193E-3</v>
      </c>
      <c r="AO16" s="43">
        <f>N16</f>
        <v>0.45421592521809767</v>
      </c>
      <c r="AP16" s="44">
        <v>0.33</v>
      </c>
      <c r="AQ16" s="56">
        <v>298.79936062858997</v>
      </c>
    </row>
    <row r="17" spans="2:43" ht="17.350000000000001" customHeight="1" x14ac:dyDescent="0.45">
      <c r="B17" s="61"/>
      <c r="C17" s="4" t="s">
        <v>28</v>
      </c>
      <c r="D17" s="4" t="s">
        <v>2</v>
      </c>
      <c r="E17" s="4">
        <v>3573.4</v>
      </c>
      <c r="F17" s="3">
        <v>939.61803067669177</v>
      </c>
      <c r="G17" s="4">
        <v>5620.8</v>
      </c>
      <c r="H17" s="4">
        <f>G17-E17</f>
        <v>2047.4</v>
      </c>
      <c r="I17" s="9">
        <f t="shared" si="1"/>
        <v>3.784813139728644E-2</v>
      </c>
      <c r="J17" s="4">
        <f t="shared" si="2"/>
        <v>2.1789705318080248</v>
      </c>
      <c r="K17" s="4">
        <f t="shared" si="3"/>
        <v>2.0995080743407137</v>
      </c>
      <c r="L17" s="17">
        <v>2.65</v>
      </c>
      <c r="M17" s="17">
        <f>L17/K17-1</f>
        <v>0.26220043275239679</v>
      </c>
      <c r="N17" s="20">
        <f t="shared" ref="N17:N19" si="14">(I17)*(L17/M17)</f>
        <v>0.38252243579446282</v>
      </c>
      <c r="P17" s="4">
        <v>18.18</v>
      </c>
      <c r="Q17" s="4">
        <v>61.78</v>
      </c>
      <c r="R17" s="4">
        <v>60.19</v>
      </c>
      <c r="S17" s="10">
        <f t="shared" si="5"/>
        <v>3.784813139728644E-2</v>
      </c>
      <c r="AB17" s="6" t="s">
        <v>31</v>
      </c>
      <c r="AC17" s="6" t="s">
        <v>32</v>
      </c>
      <c r="AE17" s="26">
        <v>2.4219223031698434E-3</v>
      </c>
      <c r="AF17" s="26">
        <v>2.3828590402175109E-3</v>
      </c>
      <c r="AG17" s="26">
        <v>2.2852008828309067E-3</v>
      </c>
      <c r="AH17" s="26">
        <v>2.2656692513578491E-3</v>
      </c>
      <c r="AI17" s="26">
        <v>2.2656692513578491E-3</v>
      </c>
      <c r="AJ17" s="52">
        <f t="shared" si="6"/>
        <v>2.3242641457867919E-3</v>
      </c>
      <c r="AL17" s="3">
        <f t="shared" si="7"/>
        <v>2.0995080743407137</v>
      </c>
      <c r="AM17" s="27">
        <f t="shared" si="8"/>
        <v>3.784813139728644E-2</v>
      </c>
      <c r="AN17" s="3">
        <f t="shared" si="12"/>
        <v>2.3242641457867919E-3</v>
      </c>
      <c r="AO17" s="43">
        <f t="shared" ref="AO17:AO19" si="15">N17</f>
        <v>0.38252243579446282</v>
      </c>
      <c r="AP17" s="44">
        <v>0.33</v>
      </c>
      <c r="AQ17" s="56">
        <v>5.4135856487067358</v>
      </c>
    </row>
    <row r="18" spans="2:43" ht="17.350000000000001" customHeight="1" x14ac:dyDescent="0.45">
      <c r="B18" s="61"/>
      <c r="C18" s="4" t="s">
        <v>28</v>
      </c>
      <c r="D18" s="4" t="s">
        <v>3</v>
      </c>
      <c r="E18" s="4">
        <v>3555.8</v>
      </c>
      <c r="F18" s="3">
        <v>939.61803067669177</v>
      </c>
      <c r="G18" s="4">
        <v>5638.8</v>
      </c>
      <c r="H18" s="4">
        <f>G18-E18</f>
        <v>2083</v>
      </c>
      <c r="I18" s="9">
        <f t="shared" si="1"/>
        <v>9.6097273975289388E-2</v>
      </c>
      <c r="J18" s="4">
        <f t="shared" si="2"/>
        <v>2.2168582679281603</v>
      </c>
      <c r="K18" s="4">
        <f t="shared" si="3"/>
        <v>2.0225013970595254</v>
      </c>
      <c r="L18" s="17">
        <v>2.65</v>
      </c>
      <c r="M18" s="17">
        <f>L18/K18-1</f>
        <v>0.31025867465544521</v>
      </c>
      <c r="N18" s="20">
        <f t="shared" si="14"/>
        <v>0.82079179999503515</v>
      </c>
      <c r="P18" s="4">
        <v>19.309999999999999</v>
      </c>
      <c r="Q18" s="4">
        <v>75.2</v>
      </c>
      <c r="R18" s="4">
        <v>70.3</v>
      </c>
      <c r="S18" s="10">
        <f t="shared" si="5"/>
        <v>9.6097273975289388E-2</v>
      </c>
      <c r="AB18" s="20">
        <v>6.6000000000000003E-2</v>
      </c>
      <c r="AC18" s="25">
        <v>2.2599999999999998</v>
      </c>
      <c r="AE18" s="26">
        <v>3.0859977733941335E-3</v>
      </c>
      <c r="AF18" s="26">
        <v>3.1250610363482423E-3</v>
      </c>
      <c r="AG18" s="26">
        <v>3.1445926678266289E-3</v>
      </c>
      <c r="AH18" s="26">
        <v>3.085997773396798E-3</v>
      </c>
      <c r="AI18" s="26">
        <v>3.046934510436472E-3</v>
      </c>
      <c r="AJ18" s="52">
        <f t="shared" si="6"/>
        <v>3.0977167522804549E-3</v>
      </c>
      <c r="AL18" s="3">
        <f t="shared" si="7"/>
        <v>2.0225013970595254</v>
      </c>
      <c r="AM18" s="27">
        <f t="shared" si="8"/>
        <v>9.6097273975289388E-2</v>
      </c>
      <c r="AN18" s="3">
        <f t="shared" si="12"/>
        <v>3.0977167522804549E-3</v>
      </c>
      <c r="AO18" s="43">
        <f t="shared" si="15"/>
        <v>0.82079179999503515</v>
      </c>
      <c r="AP18" s="44">
        <v>0.34</v>
      </c>
      <c r="AQ18" s="56">
        <v>0.32120585608479896</v>
      </c>
    </row>
    <row r="19" spans="2:43" ht="17.350000000000001" customHeight="1" x14ac:dyDescent="0.45">
      <c r="B19" s="61"/>
      <c r="C19" s="4" t="s">
        <v>28</v>
      </c>
      <c r="D19" s="4" t="s">
        <v>4</v>
      </c>
      <c r="E19" s="4">
        <v>3981.6</v>
      </c>
      <c r="F19" s="3">
        <v>939.618030676692</v>
      </c>
      <c r="G19" s="4">
        <v>6166.6</v>
      </c>
      <c r="H19" s="4">
        <f>G19-E19</f>
        <v>2185.0000000000005</v>
      </c>
      <c r="I19" s="9">
        <f t="shared" si="1"/>
        <v>8.8534664874207802E-2</v>
      </c>
      <c r="J19" s="4">
        <f t="shared" si="2"/>
        <v>2.3254130174858521</v>
      </c>
      <c r="K19" s="4">
        <f t="shared" si="3"/>
        <v>2.1362783313424192</v>
      </c>
      <c r="L19" s="17">
        <v>2.65</v>
      </c>
      <c r="M19" s="17">
        <f>L19/K19-1</f>
        <v>0.24047506409652275</v>
      </c>
      <c r="N19" s="20">
        <f t="shared" si="14"/>
        <v>0.97563904514639943</v>
      </c>
      <c r="P19" s="4">
        <v>18.95</v>
      </c>
      <c r="Q19" s="4">
        <v>75.63</v>
      </c>
      <c r="R19" s="4">
        <v>71.02</v>
      </c>
      <c r="S19" s="10">
        <f t="shared" si="5"/>
        <v>8.8534664874207802E-2</v>
      </c>
      <c r="AE19" s="26">
        <v>3.2031875622564598E-3</v>
      </c>
      <c r="AF19" s="26">
        <v>3.3594406140764477E-3</v>
      </c>
      <c r="AG19" s="26">
        <v>3.2422508252096804E-3</v>
      </c>
      <c r="AH19" s="26">
        <v>3.3399089825962847E-3</v>
      </c>
      <c r="AI19" s="26">
        <v>3.7696048750959221E-3</v>
      </c>
      <c r="AJ19" s="52">
        <f t="shared" si="6"/>
        <v>3.3828785718469589E-3</v>
      </c>
      <c r="AL19" s="3">
        <f t="shared" si="7"/>
        <v>2.1362783313424192</v>
      </c>
      <c r="AM19" s="27">
        <f t="shared" si="8"/>
        <v>8.8534664874207802E-2</v>
      </c>
      <c r="AN19" s="3">
        <f t="shared" si="12"/>
        <v>3.3828785718469589E-3</v>
      </c>
      <c r="AO19" s="43">
        <f t="shared" si="15"/>
        <v>0.97563904514639943</v>
      </c>
      <c r="AP19" s="44">
        <v>0.34</v>
      </c>
      <c r="AQ19" s="56">
        <v>0.11361470459402538</v>
      </c>
    </row>
    <row r="20" spans="2:43" ht="17.350000000000001" customHeight="1" x14ac:dyDescent="0.45">
      <c r="B20" s="61"/>
      <c r="C20" s="4" t="s">
        <v>26</v>
      </c>
      <c r="D20" s="4" t="s">
        <v>27</v>
      </c>
      <c r="E20" s="4">
        <v>3575.2</v>
      </c>
      <c r="F20" s="3">
        <v>939.61803067669177</v>
      </c>
      <c r="G20" s="4">
        <v>5800.8</v>
      </c>
      <c r="H20" s="4">
        <f>G20-E20</f>
        <v>2225.6000000000004</v>
      </c>
      <c r="I20" s="9">
        <f>S20</f>
        <v>5.6084656084655952E-2</v>
      </c>
      <c r="J20" s="4">
        <f>H20/F20</f>
        <v>2.3686220648588163</v>
      </c>
      <c r="K20" s="4">
        <f>J20/(1+I20)</f>
        <v>2.2428335183282382</v>
      </c>
      <c r="L20" s="17">
        <v>2.65</v>
      </c>
      <c r="M20" s="17">
        <f>L20/K20-1</f>
        <v>0.18154110786397348</v>
      </c>
      <c r="N20" s="20">
        <f>(I20)*(L20/M20)</f>
        <v>0.81868145663020109</v>
      </c>
      <c r="O20" s="2"/>
      <c r="P20" s="4">
        <v>18.54</v>
      </c>
      <c r="Q20" s="4">
        <v>48.48</v>
      </c>
      <c r="R20" s="4">
        <v>46.89</v>
      </c>
      <c r="S20" s="10">
        <f>((Q20-P20)-(R20-P20))/(R20-P20)</f>
        <v>5.6084656084655952E-2</v>
      </c>
      <c r="AE20" s="26">
        <v>1.0937713627221513E-3</v>
      </c>
      <c r="AF20" s="26">
        <v>1.074239731245541E-3</v>
      </c>
      <c r="AG20" s="26">
        <v>1.0937713627221513E-3</v>
      </c>
      <c r="AH20" s="26">
        <v>1.074239731245541E-3</v>
      </c>
      <c r="AI20" s="3"/>
      <c r="AJ20" s="52">
        <f t="shared" si="6"/>
        <v>1.0840055469838461E-3</v>
      </c>
      <c r="AL20" s="3">
        <f t="shared" si="7"/>
        <v>2.2428335183282382</v>
      </c>
      <c r="AM20" s="27">
        <f t="shared" si="8"/>
        <v>5.6084656084655952E-2</v>
      </c>
      <c r="AN20" s="3">
        <f t="shared" si="12"/>
        <v>1.0840055469838461E-3</v>
      </c>
      <c r="AO20" s="43">
        <f>N20</f>
        <v>0.81868145663020109</v>
      </c>
      <c r="AP20" s="44">
        <v>0.34</v>
      </c>
      <c r="AQ20" s="56">
        <v>597.4918815671075</v>
      </c>
    </row>
    <row r="23" spans="2:43" x14ac:dyDescent="0.45">
      <c r="S23" s="13"/>
    </row>
    <row r="24" spans="2:43" x14ac:dyDescent="0.45">
      <c r="S24" s="15"/>
    </row>
  </sheetData>
  <mergeCells count="10">
    <mergeCell ref="AE2:AJ2"/>
    <mergeCell ref="AL2:AQ2"/>
    <mergeCell ref="AB5:AC5"/>
    <mergeCell ref="AB11:AC11"/>
    <mergeCell ref="AB16:AC16"/>
    <mergeCell ref="B16:B20"/>
    <mergeCell ref="P2:S2"/>
    <mergeCell ref="B5:B9"/>
    <mergeCell ref="B11:B14"/>
    <mergeCell ref="C2:N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7A4A-7D14-405B-A6FD-E261CF80E2C3}">
  <dimension ref="B2:AQ41"/>
  <sheetViews>
    <sheetView zoomScale="70" zoomScaleNormal="70" workbookViewId="0">
      <selection activeCell="L10" sqref="L10:L13"/>
    </sheetView>
  </sheetViews>
  <sheetFormatPr defaultColWidth="9" defaultRowHeight="14.25" x14ac:dyDescent="0.45"/>
  <cols>
    <col min="1" max="1" width="9" style="1"/>
    <col min="2" max="2" width="5.59765625" style="1" customWidth="1"/>
    <col min="3" max="3" width="10.1328125" style="1" customWidth="1"/>
    <col min="4" max="4" width="9" style="1"/>
    <col min="5" max="6" width="9.1328125" style="1" bestFit="1" customWidth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9.26562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19" width="9.33203125" style="1" bestFit="1" customWidth="1"/>
    <col min="20" max="27" width="9" style="1"/>
    <col min="28" max="28" width="12.6640625" style="1" customWidth="1"/>
    <col min="29" max="30" width="12.3984375" style="1" customWidth="1"/>
    <col min="31" max="39" width="9" style="1"/>
    <col min="40" max="40" width="9.6640625" style="1" bestFit="1" customWidth="1"/>
    <col min="41" max="43" width="9.6640625" style="1" customWidth="1"/>
    <col min="44" max="16384" width="9" style="1"/>
  </cols>
  <sheetData>
    <row r="2" spans="2:43" x14ac:dyDescent="0.45">
      <c r="C2" s="58" t="s">
        <v>53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2"/>
      <c r="P2" s="58" t="s">
        <v>11</v>
      </c>
      <c r="Q2" s="58"/>
      <c r="R2" s="58"/>
      <c r="S2" s="58"/>
      <c r="AE2" s="58" t="s">
        <v>34</v>
      </c>
      <c r="AF2" s="58"/>
      <c r="AG2" s="58"/>
      <c r="AH2" s="58"/>
      <c r="AI2" s="58"/>
      <c r="AJ2" s="58"/>
      <c r="AK2" s="28"/>
      <c r="AL2" s="59" t="s">
        <v>51</v>
      </c>
      <c r="AM2" s="60"/>
      <c r="AN2" s="60"/>
      <c r="AO2" s="60"/>
      <c r="AP2" s="60"/>
      <c r="AQ2" s="60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42</v>
      </c>
      <c r="M3" s="7" t="s">
        <v>43</v>
      </c>
      <c r="N3" s="7" t="s">
        <v>44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K3" s="2"/>
      <c r="AL3" s="7" t="s">
        <v>13</v>
      </c>
      <c r="AM3" s="6" t="s">
        <v>11</v>
      </c>
      <c r="AN3" s="6" t="s">
        <v>40</v>
      </c>
      <c r="AO3" s="6" t="s">
        <v>44</v>
      </c>
      <c r="AP3" s="6" t="s">
        <v>49</v>
      </c>
      <c r="AQ3" s="6" t="s">
        <v>47</v>
      </c>
    </row>
    <row r="4" spans="2:43" x14ac:dyDescent="0.45">
      <c r="C4" s="2" t="s">
        <v>14</v>
      </c>
      <c r="D4" s="2" t="s">
        <v>14</v>
      </c>
      <c r="E4" s="2" t="s">
        <v>8</v>
      </c>
      <c r="F4" s="2" t="s">
        <v>21</v>
      </c>
      <c r="G4" s="2" t="s">
        <v>8</v>
      </c>
      <c r="H4" s="2" t="s">
        <v>8</v>
      </c>
      <c r="I4" s="2" t="s">
        <v>17</v>
      </c>
      <c r="J4" s="5" t="s">
        <v>15</v>
      </c>
      <c r="K4" s="5" t="s">
        <v>15</v>
      </c>
      <c r="L4" s="24" t="s">
        <v>45</v>
      </c>
      <c r="M4" s="24" t="s">
        <v>45</v>
      </c>
      <c r="N4" s="24" t="s">
        <v>46</v>
      </c>
      <c r="O4" s="2"/>
      <c r="P4" s="2" t="s">
        <v>8</v>
      </c>
      <c r="Q4" s="2" t="s">
        <v>8</v>
      </c>
      <c r="R4" s="2" t="s">
        <v>8</v>
      </c>
      <c r="S4" s="2" t="s">
        <v>17</v>
      </c>
      <c r="AE4" s="2" t="s">
        <v>41</v>
      </c>
      <c r="AF4" s="2" t="s">
        <v>41</v>
      </c>
      <c r="AG4" s="2" t="s">
        <v>41</v>
      </c>
      <c r="AH4" s="2" t="s">
        <v>41</v>
      </c>
      <c r="AI4" s="2" t="s">
        <v>41</v>
      </c>
      <c r="AJ4" s="2" t="s">
        <v>41</v>
      </c>
      <c r="AK4" s="2"/>
      <c r="AL4" s="29" t="s">
        <v>15</v>
      </c>
      <c r="AM4" s="4" t="s">
        <v>17</v>
      </c>
      <c r="AN4" s="4" t="s">
        <v>41</v>
      </c>
      <c r="AO4" s="19" t="s">
        <v>17</v>
      </c>
      <c r="AP4" s="19" t="s">
        <v>14</v>
      </c>
      <c r="AQ4" s="19" t="s">
        <v>48</v>
      </c>
    </row>
    <row r="5" spans="2:43" ht="19.25" customHeight="1" x14ac:dyDescent="0.45">
      <c r="B5" s="61" t="s">
        <v>29</v>
      </c>
      <c r="C5" s="4" t="s">
        <v>10</v>
      </c>
      <c r="D5" s="4" t="s">
        <v>1</v>
      </c>
      <c r="E5" s="4">
        <v>3579</v>
      </c>
      <c r="F5" s="3">
        <v>939.61803067669177</v>
      </c>
      <c r="G5" s="4">
        <v>5392.4</v>
      </c>
      <c r="H5" s="4">
        <f>G5-E5</f>
        <v>1813.3999999999996</v>
      </c>
      <c r="I5" s="9">
        <f>S5</f>
        <v>0.1622203098106714</v>
      </c>
      <c r="J5" s="4">
        <f>H5/F5</f>
        <v>1.9299331651756721</v>
      </c>
      <c r="K5" s="4">
        <f>J5/(1+I5)</f>
        <v>1.6605570810323071</v>
      </c>
      <c r="L5" s="17">
        <v>2.65</v>
      </c>
      <c r="M5" s="17">
        <f>L5/K5-1</f>
        <v>0.59584998930153765</v>
      </c>
      <c r="N5" s="20">
        <f>I5*(L5/M5)</f>
        <v>0.72146316810745281</v>
      </c>
      <c r="O5" s="2"/>
      <c r="P5" s="4">
        <v>18.260000000000002</v>
      </c>
      <c r="Q5" s="4">
        <v>45.27</v>
      </c>
      <c r="R5" s="4">
        <v>41.5</v>
      </c>
      <c r="S5" s="8">
        <f>((Q5-P5)-(R5-P5))/(R5-P5)</f>
        <v>0.1622203098106714</v>
      </c>
      <c r="AB5" s="62" t="s">
        <v>33</v>
      </c>
      <c r="AC5" s="62"/>
      <c r="AE5" s="26">
        <v>1.5429988866948463E-3</v>
      </c>
      <c r="AF5" s="26">
        <v>1.523467255218236E-3</v>
      </c>
      <c r="AG5" s="26">
        <v>1.5429988866912936E-3</v>
      </c>
      <c r="AH5" s="26">
        <v>1.5039356237309676E-3</v>
      </c>
      <c r="AI5" s="26">
        <v>1.5234672552253414E-3</v>
      </c>
      <c r="AJ5" s="30">
        <f>AVERAGE(AE5:AI5)</f>
        <v>1.5273735815121369E-3</v>
      </c>
      <c r="AK5" s="2"/>
      <c r="AL5" s="3">
        <f>K5</f>
        <v>1.6605570810323071</v>
      </c>
      <c r="AM5" s="27">
        <f>S5</f>
        <v>0.1622203098106714</v>
      </c>
      <c r="AN5" s="36">
        <f>AJ5</f>
        <v>1.5273735815121369E-3</v>
      </c>
      <c r="AO5" s="43">
        <f>N5</f>
        <v>0.72146316810745281</v>
      </c>
      <c r="AP5" s="44">
        <v>0.21</v>
      </c>
      <c r="AQ5" s="44">
        <v>100.71455670963222</v>
      </c>
    </row>
    <row r="6" spans="2:43" ht="19.25" customHeight="1" x14ac:dyDescent="0.45">
      <c r="B6" s="61"/>
      <c r="C6" s="4" t="s">
        <v>10</v>
      </c>
      <c r="D6" s="4" t="s">
        <v>2</v>
      </c>
      <c r="E6" s="4">
        <v>3573.4</v>
      </c>
      <c r="F6" s="3">
        <v>939.61803067669177</v>
      </c>
      <c r="G6" s="4">
        <v>5446.6</v>
      </c>
      <c r="H6" s="4">
        <f t="shared" ref="H6:H19" si="0">G6-E6</f>
        <v>1873.2000000000003</v>
      </c>
      <c r="I6" s="9">
        <f t="shared" ref="I6:I19" si="1">S6</f>
        <v>0.19980314960629944</v>
      </c>
      <c r="J6" s="4">
        <f t="shared" ref="J6:J19" si="2">H6/F6</f>
        <v>1.9935760477594962</v>
      </c>
      <c r="K6" s="4">
        <f t="shared" ref="K6:K19" si="3">J6/(1+I6)</f>
        <v>1.6615859430054534</v>
      </c>
      <c r="L6" s="17">
        <v>2.65</v>
      </c>
      <c r="M6" s="17">
        <f t="shared" ref="M6:M7" si="4">L6/K6-1</f>
        <v>0.59486183134573056</v>
      </c>
      <c r="N6" s="20">
        <f t="shared" ref="N6:N8" si="5">I6*(L6/M6)</f>
        <v>0.89008626635008214</v>
      </c>
      <c r="O6" s="2"/>
      <c r="P6" s="4">
        <v>17.77</v>
      </c>
      <c r="Q6" s="4">
        <v>54.34</v>
      </c>
      <c r="R6" s="4">
        <v>48.25</v>
      </c>
      <c r="S6" s="8">
        <f t="shared" ref="S6:S19" si="6">((Q6-P6)-(R6-P6))/(R6-P6)</f>
        <v>0.19980314960629944</v>
      </c>
      <c r="AB6" s="6" t="s">
        <v>31</v>
      </c>
      <c r="AC6" s="6" t="s">
        <v>32</v>
      </c>
      <c r="AE6" s="26">
        <v>2.8320865641906501E-3</v>
      </c>
      <c r="AF6" s="26">
        <v>2.8906814586200369E-3</v>
      </c>
      <c r="AG6" s="26">
        <v>2.851618195670369E-3</v>
      </c>
      <c r="AH6" s="26">
        <v>2.9688079845300308E-3</v>
      </c>
      <c r="AI6" s="26">
        <v>2.9102130900966472E-3</v>
      </c>
      <c r="AJ6" s="30">
        <f>AVERAGE(AE6:AI6)</f>
        <v>2.890681458621547E-3</v>
      </c>
      <c r="AK6" s="2"/>
      <c r="AL6" s="3">
        <f t="shared" ref="AL6:AL19" si="7">K6</f>
        <v>1.6615859430054534</v>
      </c>
      <c r="AM6" s="27">
        <f t="shared" ref="AM6:AM19" si="8">S6</f>
        <v>0.19980314960629944</v>
      </c>
      <c r="AN6" s="36">
        <f t="shared" ref="AN6:AN19" si="9">AJ6</f>
        <v>2.890681458621547E-3</v>
      </c>
      <c r="AO6" s="43">
        <f t="shared" ref="AO6:AO8" si="10">N6</f>
        <v>0.89008626635008214</v>
      </c>
      <c r="AP6" s="44">
        <v>0.215</v>
      </c>
      <c r="AQ6" s="44">
        <v>0.75816786595245822</v>
      </c>
    </row>
    <row r="7" spans="2:43" ht="19.25" customHeight="1" x14ac:dyDescent="0.45">
      <c r="B7" s="61"/>
      <c r="C7" s="4" t="s">
        <v>10</v>
      </c>
      <c r="D7" s="4" t="s">
        <v>3</v>
      </c>
      <c r="E7" s="4">
        <v>3575.8</v>
      </c>
      <c r="F7" s="3">
        <v>939.61803067669177</v>
      </c>
      <c r="G7" s="4">
        <v>5369.6</v>
      </c>
      <c r="H7" s="4">
        <f t="shared" si="0"/>
        <v>1793.8000000000002</v>
      </c>
      <c r="I7" s="9">
        <f t="shared" si="1"/>
        <v>0.26691858467880425</v>
      </c>
      <c r="J7" s="4">
        <f t="shared" si="2"/>
        <v>1.909073625064587</v>
      </c>
      <c r="K7" s="4">
        <f t="shared" si="3"/>
        <v>1.5068636991765223</v>
      </c>
      <c r="L7" s="17">
        <v>2.65</v>
      </c>
      <c r="M7" s="17">
        <f t="shared" si="4"/>
        <v>0.75861957617545905</v>
      </c>
      <c r="N7" s="20">
        <f t="shared" si="5"/>
        <v>0.93239651547725655</v>
      </c>
      <c r="O7" s="2"/>
      <c r="P7" s="4">
        <v>19.059999999999999</v>
      </c>
      <c r="Q7" s="4">
        <v>55.94</v>
      </c>
      <c r="R7" s="4">
        <v>48.17</v>
      </c>
      <c r="S7" s="8">
        <f t="shared" si="6"/>
        <v>0.26691858467880425</v>
      </c>
      <c r="AB7" s="20">
        <v>0.18099999999999999</v>
      </c>
      <c r="AC7" s="25">
        <v>1.67</v>
      </c>
      <c r="AE7" s="26">
        <v>3.1836559307798495E-3</v>
      </c>
      <c r="AF7" s="26">
        <v>3.0469345104400247E-3</v>
      </c>
      <c r="AG7" s="26">
        <v>3.2422508252167859E-3</v>
      </c>
      <c r="AH7" s="26">
        <v>3.0274028789705199E-3</v>
      </c>
      <c r="AI7" s="3"/>
      <c r="AJ7" s="30">
        <f>AVERAGE(AE7:AI7)</f>
        <v>3.125061036351795E-3</v>
      </c>
      <c r="AK7" s="2"/>
      <c r="AL7" s="3">
        <f t="shared" si="7"/>
        <v>1.5068636991765223</v>
      </c>
      <c r="AM7" s="27">
        <f t="shared" si="8"/>
        <v>0.26691858467880425</v>
      </c>
      <c r="AN7" s="36">
        <f t="shared" si="9"/>
        <v>3.125061036351795E-3</v>
      </c>
      <c r="AO7" s="43">
        <f t="shared" si="10"/>
        <v>0.93239651547725655</v>
      </c>
      <c r="AP7" s="44">
        <v>0.215</v>
      </c>
      <c r="AQ7" s="44">
        <v>0.32720703518982408</v>
      </c>
    </row>
    <row r="8" spans="2:43" ht="19.25" customHeight="1" x14ac:dyDescent="0.45">
      <c r="B8" s="61"/>
      <c r="C8" s="4" t="s">
        <v>10</v>
      </c>
      <c r="D8" s="4" t="s">
        <v>4</v>
      </c>
      <c r="E8" s="4">
        <v>3981.6</v>
      </c>
      <c r="F8" s="3">
        <v>939.61803067669177</v>
      </c>
      <c r="G8" s="4">
        <v>5634.4</v>
      </c>
      <c r="H8" s="4">
        <f>G8-E8</f>
        <v>1652.7999999999997</v>
      </c>
      <c r="I8" s="9">
        <f t="shared" si="1"/>
        <v>0.11699064074874009</v>
      </c>
      <c r="J8" s="4">
        <f t="shared" si="2"/>
        <v>1.7590126477348358</v>
      </c>
      <c r="K8" s="4">
        <f t="shared" si="3"/>
        <v>1.5747783227223249</v>
      </c>
      <c r="L8" s="17">
        <v>2.65</v>
      </c>
      <c r="M8" s="17">
        <f>L8/K8-1</f>
        <v>0.68277652909200293</v>
      </c>
      <c r="N8" s="20">
        <f t="shared" si="5"/>
        <v>0.45406540028031028</v>
      </c>
      <c r="O8" s="2"/>
      <c r="P8" s="4">
        <v>18.47</v>
      </c>
      <c r="Q8" s="4">
        <v>49.5</v>
      </c>
      <c r="R8" s="4">
        <v>46.25</v>
      </c>
      <c r="S8" s="8">
        <f t="shared" si="6"/>
        <v>0.11699064074874009</v>
      </c>
      <c r="AE8" s="26">
        <v>1.6211254126066166E-3</v>
      </c>
      <c r="AF8" s="26">
        <v>1.6015937811282299E-3</v>
      </c>
      <c r="AG8" s="26">
        <v>1.6015937811282299E-3</v>
      </c>
      <c r="AH8" s="26">
        <v>1.6015937811317826E-3</v>
      </c>
      <c r="AI8" s="26">
        <v>1.5820621496516196E-3</v>
      </c>
      <c r="AJ8" s="30">
        <f>AVERAGE(AE8:AI8)</f>
        <v>1.6015937811292957E-3</v>
      </c>
      <c r="AL8" s="32">
        <f t="shared" si="7"/>
        <v>1.5747783227223249</v>
      </c>
      <c r="AM8" s="27">
        <f t="shared" si="8"/>
        <v>0.11699064074874009</v>
      </c>
      <c r="AN8" s="37">
        <f t="shared" si="9"/>
        <v>1.6015937811292957E-3</v>
      </c>
      <c r="AO8" s="43">
        <f t="shared" si="10"/>
        <v>0.45406540028031028</v>
      </c>
      <c r="AP8" s="44">
        <v>0.18</v>
      </c>
      <c r="AQ8" s="44">
        <v>77.674196234164967</v>
      </c>
    </row>
    <row r="9" spans="2:43" ht="67.900000000000006" customHeight="1" x14ac:dyDescent="0.45">
      <c r="B9" s="16"/>
      <c r="C9" s="2"/>
      <c r="D9" s="2"/>
      <c r="E9" s="2"/>
      <c r="G9" s="2"/>
      <c r="H9" s="2"/>
      <c r="I9" s="11"/>
      <c r="J9" s="2"/>
      <c r="K9" s="2"/>
      <c r="L9" s="2"/>
      <c r="M9" s="2"/>
      <c r="N9" s="2"/>
      <c r="O9" s="2"/>
      <c r="P9" s="2"/>
      <c r="Q9" s="2"/>
      <c r="R9" s="2"/>
      <c r="S9" s="12"/>
      <c r="AL9" s="34"/>
      <c r="AM9" s="35"/>
      <c r="AN9" s="34"/>
    </row>
    <row r="10" spans="2:43" ht="19.25" customHeight="1" x14ac:dyDescent="0.45">
      <c r="B10" s="61" t="s">
        <v>26</v>
      </c>
      <c r="C10" s="4" t="s">
        <v>26</v>
      </c>
      <c r="D10" s="4" t="s">
        <v>5</v>
      </c>
      <c r="E10" s="4">
        <v>3557</v>
      </c>
      <c r="F10" s="3">
        <v>939.61803067669177</v>
      </c>
      <c r="G10" s="4">
        <v>5367.4</v>
      </c>
      <c r="H10" s="4">
        <f t="shared" si="0"/>
        <v>1810.3999999999996</v>
      </c>
      <c r="I10" s="9">
        <f t="shared" si="1"/>
        <v>0.10631793478260841</v>
      </c>
      <c r="J10" s="4">
        <f t="shared" si="2"/>
        <v>1.9267403784239754</v>
      </c>
      <c r="K10" s="4">
        <f t="shared" si="3"/>
        <v>1.741579267448629</v>
      </c>
      <c r="L10" s="17">
        <v>2.65</v>
      </c>
      <c r="M10" s="17">
        <f>L10/K10-1</f>
        <v>0.52160745682404963</v>
      </c>
      <c r="N10" s="20">
        <f>I10*(L10/M10)</f>
        <v>0.54014282865007168</v>
      </c>
      <c r="O10" s="2"/>
      <c r="P10" s="4">
        <v>18.84</v>
      </c>
      <c r="Q10" s="4">
        <v>51.41</v>
      </c>
      <c r="R10" s="4">
        <v>48.28</v>
      </c>
      <c r="S10" s="10">
        <f t="shared" si="6"/>
        <v>0.10631793478260841</v>
      </c>
      <c r="AB10" s="62" t="s">
        <v>33</v>
      </c>
      <c r="AC10" s="62"/>
      <c r="AE10" s="26">
        <v>1.1914295201123082E-3</v>
      </c>
      <c r="AF10" s="26">
        <v>1.2109611515853658E-3</v>
      </c>
      <c r="AG10" s="26">
        <v>1.2890876774935833E-3</v>
      </c>
      <c r="AH10" s="26">
        <v>1.2500244145385864E-3</v>
      </c>
      <c r="AI10" s="26">
        <v>1.1523662571590876E-3</v>
      </c>
      <c r="AJ10" s="31">
        <f>AVERAGE(AG10:AH10)</f>
        <v>1.2695560460160848E-3</v>
      </c>
      <c r="AL10" s="33">
        <f t="shared" si="7"/>
        <v>1.741579267448629</v>
      </c>
      <c r="AM10" s="27">
        <f t="shared" si="8"/>
        <v>0.10631793478260841</v>
      </c>
      <c r="AN10" s="38">
        <f t="shared" si="9"/>
        <v>1.2695560460160848E-3</v>
      </c>
      <c r="AO10" s="43">
        <f t="shared" ref="AO10" si="11">N10</f>
        <v>0.54014282865007168</v>
      </c>
      <c r="AP10" s="44">
        <v>0.19</v>
      </c>
      <c r="AQ10" s="44">
        <v>269.20592640339328</v>
      </c>
    </row>
    <row r="11" spans="2:43" ht="19.25" customHeight="1" x14ac:dyDescent="0.45">
      <c r="B11" s="61"/>
      <c r="C11" s="4" t="s">
        <v>26</v>
      </c>
      <c r="D11" s="4" t="s">
        <v>6</v>
      </c>
      <c r="E11" s="4">
        <v>3580.8</v>
      </c>
      <c r="F11" s="3">
        <v>939.61803067669177</v>
      </c>
      <c r="G11" s="4">
        <v>5506.4</v>
      </c>
      <c r="H11" s="4">
        <f t="shared" si="0"/>
        <v>1925.5999999999995</v>
      </c>
      <c r="I11" s="9">
        <f t="shared" si="1"/>
        <v>0.14524886877828025</v>
      </c>
      <c r="J11" s="4">
        <f t="shared" si="2"/>
        <v>2.0493433896891333</v>
      </c>
      <c r="K11" s="4">
        <f t="shared" si="3"/>
        <v>1.7894306168364227</v>
      </c>
      <c r="L11" s="17">
        <v>2.65</v>
      </c>
      <c r="M11" s="17">
        <f t="shared" ref="M11:M14" si="12">L11/K11-1</f>
        <v>0.4809179942863604</v>
      </c>
      <c r="N11" s="20">
        <f t="shared" ref="N11:N14" si="13">I11*(L11/M11)</f>
        <v>0.80036410954764581</v>
      </c>
      <c r="O11" s="2"/>
      <c r="P11" s="4">
        <v>14.74</v>
      </c>
      <c r="Q11" s="4">
        <v>40.049999999999997</v>
      </c>
      <c r="R11" s="4">
        <v>36.840000000000003</v>
      </c>
      <c r="S11" s="10">
        <f t="shared" si="6"/>
        <v>0.14524886877828025</v>
      </c>
      <c r="AB11" s="6" t="s">
        <v>31</v>
      </c>
      <c r="AC11" s="6" t="s">
        <v>32</v>
      </c>
      <c r="AE11" s="26">
        <v>1.2695560460187494E-3</v>
      </c>
      <c r="AF11" s="26">
        <v>1.2695560460151967E-3</v>
      </c>
      <c r="AG11" s="26">
        <v>1.2500244145385864E-3</v>
      </c>
      <c r="AH11" s="26">
        <v>1.2304927830655288E-3</v>
      </c>
      <c r="AI11" s="3"/>
      <c r="AJ11" s="30">
        <f>AVERAGE(AE11:AI11)</f>
        <v>1.2549073224095153E-3</v>
      </c>
      <c r="AL11" s="3">
        <f t="shared" si="7"/>
        <v>1.7894306168364227</v>
      </c>
      <c r="AM11" s="27">
        <f t="shared" si="8"/>
        <v>0.14524886877828025</v>
      </c>
      <c r="AN11" s="36">
        <f t="shared" si="9"/>
        <v>1.2549073224095153E-3</v>
      </c>
      <c r="AO11" s="43">
        <f t="shared" ref="AO11:AO14" si="14">N11</f>
        <v>0.80036410954764581</v>
      </c>
      <c r="AP11" s="44">
        <v>0.215</v>
      </c>
      <c r="AQ11" s="44">
        <v>283.13080849310757</v>
      </c>
    </row>
    <row r="12" spans="2:43" ht="19.25" customHeight="1" x14ac:dyDescent="0.45">
      <c r="B12" s="61"/>
      <c r="C12" s="4" t="s">
        <v>26</v>
      </c>
      <c r="D12" s="4" t="s">
        <v>7</v>
      </c>
      <c r="E12" s="4">
        <v>3594.6</v>
      </c>
      <c r="F12" s="3">
        <v>939.61803067669177</v>
      </c>
      <c r="G12" s="4">
        <v>5571.6</v>
      </c>
      <c r="H12" s="4">
        <f t="shared" si="0"/>
        <v>1977.0000000000005</v>
      </c>
      <c r="I12" s="9">
        <f t="shared" si="1"/>
        <v>0.16490566037735838</v>
      </c>
      <c r="J12" s="4">
        <f t="shared" si="2"/>
        <v>2.1040464693682064</v>
      </c>
      <c r="K12" s="4">
        <f t="shared" si="3"/>
        <v>1.8061947339895521</v>
      </c>
      <c r="L12" s="17">
        <v>2.65</v>
      </c>
      <c r="M12" s="17">
        <f>L12/K12-1</f>
        <v>0.46717291891701906</v>
      </c>
      <c r="N12" s="20">
        <f t="shared" si="13"/>
        <v>0.93541380997219403</v>
      </c>
      <c r="O12" s="2"/>
      <c r="P12" s="4">
        <v>19.059999999999999</v>
      </c>
      <c r="Q12" s="4">
        <v>49.93</v>
      </c>
      <c r="R12" s="4">
        <v>45.56</v>
      </c>
      <c r="S12" s="10">
        <f t="shared" si="6"/>
        <v>0.16490566037735838</v>
      </c>
      <c r="AB12" s="20">
        <v>0.15</v>
      </c>
      <c r="AC12" s="25">
        <v>1.7949999999999999</v>
      </c>
      <c r="AE12" s="26">
        <v>1.4844039922650154E-3</v>
      </c>
      <c r="AF12" s="26">
        <v>1.4648723607919578E-3</v>
      </c>
      <c r="AG12" s="26">
        <v>1.4648723607919578E-3</v>
      </c>
      <c r="AH12" s="26">
        <v>1.4453407293189002E-3</v>
      </c>
      <c r="AI12" s="26">
        <v>1.4648723607990632E-3</v>
      </c>
      <c r="AJ12" s="30">
        <f>AVERAGE(AE12:AI12)</f>
        <v>1.464872360793379E-3</v>
      </c>
      <c r="AL12" s="3">
        <f t="shared" si="7"/>
        <v>1.8061947339895521</v>
      </c>
      <c r="AM12" s="27">
        <f t="shared" si="8"/>
        <v>0.16490566037735838</v>
      </c>
      <c r="AN12" s="36">
        <f t="shared" si="9"/>
        <v>1.464872360793379E-3</v>
      </c>
      <c r="AO12" s="43">
        <f t="shared" si="14"/>
        <v>0.93541380997219403</v>
      </c>
      <c r="AP12" s="44">
        <v>0.215</v>
      </c>
      <c r="AQ12" s="44">
        <v>127.56596110477381</v>
      </c>
    </row>
    <row r="13" spans="2:43" ht="19.25" customHeight="1" x14ac:dyDescent="0.45">
      <c r="B13" s="61"/>
      <c r="C13" s="4" t="s">
        <v>26</v>
      </c>
      <c r="D13" s="4" t="s">
        <v>27</v>
      </c>
      <c r="E13" s="4">
        <v>3625.2</v>
      </c>
      <c r="F13" s="3">
        <v>939.61803067669177</v>
      </c>
      <c r="G13" s="4">
        <v>5317</v>
      </c>
      <c r="H13" s="4">
        <f t="shared" si="0"/>
        <v>1691.8000000000002</v>
      </c>
      <c r="I13" s="9">
        <f t="shared" si="1"/>
        <v>7.9882740930743851E-2</v>
      </c>
      <c r="J13" s="4">
        <f t="shared" si="2"/>
        <v>1.800518875506895</v>
      </c>
      <c r="K13" s="4">
        <f t="shared" si="3"/>
        <v>1.6673281341222654</v>
      </c>
      <c r="L13" s="17">
        <v>2.65</v>
      </c>
      <c r="M13" s="17">
        <f t="shared" si="12"/>
        <v>0.58936921039543555</v>
      </c>
      <c r="N13" s="20">
        <f t="shared" si="13"/>
        <v>0.35917937301889064</v>
      </c>
      <c r="O13" s="2"/>
      <c r="P13" s="4">
        <v>19.02</v>
      </c>
      <c r="Q13" s="4">
        <v>48.49</v>
      </c>
      <c r="R13" s="4">
        <v>46.31</v>
      </c>
      <c r="S13" s="10">
        <f t="shared" si="6"/>
        <v>7.9882740930743851E-2</v>
      </c>
      <c r="AE13" s="26">
        <v>1.2109611515853658E-3</v>
      </c>
      <c r="AF13" s="26">
        <v>1.2109611515853658E-3</v>
      </c>
      <c r="AG13" s="26">
        <v>1.3867458348792994E-3</v>
      </c>
      <c r="AH13" s="26">
        <v>1.2109611515853658E-3</v>
      </c>
      <c r="AI13" s="26">
        <v>1.1914295201052028E-3</v>
      </c>
      <c r="AJ13" s="30">
        <f>AVERAGE(AF13:AG13)</f>
        <v>1.2988534932323326E-3</v>
      </c>
      <c r="AL13" s="3">
        <f t="shared" si="7"/>
        <v>1.6673281341222654</v>
      </c>
      <c r="AM13" s="27">
        <f t="shared" si="8"/>
        <v>7.9882740930743851E-2</v>
      </c>
      <c r="AN13" s="36">
        <f t="shared" si="9"/>
        <v>1.2988534932323326E-3</v>
      </c>
      <c r="AO13" s="43">
        <f t="shared" si="14"/>
        <v>0.35917937301889064</v>
      </c>
      <c r="AP13" s="44">
        <v>0.17499999999999999</v>
      </c>
      <c r="AQ13" s="44">
        <v>241.60329115998658</v>
      </c>
    </row>
    <row r="14" spans="2:43" ht="19.25" customHeight="1" x14ac:dyDescent="0.45">
      <c r="B14" s="61"/>
      <c r="C14" s="4" t="s">
        <v>26</v>
      </c>
      <c r="D14" s="4" t="s">
        <v>27</v>
      </c>
      <c r="E14" s="4">
        <v>3625.2</v>
      </c>
      <c r="F14" s="3">
        <v>939.61803067669177</v>
      </c>
      <c r="G14" s="4">
        <v>5409.4</v>
      </c>
      <c r="H14" s="4">
        <f>G14-E14</f>
        <v>1784.1999999999998</v>
      </c>
      <c r="I14" s="9">
        <f>S14</f>
        <v>0.22849968612680469</v>
      </c>
      <c r="J14" s="4">
        <f>H14/F14</f>
        <v>1.8988567074591567</v>
      </c>
      <c r="K14" s="4">
        <f>J14/(1+I14)</f>
        <v>1.5456713004509131</v>
      </c>
      <c r="L14" s="17">
        <v>2.65</v>
      </c>
      <c r="M14" s="17">
        <f t="shared" si="12"/>
        <v>0.71446542303459015</v>
      </c>
      <c r="N14" s="20">
        <f t="shared" si="13"/>
        <v>0.84752060591561551</v>
      </c>
      <c r="O14" s="2"/>
      <c r="P14" s="4">
        <v>19.559999999999999</v>
      </c>
      <c r="Q14" s="4">
        <v>58.7</v>
      </c>
      <c r="R14" s="4">
        <v>51.42</v>
      </c>
      <c r="S14" s="10">
        <f>((Q14-P14)-(R14-P14))/(R14-P14)</f>
        <v>0.22849968612680469</v>
      </c>
      <c r="AE14" s="26">
        <v>2.2461376198754657E-3</v>
      </c>
      <c r="AF14" s="26">
        <v>1.7578468329464414E-3</v>
      </c>
      <c r="AG14" s="26">
        <v>1.6406570440814505E-3</v>
      </c>
      <c r="AH14" s="26">
        <v>1.6406570440850032E-3</v>
      </c>
      <c r="AI14" s="26">
        <v>1.6015937811282299E-3</v>
      </c>
      <c r="AJ14" s="30">
        <f>AVERAGE(AE14:AI14)</f>
        <v>1.7773784644233182E-3</v>
      </c>
      <c r="AL14" s="32">
        <f t="shared" si="7"/>
        <v>1.5456713004509131</v>
      </c>
      <c r="AM14" s="27">
        <f t="shared" si="8"/>
        <v>0.22849968612680469</v>
      </c>
      <c r="AN14" s="37">
        <f t="shared" si="9"/>
        <v>1.7773784644233182E-3</v>
      </c>
      <c r="AO14" s="43">
        <f t="shared" si="14"/>
        <v>0.84752060591561551</v>
      </c>
      <c r="AP14" s="44">
        <v>0.215</v>
      </c>
      <c r="AQ14" s="44">
        <v>41.043405804825191</v>
      </c>
    </row>
    <row r="15" spans="2:43" ht="67.900000000000006" customHeight="1" x14ac:dyDescent="0.45">
      <c r="AL15" s="34"/>
      <c r="AM15" s="35"/>
      <c r="AN15" s="39"/>
      <c r="AO15" s="41"/>
      <c r="AP15" s="41"/>
      <c r="AQ15" s="41"/>
    </row>
    <row r="16" spans="2:43" ht="19.25" customHeight="1" x14ac:dyDescent="0.45">
      <c r="B16" s="61" t="s">
        <v>30</v>
      </c>
      <c r="C16" s="4" t="s">
        <v>28</v>
      </c>
      <c r="D16" s="4" t="s">
        <v>1</v>
      </c>
      <c r="E16" s="4">
        <v>3579</v>
      </c>
      <c r="F16" s="3">
        <v>939.61803067669177</v>
      </c>
      <c r="G16" s="4">
        <v>5397</v>
      </c>
      <c r="H16" s="4">
        <f t="shared" si="0"/>
        <v>1818</v>
      </c>
      <c r="I16" s="9">
        <f t="shared" si="1"/>
        <v>9.0436590436590164E-2</v>
      </c>
      <c r="J16" s="4">
        <f t="shared" si="2"/>
        <v>1.9348287715282744</v>
      </c>
      <c r="K16" s="4">
        <f t="shared" si="3"/>
        <v>1.7743615616875121</v>
      </c>
      <c r="L16" s="17">
        <v>2.65</v>
      </c>
      <c r="M16" s="17">
        <f>L16/K16-1</f>
        <v>0.4934949320473947</v>
      </c>
      <c r="N16" s="20">
        <f>I16*(L16/M16)</f>
        <v>0.48563206852537144</v>
      </c>
      <c r="P16" s="4">
        <v>18.39</v>
      </c>
      <c r="Q16" s="4">
        <v>39.369999999999997</v>
      </c>
      <c r="R16" s="4">
        <v>37.630000000000003</v>
      </c>
      <c r="S16" s="10">
        <f>((Q16-P16)-(R16-P16))/(R16-P16)</f>
        <v>9.0436590436590164E-2</v>
      </c>
      <c r="AB16" s="62" t="s">
        <v>33</v>
      </c>
      <c r="AC16" s="62"/>
      <c r="AE16" s="26">
        <v>1.2695560460187494E-3</v>
      </c>
      <c r="AF16" s="26">
        <v>1.1914295201123082E-3</v>
      </c>
      <c r="AG16" s="26">
        <v>1.2109611515853658E-3</v>
      </c>
      <c r="AH16" s="26">
        <v>1.1914295201052028E-3</v>
      </c>
      <c r="AI16" s="26">
        <v>1.1718978886250397E-3</v>
      </c>
      <c r="AJ16" s="30">
        <f>AVERAGE(AE16:AI16)</f>
        <v>1.2070548252893331E-3</v>
      </c>
      <c r="AL16" s="33">
        <f t="shared" si="7"/>
        <v>1.7743615616875121</v>
      </c>
      <c r="AM16" s="27">
        <f t="shared" si="8"/>
        <v>9.0436590436590164E-2</v>
      </c>
      <c r="AN16" s="38">
        <f t="shared" si="9"/>
        <v>1.2070548252893331E-3</v>
      </c>
      <c r="AO16" s="43">
        <f t="shared" ref="AO16:AO19" si="15">N16</f>
        <v>0.48563206852537144</v>
      </c>
      <c r="AP16" s="44">
        <v>0.185</v>
      </c>
      <c r="AQ16" s="44">
        <v>349.3458640206116</v>
      </c>
    </row>
    <row r="17" spans="2:43" ht="19.25" customHeight="1" x14ac:dyDescent="0.45">
      <c r="B17" s="61"/>
      <c r="C17" s="4" t="s">
        <v>28</v>
      </c>
      <c r="D17" s="4" t="s">
        <v>2</v>
      </c>
      <c r="E17" s="4">
        <v>3573.4</v>
      </c>
      <c r="F17" s="3">
        <v>939.61803067669177</v>
      </c>
      <c r="G17" s="4">
        <v>5541.8</v>
      </c>
      <c r="H17" s="4">
        <f t="shared" si="0"/>
        <v>1968.4</v>
      </c>
      <c r="I17" s="9">
        <f t="shared" si="1"/>
        <v>0.1508515815085158</v>
      </c>
      <c r="J17" s="4">
        <f t="shared" si="2"/>
        <v>2.094893814013342</v>
      </c>
      <c r="K17" s="4">
        <f t="shared" si="3"/>
        <v>1.8202988531912971</v>
      </c>
      <c r="L17" s="17">
        <v>2.65</v>
      </c>
      <c r="M17" s="17">
        <f>L17/K17-1</f>
        <v>0.45580490552641617</v>
      </c>
      <c r="N17" s="20">
        <f>I17*(L17/M17)</f>
        <v>0.87703463949314364</v>
      </c>
      <c r="P17" s="4">
        <v>19.03</v>
      </c>
      <c r="Q17" s="4">
        <v>47.41</v>
      </c>
      <c r="R17" s="4">
        <v>43.69</v>
      </c>
      <c r="S17" s="10">
        <f t="shared" si="6"/>
        <v>0.1508515815085158</v>
      </c>
      <c r="AB17" s="6" t="s">
        <v>31</v>
      </c>
      <c r="AC17" s="6" t="s">
        <v>32</v>
      </c>
      <c r="AE17" s="26">
        <v>1.0937713627185985E-3</v>
      </c>
      <c r="AF17" s="26">
        <v>1.1914295201123082E-3</v>
      </c>
      <c r="AG17" s="26">
        <v>1.074239731245541E-3</v>
      </c>
      <c r="AH17" s="26">
        <v>1.0742397312384355E-3</v>
      </c>
      <c r="AI17" s="26">
        <v>1.0742397312526464E-3</v>
      </c>
      <c r="AJ17" s="30">
        <f>AVERAGE(AE17:AI17)</f>
        <v>1.101584015313506E-3</v>
      </c>
      <c r="AL17" s="3">
        <f t="shared" si="7"/>
        <v>1.8202988531912971</v>
      </c>
      <c r="AM17" s="27">
        <f t="shared" si="8"/>
        <v>0.1508515815085158</v>
      </c>
      <c r="AN17" s="36">
        <f t="shared" si="9"/>
        <v>1.101584015313506E-3</v>
      </c>
      <c r="AO17" s="43">
        <f t="shared" si="15"/>
        <v>0.87703463949314364</v>
      </c>
      <c r="AP17" s="44">
        <v>0.215</v>
      </c>
      <c r="AQ17" s="44">
        <v>562.17161141874726</v>
      </c>
    </row>
    <row r="18" spans="2:43" ht="19.25" customHeight="1" x14ac:dyDescent="0.45">
      <c r="B18" s="61"/>
      <c r="C18" s="4" t="s">
        <v>28</v>
      </c>
      <c r="D18" s="4" t="s">
        <v>3</v>
      </c>
      <c r="E18" s="4">
        <v>3575.8</v>
      </c>
      <c r="F18" s="3">
        <v>939.61803067669177</v>
      </c>
      <c r="G18" s="4">
        <v>5540.4</v>
      </c>
      <c r="H18" s="4">
        <f t="shared" si="0"/>
        <v>1964.5999999999995</v>
      </c>
      <c r="I18" s="9">
        <f t="shared" si="1"/>
        <v>0.18550811785929003</v>
      </c>
      <c r="J18" s="4">
        <f t="shared" si="2"/>
        <v>2.0908496174611919</v>
      </c>
      <c r="K18" s="4">
        <f t="shared" si="3"/>
        <v>1.7636738086928547</v>
      </c>
      <c r="L18" s="17">
        <v>2.65</v>
      </c>
      <c r="M18" s="17">
        <f>L18/K18-1</f>
        <v>0.50254541794440155</v>
      </c>
      <c r="N18" s="20">
        <f>I18*(L18/M18)</f>
        <v>0.97821310228622105</v>
      </c>
      <c r="P18" s="4">
        <v>18.98</v>
      </c>
      <c r="Q18" s="4">
        <v>58.41</v>
      </c>
      <c r="R18" s="4">
        <v>52.24</v>
      </c>
      <c r="S18" s="10">
        <f t="shared" si="6"/>
        <v>0.18550811785929003</v>
      </c>
      <c r="AB18" s="20">
        <v>0.14499999999999999</v>
      </c>
      <c r="AC18" s="25">
        <v>1.82</v>
      </c>
      <c r="AE18" s="26">
        <v>1.4258090978351845E-3</v>
      </c>
      <c r="AF18" s="26">
        <v>1.3867458348855166E-3</v>
      </c>
      <c r="AG18" s="26">
        <v>1.4062774663585742E-3</v>
      </c>
      <c r="AH18" s="26">
        <v>1.4062774663514688E-3</v>
      </c>
      <c r="AI18" s="26">
        <v>1.3672142033982482E-3</v>
      </c>
      <c r="AJ18" s="30">
        <f>AVERAGE(AE18:AI18)</f>
        <v>1.3984648137657985E-3</v>
      </c>
      <c r="AL18" s="3">
        <f t="shared" si="7"/>
        <v>1.7636738086928547</v>
      </c>
      <c r="AM18" s="27">
        <f t="shared" si="8"/>
        <v>0.18550811785929003</v>
      </c>
      <c r="AN18" s="36">
        <f t="shared" si="9"/>
        <v>1.3984648137657985E-3</v>
      </c>
      <c r="AO18" s="43">
        <f t="shared" si="15"/>
        <v>0.97821310228622105</v>
      </c>
      <c r="AP18" s="44">
        <v>0.215</v>
      </c>
      <c r="AQ18" s="44">
        <v>164.15237412481562</v>
      </c>
    </row>
    <row r="19" spans="2:43" ht="19.25" customHeight="1" x14ac:dyDescent="0.45">
      <c r="B19" s="61"/>
      <c r="C19" s="4" t="s">
        <v>28</v>
      </c>
      <c r="D19" s="4" t="s">
        <v>4</v>
      </c>
      <c r="E19" s="4">
        <v>3981.6</v>
      </c>
      <c r="F19" s="3">
        <v>939.618030676692</v>
      </c>
      <c r="G19" s="4">
        <v>5872.2</v>
      </c>
      <c r="H19" s="4">
        <f t="shared" si="0"/>
        <v>1890.6</v>
      </c>
      <c r="I19" s="9">
        <f t="shared" si="1"/>
        <v>0.22477693891557984</v>
      </c>
      <c r="J19" s="4">
        <f t="shared" si="2"/>
        <v>2.0120942109193369</v>
      </c>
      <c r="K19" s="4">
        <f t="shared" si="3"/>
        <v>1.642825029593429</v>
      </c>
      <c r="L19" s="17">
        <v>2.65</v>
      </c>
      <c r="M19" s="17">
        <f>L19/K19-1</f>
        <v>0.61307500936714443</v>
      </c>
      <c r="N19" s="20">
        <f>I19*(L19/M19)</f>
        <v>0.97159218533661007</v>
      </c>
      <c r="P19" s="4">
        <v>19.18</v>
      </c>
      <c r="Q19" s="4">
        <v>54.87</v>
      </c>
      <c r="R19" s="4">
        <v>48.32</v>
      </c>
      <c r="S19" s="10">
        <f t="shared" si="6"/>
        <v>0.22477693891557984</v>
      </c>
      <c r="AE19" s="26">
        <v>2.5195804605502303E-3</v>
      </c>
      <c r="AF19" s="26">
        <v>2.4414539346508946E-3</v>
      </c>
      <c r="AG19" s="26">
        <v>2.2461376198776861E-3</v>
      </c>
      <c r="AH19" s="26">
        <v>2.1289478310109189E-3</v>
      </c>
      <c r="AI19" s="26">
        <v>2.1680110939570341E-3</v>
      </c>
      <c r="AJ19" s="30">
        <f>AVERAGE(AE19:AI19)</f>
        <v>2.3008261880093526E-3</v>
      </c>
      <c r="AL19" s="3">
        <f t="shared" si="7"/>
        <v>1.642825029593429</v>
      </c>
      <c r="AM19" s="27">
        <f t="shared" si="8"/>
        <v>0.22477693891557984</v>
      </c>
      <c r="AN19" s="36">
        <f t="shared" si="9"/>
        <v>2.3008261880093526E-3</v>
      </c>
      <c r="AO19" s="43">
        <f t="shared" si="15"/>
        <v>0.97159218533661007</v>
      </c>
      <c r="AP19" s="44">
        <v>0.215</v>
      </c>
      <c r="AQ19" s="44">
        <v>6.283543183542128</v>
      </c>
    </row>
    <row r="40" spans="19:19" x14ac:dyDescent="0.45">
      <c r="S40" s="13"/>
    </row>
    <row r="41" spans="19:19" x14ac:dyDescent="0.45">
      <c r="S41" s="13"/>
    </row>
  </sheetData>
  <mergeCells count="10">
    <mergeCell ref="AL2:AQ2"/>
    <mergeCell ref="AE2:AJ2"/>
    <mergeCell ref="B16:B19"/>
    <mergeCell ref="AB5:AC5"/>
    <mergeCell ref="AB10:AC10"/>
    <mergeCell ref="AB16:AC16"/>
    <mergeCell ref="P2:S2"/>
    <mergeCell ref="B5:B8"/>
    <mergeCell ref="B10:B14"/>
    <mergeCell ref="C2:N2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3272-A650-401E-8B43-681B2EF1EDC7}">
  <dimension ref="B2:AQ46"/>
  <sheetViews>
    <sheetView zoomScale="70" zoomScaleNormal="70" workbookViewId="0">
      <selection activeCell="L18" sqref="L18"/>
    </sheetView>
  </sheetViews>
  <sheetFormatPr defaultColWidth="9" defaultRowHeight="14.25" x14ac:dyDescent="0.45"/>
  <cols>
    <col min="1" max="1" width="9" style="1"/>
    <col min="2" max="2" width="4.59765625" style="1" customWidth="1"/>
    <col min="3" max="3" width="10.1328125" style="1" customWidth="1"/>
    <col min="4" max="6" width="9" style="1"/>
    <col min="7" max="7" width="12.33203125" style="1" customWidth="1"/>
    <col min="8" max="8" width="9" style="1" customWidth="1"/>
    <col min="9" max="9" width="9.1328125" style="1" customWidth="1"/>
    <col min="10" max="13" width="7.1328125" style="1" customWidth="1"/>
    <col min="14" max="14" width="10.265625" style="1" customWidth="1"/>
    <col min="15" max="15" width="4" style="1" customWidth="1"/>
    <col min="16" max="16" width="8.1328125" style="1" customWidth="1"/>
    <col min="17" max="17" width="12.1328125" style="1" customWidth="1"/>
    <col min="18" max="18" width="11.1328125" style="1" customWidth="1"/>
    <col min="19" max="27" width="9" style="1"/>
    <col min="28" max="28" width="10.73046875" style="1" customWidth="1"/>
    <col min="29" max="29" width="13.53125" style="1" customWidth="1"/>
    <col min="30" max="16384" width="9" style="1"/>
  </cols>
  <sheetData>
    <row r="2" spans="2:43" x14ac:dyDescent="0.45">
      <c r="C2" s="58" t="s">
        <v>52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2"/>
      <c r="P2" s="58" t="s">
        <v>11</v>
      </c>
      <c r="Q2" s="58"/>
      <c r="R2" s="58"/>
      <c r="S2" s="58"/>
      <c r="AE2" s="58" t="s">
        <v>34</v>
      </c>
      <c r="AF2" s="58"/>
      <c r="AG2" s="58"/>
      <c r="AH2" s="58"/>
      <c r="AI2" s="58"/>
      <c r="AJ2" s="58"/>
      <c r="AL2" s="58" t="s">
        <v>50</v>
      </c>
      <c r="AM2" s="58"/>
      <c r="AN2" s="58"/>
      <c r="AO2" s="58"/>
      <c r="AP2" s="58"/>
      <c r="AQ2" s="58"/>
    </row>
    <row r="3" spans="2:43" x14ac:dyDescent="0.45">
      <c r="C3" s="6" t="s">
        <v>9</v>
      </c>
      <c r="D3" s="6" t="s">
        <v>0</v>
      </c>
      <c r="E3" s="6" t="s">
        <v>19</v>
      </c>
      <c r="F3" s="6" t="s">
        <v>20</v>
      </c>
      <c r="G3" s="6" t="s">
        <v>22</v>
      </c>
      <c r="H3" s="6" t="s">
        <v>23</v>
      </c>
      <c r="I3" s="6" t="s">
        <v>11</v>
      </c>
      <c r="J3" s="7" t="s">
        <v>12</v>
      </c>
      <c r="K3" s="7" t="s">
        <v>13</v>
      </c>
      <c r="L3" s="7" t="s">
        <v>42</v>
      </c>
      <c r="M3" s="7" t="s">
        <v>43</v>
      </c>
      <c r="N3" s="7" t="s">
        <v>44</v>
      </c>
      <c r="O3" s="2"/>
      <c r="P3" s="6" t="s">
        <v>18</v>
      </c>
      <c r="Q3" s="6" t="s">
        <v>24</v>
      </c>
      <c r="R3" s="6" t="s">
        <v>25</v>
      </c>
      <c r="S3" s="6" t="s">
        <v>11</v>
      </c>
      <c r="AE3" s="6" t="s">
        <v>35</v>
      </c>
      <c r="AF3" s="6" t="s">
        <v>36</v>
      </c>
      <c r="AG3" s="6" t="s">
        <v>37</v>
      </c>
      <c r="AH3" s="6" t="s">
        <v>38</v>
      </c>
      <c r="AI3" s="6" t="s">
        <v>39</v>
      </c>
      <c r="AJ3" s="6" t="s">
        <v>40</v>
      </c>
      <c r="AL3" s="7" t="s">
        <v>13</v>
      </c>
      <c r="AM3" s="6" t="s">
        <v>11</v>
      </c>
      <c r="AN3" s="6" t="s">
        <v>40</v>
      </c>
      <c r="AO3" s="6" t="s">
        <v>44</v>
      </c>
      <c r="AP3" s="6" t="s">
        <v>49</v>
      </c>
      <c r="AQ3" s="6" t="s">
        <v>47</v>
      </c>
    </row>
    <row r="4" spans="2:43" ht="22.15" customHeight="1" x14ac:dyDescent="0.45">
      <c r="C4" s="19" t="s">
        <v>14</v>
      </c>
      <c r="D4" s="19" t="s">
        <v>14</v>
      </c>
      <c r="E4" s="19" t="s">
        <v>8</v>
      </c>
      <c r="F4" s="19" t="s">
        <v>21</v>
      </c>
      <c r="G4" s="19" t="s">
        <v>8</v>
      </c>
      <c r="H4" s="19" t="s">
        <v>8</v>
      </c>
      <c r="I4" s="19" t="s">
        <v>17</v>
      </c>
      <c r="J4" s="24" t="s">
        <v>15</v>
      </c>
      <c r="K4" s="24" t="s">
        <v>15</v>
      </c>
      <c r="L4" s="24" t="s">
        <v>45</v>
      </c>
      <c r="M4" s="24" t="s">
        <v>45</v>
      </c>
      <c r="N4" s="24" t="s">
        <v>46</v>
      </c>
      <c r="O4" s="19"/>
      <c r="P4" s="19" t="s">
        <v>8</v>
      </c>
      <c r="Q4" s="19" t="s">
        <v>8</v>
      </c>
      <c r="R4" s="19" t="s">
        <v>8</v>
      </c>
      <c r="S4" s="19" t="s">
        <v>17</v>
      </c>
      <c r="AE4" s="19" t="s">
        <v>41</v>
      </c>
      <c r="AF4" s="19" t="s">
        <v>41</v>
      </c>
      <c r="AG4" s="19" t="s">
        <v>41</v>
      </c>
      <c r="AH4" s="19" t="s">
        <v>41</v>
      </c>
      <c r="AI4" s="19" t="s">
        <v>41</v>
      </c>
      <c r="AJ4" s="19" t="s">
        <v>41</v>
      </c>
      <c r="AK4" s="42"/>
      <c r="AL4" s="24" t="s">
        <v>15</v>
      </c>
      <c r="AM4" s="19" t="s">
        <v>17</v>
      </c>
      <c r="AN4" s="19" t="s">
        <v>41</v>
      </c>
      <c r="AO4" s="19" t="s">
        <v>17</v>
      </c>
      <c r="AP4" s="19" t="s">
        <v>14</v>
      </c>
      <c r="AQ4" s="19" t="s">
        <v>48</v>
      </c>
    </row>
    <row r="5" spans="2:43" ht="18.399999999999999" customHeight="1" x14ac:dyDescent="0.45">
      <c r="B5" s="61" t="s">
        <v>29</v>
      </c>
      <c r="C5" s="17" t="s">
        <v>10</v>
      </c>
      <c r="D5" s="17" t="s">
        <v>1</v>
      </c>
      <c r="E5" s="17">
        <v>3579</v>
      </c>
      <c r="F5" s="17">
        <v>939.61803067669177</v>
      </c>
      <c r="G5" s="17">
        <v>5013.2</v>
      </c>
      <c r="H5" s="17">
        <f>G5-E5</f>
        <v>1434.1999999999998</v>
      </c>
      <c r="I5" s="18">
        <f>S5</f>
        <v>0.11302982731554165</v>
      </c>
      <c r="J5" s="17">
        <f>H5/F5</f>
        <v>1.5263649197611941</v>
      </c>
      <c r="K5" s="17">
        <f>J5/(1+I5)</f>
        <v>1.371360301675431</v>
      </c>
      <c r="L5" s="17">
        <v>2.65</v>
      </c>
      <c r="M5" s="17">
        <f>L5/K5-1</f>
        <v>0.93238786098913429</v>
      </c>
      <c r="N5" s="20">
        <f>I5*(L5/M5)</f>
        <v>0.3212494015831851</v>
      </c>
      <c r="O5" s="19"/>
      <c r="P5" s="17">
        <v>18.79</v>
      </c>
      <c r="Q5" s="17">
        <v>54.24</v>
      </c>
      <c r="R5" s="17">
        <v>50.64</v>
      </c>
      <c r="S5" s="20">
        <f>((Q5-P5)-(R5-P5))/(R5-P5)</f>
        <v>0.11302982731554165</v>
      </c>
      <c r="AB5" s="62" t="s">
        <v>33</v>
      </c>
      <c r="AC5" s="62"/>
      <c r="AE5" s="26">
        <v>1.9531631477178735E-3</v>
      </c>
      <c r="AF5" s="26">
        <v>1.8555049903312693E-3</v>
      </c>
      <c r="AG5" s="26">
        <v>1.8164417273780487E-3</v>
      </c>
      <c r="AH5" s="26">
        <v>1.8164417273780487E-3</v>
      </c>
      <c r="AI5" s="26">
        <v>1.7969100958978856E-3</v>
      </c>
      <c r="AJ5" s="40">
        <f>AVERAGE(AE5:AI5)</f>
        <v>1.8476923377406251E-3</v>
      </c>
      <c r="AL5" s="3">
        <f>K5</f>
        <v>1.371360301675431</v>
      </c>
      <c r="AM5" s="27">
        <f>S5</f>
        <v>0.11302982731554165</v>
      </c>
      <c r="AN5" s="36">
        <f>AJ5</f>
        <v>1.8476923377406251E-3</v>
      </c>
      <c r="AO5" s="43">
        <f>N5</f>
        <v>0.3212494015831851</v>
      </c>
      <c r="AP5" s="36">
        <v>0.19</v>
      </c>
      <c r="AQ5" s="44">
        <v>32.625908938905432</v>
      </c>
    </row>
    <row r="6" spans="2:43" ht="18.399999999999999" customHeight="1" x14ac:dyDescent="0.45">
      <c r="B6" s="61"/>
      <c r="C6" s="17" t="s">
        <v>10</v>
      </c>
      <c r="D6" s="17" t="s">
        <v>2</v>
      </c>
      <c r="E6" s="17">
        <v>3573.4</v>
      </c>
      <c r="F6" s="17">
        <v>939.61803067669177</v>
      </c>
      <c r="G6" s="17">
        <v>5134.2</v>
      </c>
      <c r="H6" s="17">
        <f>G6-E6</f>
        <v>1560.7999999999997</v>
      </c>
      <c r="I6" s="18">
        <f t="shared" ref="I6:I19" si="0">S6</f>
        <v>0.14261363636363625</v>
      </c>
      <c r="J6" s="17">
        <f t="shared" ref="J6:J19" si="1">H6/F6</f>
        <v>1.6611005206827998</v>
      </c>
      <c r="K6" s="17">
        <f t="shared" ref="K6:K19" si="2">J6/(1+I6)</f>
        <v>1.4537727083051852</v>
      </c>
      <c r="L6" s="17">
        <v>2.65</v>
      </c>
      <c r="M6" s="17">
        <f t="shared" ref="M6:M9" si="3">L6/K6-1</f>
        <v>0.82284340933142275</v>
      </c>
      <c r="N6" s="20">
        <f t="shared" ref="N6:N9" si="4">I6*(L6/M6)</f>
        <v>0.45929290078498514</v>
      </c>
      <c r="O6" s="19"/>
      <c r="P6" s="17">
        <v>18.329999999999998</v>
      </c>
      <c r="Q6" s="17">
        <v>38.44</v>
      </c>
      <c r="R6" s="17">
        <v>35.93</v>
      </c>
      <c r="S6" s="20">
        <f>((Q6-P6)-(R6-P6))/(R6-P6)</f>
        <v>0.14261363636363625</v>
      </c>
      <c r="AB6" s="6" t="s">
        <v>31</v>
      </c>
      <c r="AC6" s="6" t="s">
        <v>32</v>
      </c>
      <c r="AE6" s="26">
        <v>1.796910095899662E-3</v>
      </c>
      <c r="AF6" s="26">
        <v>1.7773784644248281E-3</v>
      </c>
      <c r="AG6" s="26">
        <v>1.6015937811246772E-3</v>
      </c>
      <c r="AH6" s="26">
        <v>1.6211254125977348E-3</v>
      </c>
      <c r="AI6" s="26">
        <v>1.5625305181714566E-3</v>
      </c>
      <c r="AJ6" s="40">
        <f>AVERAGE(AE6,AF6,AH6)</f>
        <v>1.7318046576407415E-3</v>
      </c>
      <c r="AL6" s="3">
        <f>K6</f>
        <v>1.4537727083051852</v>
      </c>
      <c r="AM6" s="27">
        <f>S6</f>
        <v>0.14261363636363625</v>
      </c>
      <c r="AN6" s="36">
        <f>AJ6</f>
        <v>1.7318046576407415E-3</v>
      </c>
      <c r="AO6" s="43">
        <f t="shared" ref="AO6:AO9" si="5">N6</f>
        <v>0.45929290078498514</v>
      </c>
      <c r="AP6" s="36">
        <v>0.19</v>
      </c>
      <c r="AQ6" s="44">
        <v>50.23345741286181</v>
      </c>
    </row>
    <row r="7" spans="2:43" ht="18.399999999999999" customHeight="1" x14ac:dyDescent="0.45">
      <c r="B7" s="61"/>
      <c r="C7" s="17" t="s">
        <v>10</v>
      </c>
      <c r="D7" s="17" t="s">
        <v>3</v>
      </c>
      <c r="E7" s="17">
        <v>3525.8</v>
      </c>
      <c r="F7" s="17">
        <v>939.61803067669177</v>
      </c>
      <c r="G7" s="17">
        <v>5224</v>
      </c>
      <c r="H7" s="17">
        <f>G7-E7</f>
        <v>1698.1999999999998</v>
      </c>
      <c r="I7" s="18">
        <f t="shared" si="0"/>
        <v>0.19204244031830223</v>
      </c>
      <c r="J7" s="17">
        <f t="shared" si="1"/>
        <v>1.8073301539105144</v>
      </c>
      <c r="K7" s="17">
        <f t="shared" si="2"/>
        <v>1.5161625901741522</v>
      </c>
      <c r="L7" s="17">
        <v>2.65</v>
      </c>
      <c r="M7" s="17">
        <f t="shared" si="3"/>
        <v>0.74783365397217105</v>
      </c>
      <c r="N7" s="20">
        <f t="shared" si="4"/>
        <v>0.68051559881047952</v>
      </c>
      <c r="O7" s="19"/>
      <c r="P7" s="17">
        <v>18.71</v>
      </c>
      <c r="Q7" s="17">
        <v>41.18</v>
      </c>
      <c r="R7" s="17">
        <v>37.56</v>
      </c>
      <c r="S7" s="20">
        <f>((Q7-P7)-(R7-P7))/(R7-P7)</f>
        <v>0.19204244031830223</v>
      </c>
      <c r="AB7" s="20">
        <v>0.21</v>
      </c>
      <c r="AC7" s="25">
        <v>1.54</v>
      </c>
      <c r="AE7" s="26">
        <v>1.6992519385183869E-3</v>
      </c>
      <c r="AF7" s="26">
        <v>1.8359733588511062E-3</v>
      </c>
      <c r="AG7" s="26">
        <v>1.6601886755722717E-3</v>
      </c>
      <c r="AH7" s="26">
        <v>1.6797203070382238E-3</v>
      </c>
      <c r="AI7" s="26">
        <v>1.6601886755722717E-3</v>
      </c>
      <c r="AJ7" s="40">
        <f>AI7</f>
        <v>1.6601886755722717E-3</v>
      </c>
      <c r="AL7" s="3">
        <f>K7</f>
        <v>1.5161625901741522</v>
      </c>
      <c r="AM7" s="27">
        <f>S7</f>
        <v>0.19204244031830223</v>
      </c>
      <c r="AN7" s="36">
        <f>AJ7</f>
        <v>1.6601886755722717E-3</v>
      </c>
      <c r="AO7" s="43">
        <f t="shared" si="5"/>
        <v>0.68051559881047952</v>
      </c>
      <c r="AP7" s="36">
        <v>0.19</v>
      </c>
      <c r="AQ7" s="44">
        <v>65.587469744581185</v>
      </c>
    </row>
    <row r="8" spans="2:43" ht="18.399999999999999" customHeight="1" x14ac:dyDescent="0.45">
      <c r="B8" s="61"/>
      <c r="C8" s="17" t="s">
        <v>10</v>
      </c>
      <c r="D8" s="17" t="s">
        <v>4</v>
      </c>
      <c r="E8" s="17">
        <v>3981.6</v>
      </c>
      <c r="F8" s="17">
        <v>939.61803067669177</v>
      </c>
      <c r="G8" s="17">
        <v>5768.8</v>
      </c>
      <c r="H8" s="17">
        <f>G8-E8</f>
        <v>1787.2000000000003</v>
      </c>
      <c r="I8" s="18">
        <f t="shared" si="0"/>
        <v>0.24606215410813118</v>
      </c>
      <c r="J8" s="17">
        <f t="shared" si="1"/>
        <v>1.9020494942108539</v>
      </c>
      <c r="K8" s="17">
        <f t="shared" si="2"/>
        <v>1.5264483299970262</v>
      </c>
      <c r="L8" s="17">
        <v>2.65</v>
      </c>
      <c r="M8" s="17">
        <f t="shared" si="3"/>
        <v>0.73605614282742393</v>
      </c>
      <c r="N8" s="20">
        <f t="shared" si="4"/>
        <v>0.88588990763905762</v>
      </c>
      <c r="O8" s="19"/>
      <c r="P8" s="17">
        <v>18.87</v>
      </c>
      <c r="Q8" s="17">
        <v>48.14</v>
      </c>
      <c r="R8" s="17">
        <v>42.36</v>
      </c>
      <c r="S8" s="20">
        <f>((Q8-P8)-(R8-P8))/(R8-P8)</f>
        <v>0.24606215410813118</v>
      </c>
      <c r="AE8" s="26">
        <v>2.7344284068036018E-3</v>
      </c>
      <c r="AF8" s="26">
        <v>2.5391120920339461E-3</v>
      </c>
      <c r="AG8" s="26">
        <v>2.7148967753305442E-3</v>
      </c>
      <c r="AH8" s="26">
        <v>2.6367702494169976E-3</v>
      </c>
      <c r="AI8" s="26">
        <v>2.6563018808900551E-3</v>
      </c>
      <c r="AJ8" s="40">
        <f t="shared" ref="AJ8:AJ9" si="6">AVERAGE(AE8:AI8)</f>
        <v>2.656301880895029E-3</v>
      </c>
      <c r="AL8" s="3">
        <f>K8</f>
        <v>1.5264483299970262</v>
      </c>
      <c r="AM8" s="27">
        <f>S8</f>
        <v>0.24606215410813118</v>
      </c>
      <c r="AN8" s="36">
        <f>AJ8</f>
        <v>2.656301880895029E-3</v>
      </c>
      <c r="AO8" s="43">
        <f t="shared" si="5"/>
        <v>0.88588990763905762</v>
      </c>
      <c r="AP8" s="36">
        <v>0.19</v>
      </c>
      <c r="AQ8" s="44">
        <v>1.606058593920398</v>
      </c>
    </row>
    <row r="9" spans="2:43" ht="18.399999999999999" customHeight="1" x14ac:dyDescent="0.45">
      <c r="B9" s="61"/>
      <c r="C9" s="17" t="s">
        <v>10</v>
      </c>
      <c r="D9" s="17" t="s">
        <v>5</v>
      </c>
      <c r="E9" s="17">
        <v>3577</v>
      </c>
      <c r="F9" s="17">
        <v>939.61803067669177</v>
      </c>
      <c r="G9" s="17">
        <v>5247</v>
      </c>
      <c r="H9" s="17">
        <f>G9-E9</f>
        <v>1670</v>
      </c>
      <c r="I9" s="18">
        <f>S9</f>
        <v>0.29512735326688799</v>
      </c>
      <c r="J9" s="17">
        <f>H9/F9</f>
        <v>1.7773179584445644</v>
      </c>
      <c r="K9" s="17">
        <f>J9/(1+I9)</f>
        <v>1.3723113437156407</v>
      </c>
      <c r="L9" s="17">
        <v>2.65</v>
      </c>
      <c r="M9" s="17">
        <f t="shared" si="3"/>
        <v>0.93104867356478804</v>
      </c>
      <c r="N9" s="20">
        <f t="shared" si="4"/>
        <v>0.84000708917054345</v>
      </c>
      <c r="O9" s="19"/>
      <c r="P9" s="17">
        <v>17.87</v>
      </c>
      <c r="Q9" s="17">
        <v>64.650000000000006</v>
      </c>
      <c r="R9" s="17">
        <v>53.99</v>
      </c>
      <c r="S9" s="20">
        <f>((Q9-P9)-(R9-P9))/(R9-P9)</f>
        <v>0.29512735326688799</v>
      </c>
      <c r="AE9" s="26">
        <v>3.3008457196430641E-3</v>
      </c>
      <c r="AF9" s="26">
        <v>2.8711498271434266E-3</v>
      </c>
      <c r="AG9" s="26">
        <v>3.1250610363500186E-3</v>
      </c>
      <c r="AH9" s="26">
        <v>3.1055294048769611E-3</v>
      </c>
      <c r="AI9" s="26">
        <v>3.066466141916635E-3</v>
      </c>
      <c r="AJ9" s="40">
        <f t="shared" si="6"/>
        <v>3.093810425986021E-3</v>
      </c>
      <c r="AL9" s="3">
        <f>K9</f>
        <v>1.3723113437156407</v>
      </c>
      <c r="AM9" s="27">
        <f>S9</f>
        <v>0.29512735326688799</v>
      </c>
      <c r="AN9" s="36">
        <f>AJ9</f>
        <v>3.093810425986021E-3</v>
      </c>
      <c r="AO9" s="43">
        <f t="shared" si="5"/>
        <v>0.84000708917054345</v>
      </c>
      <c r="AP9" s="36">
        <v>0.19</v>
      </c>
      <c r="AQ9" s="44">
        <v>0.31488993954243338</v>
      </c>
    </row>
    <row r="10" spans="2:43" ht="90.85" customHeight="1" x14ac:dyDescent="0.45">
      <c r="C10" s="19"/>
      <c r="D10" s="19"/>
      <c r="E10" s="19"/>
      <c r="F10" s="19"/>
      <c r="G10" s="19"/>
      <c r="H10" s="19"/>
      <c r="I10" s="21"/>
      <c r="J10" s="19"/>
      <c r="K10" s="19"/>
      <c r="L10" s="19"/>
      <c r="M10" s="19"/>
      <c r="N10" s="19"/>
      <c r="O10" s="19"/>
      <c r="P10" s="19"/>
      <c r="Q10" s="19"/>
      <c r="R10" s="19"/>
      <c r="S10" s="22"/>
      <c r="AJ10" s="41"/>
      <c r="AM10" s="15"/>
      <c r="AN10" s="41"/>
      <c r="AO10" s="14"/>
      <c r="AP10" s="41"/>
      <c r="AQ10" s="45"/>
    </row>
    <row r="11" spans="2:43" ht="18.399999999999999" customHeight="1" x14ac:dyDescent="0.45">
      <c r="B11" s="61" t="s">
        <v>26</v>
      </c>
      <c r="C11" s="17" t="s">
        <v>26</v>
      </c>
      <c r="D11" s="17" t="s">
        <v>5</v>
      </c>
      <c r="E11" s="17">
        <v>3577</v>
      </c>
      <c r="F11" s="17">
        <v>939.61803067669177</v>
      </c>
      <c r="G11" s="17">
        <v>5207.3999999999996</v>
      </c>
      <c r="H11" s="17">
        <f>G11-E11</f>
        <v>1630.3999999999996</v>
      </c>
      <c r="I11" s="18">
        <f>S11</f>
        <v>0.11079723791588189</v>
      </c>
      <c r="J11" s="17">
        <f>H11/F11</f>
        <v>1.735173173322166</v>
      </c>
      <c r="K11" s="17">
        <f>J11/(1+I11)</f>
        <v>1.5620971263646288</v>
      </c>
      <c r="L11" s="17">
        <v>2.65</v>
      </c>
      <c r="M11" s="17">
        <f>L11/K11-1</f>
        <v>0.69643740793965847</v>
      </c>
      <c r="N11" s="20">
        <f>I11*(L11/M11)</f>
        <v>0.42159234574390719</v>
      </c>
      <c r="O11" s="19"/>
      <c r="P11" s="17">
        <v>18.989999999999998</v>
      </c>
      <c r="Q11" s="17">
        <v>54.38</v>
      </c>
      <c r="R11" s="17">
        <v>50.85</v>
      </c>
      <c r="S11" s="23">
        <f>((Q11-P11)-(R11-P11))/(R11-P11)</f>
        <v>0.11079723791588189</v>
      </c>
      <c r="AB11" s="62" t="s">
        <v>33</v>
      </c>
      <c r="AC11" s="62"/>
      <c r="AE11" s="26">
        <v>1.4453407293117948E-3</v>
      </c>
      <c r="AF11" s="26">
        <v>1.4062774663585742E-3</v>
      </c>
      <c r="AG11" s="26">
        <v>1.6797203070373357E-3</v>
      </c>
      <c r="AH11" s="26">
        <v>1.6015937811246772E-3</v>
      </c>
      <c r="AI11" s="26">
        <v>1.5820621496516196E-3</v>
      </c>
      <c r="AJ11" s="40">
        <f>AVERAGE(AG11:AI11)</f>
        <v>1.6211254126045442E-3</v>
      </c>
      <c r="AL11" s="3">
        <f>K11</f>
        <v>1.5620971263646288</v>
      </c>
      <c r="AM11" s="27">
        <f>S11</f>
        <v>0.11079723791588189</v>
      </c>
      <c r="AN11" s="36">
        <f>AJ11</f>
        <v>1.6211254126045442E-3</v>
      </c>
      <c r="AO11" s="43">
        <f>N11</f>
        <v>0.42159234574390719</v>
      </c>
      <c r="AP11" s="36">
        <v>0.19</v>
      </c>
      <c r="AQ11" s="44">
        <v>75.857701690571744</v>
      </c>
    </row>
    <row r="12" spans="2:43" ht="18.399999999999999" customHeight="1" x14ac:dyDescent="0.45">
      <c r="B12" s="61"/>
      <c r="C12" s="17" t="s">
        <v>26</v>
      </c>
      <c r="D12" s="17" t="s">
        <v>6</v>
      </c>
      <c r="E12" s="17">
        <v>3580.8</v>
      </c>
      <c r="F12" s="17">
        <v>939.61803067669177</v>
      </c>
      <c r="G12" s="17">
        <v>5382.6</v>
      </c>
      <c r="H12" s="17">
        <f>G12-E12</f>
        <v>1801.8000000000002</v>
      </c>
      <c r="I12" s="18">
        <f>S12</f>
        <v>0.16014588859416429</v>
      </c>
      <c r="J12" s="17">
        <f>H12/F12</f>
        <v>1.9175877230691118</v>
      </c>
      <c r="K12" s="17">
        <f>J12/(1+I12)</f>
        <v>1.6528849879326786</v>
      </c>
      <c r="L12" s="17">
        <v>2.65</v>
      </c>
      <c r="M12" s="17">
        <f t="shared" ref="M12:M14" si="7">L12/K12-1</f>
        <v>0.60325734660730879</v>
      </c>
      <c r="N12" s="20">
        <f t="shared" ref="N12:N14" si="8">I12*(L12/M12)</f>
        <v>0.70349181350424639</v>
      </c>
      <c r="O12" s="19"/>
      <c r="P12" s="17">
        <v>19.2</v>
      </c>
      <c r="Q12" s="17">
        <v>54.19</v>
      </c>
      <c r="R12" s="17">
        <v>49.36</v>
      </c>
      <c r="S12" s="23">
        <f>((Q12-P12)-(R12-P12))/(R12-P12)</f>
        <v>0.16014588859416429</v>
      </c>
      <c r="AB12" s="6" t="s">
        <v>31</v>
      </c>
      <c r="AC12" s="6" t="s">
        <v>32</v>
      </c>
      <c r="AE12" s="26">
        <v>1.6015937811282299E-3</v>
      </c>
      <c r="AF12" s="26">
        <v>1.5820621496516196E-3</v>
      </c>
      <c r="AG12" s="26">
        <v>1.5625305181856675E-3</v>
      </c>
      <c r="AH12" s="26">
        <v>1.8359733588653171E-3</v>
      </c>
      <c r="AI12" s="26">
        <v>1.8164417273851541E-3</v>
      </c>
      <c r="AJ12" s="40">
        <f>AVERAGE(AE12:AG12)</f>
        <v>1.5820621496551723E-3</v>
      </c>
      <c r="AL12" s="3">
        <f>K12</f>
        <v>1.6528849879326786</v>
      </c>
      <c r="AM12" s="27">
        <f>S12</f>
        <v>0.16014588859416429</v>
      </c>
      <c r="AN12" s="36">
        <f>AJ12</f>
        <v>1.5820621496551723E-3</v>
      </c>
      <c r="AO12" s="43">
        <f t="shared" ref="AO12:AO14" si="9">N12</f>
        <v>0.70349181350424639</v>
      </c>
      <c r="AP12" s="36">
        <v>0.19</v>
      </c>
      <c r="AQ12" s="44">
        <v>87.736132035461452</v>
      </c>
    </row>
    <row r="13" spans="2:43" ht="18.399999999999999" customHeight="1" x14ac:dyDescent="0.45">
      <c r="B13" s="61"/>
      <c r="C13" s="17" t="s">
        <v>26</v>
      </c>
      <c r="D13" s="17" t="s">
        <v>7</v>
      </c>
      <c r="E13" s="17">
        <v>3594.6</v>
      </c>
      <c r="F13" s="17">
        <v>939.61803067669177</v>
      </c>
      <c r="G13" s="17">
        <v>5453.6</v>
      </c>
      <c r="H13" s="17">
        <f>G13-E13</f>
        <v>1859.0000000000005</v>
      </c>
      <c r="I13" s="18">
        <f>S13</f>
        <v>0.18882395909422914</v>
      </c>
      <c r="J13" s="17">
        <f>H13/F13</f>
        <v>1.9784635238014647</v>
      </c>
      <c r="K13" s="17">
        <f>J13/(1+I13)</f>
        <v>1.6642190869949036</v>
      </c>
      <c r="L13" s="17">
        <v>2.65</v>
      </c>
      <c r="M13" s="17">
        <f t="shared" si="7"/>
        <v>0.59233842509589918</v>
      </c>
      <c r="N13" s="20">
        <f t="shared" si="8"/>
        <v>0.84475946587239459</v>
      </c>
      <c r="O13" s="19"/>
      <c r="P13" s="17">
        <v>18.39</v>
      </c>
      <c r="Q13" s="17">
        <v>50.94</v>
      </c>
      <c r="R13" s="17">
        <v>45.77</v>
      </c>
      <c r="S13" s="23">
        <f>((Q13-P13)-(R13-P13))/(R13-P13)</f>
        <v>0.18882395909422914</v>
      </c>
      <c r="AB13" s="20">
        <v>0.17199999999999999</v>
      </c>
      <c r="AC13" s="25">
        <v>1.665</v>
      </c>
      <c r="AE13" s="26">
        <v>1.7773784644212753E-3</v>
      </c>
      <c r="AF13" s="26">
        <v>1.7187835699914444E-3</v>
      </c>
      <c r="AG13" s="26">
        <v>1.738315201464502E-3</v>
      </c>
      <c r="AH13" s="26">
        <v>1.738315201464502E-3</v>
      </c>
      <c r="AI13" s="26">
        <v>1.7383152014787129E-3</v>
      </c>
      <c r="AJ13" s="40">
        <f>AVERAGE(AE13:AI13)</f>
        <v>1.7422215277640874E-3</v>
      </c>
      <c r="AL13" s="3">
        <f>K13</f>
        <v>1.6642190869949036</v>
      </c>
      <c r="AM13" s="27">
        <f>S13</f>
        <v>0.18882395909422914</v>
      </c>
      <c r="AN13" s="36">
        <f>AJ13</f>
        <v>1.7422215277640874E-3</v>
      </c>
      <c r="AO13" s="43">
        <f t="shared" si="9"/>
        <v>0.84475946587239459</v>
      </c>
      <c r="AP13" s="36">
        <v>0.19</v>
      </c>
      <c r="AQ13" s="44">
        <v>48.322054338171974</v>
      </c>
    </row>
    <row r="14" spans="2:43" ht="18.399999999999999" customHeight="1" x14ac:dyDescent="0.45">
      <c r="B14" s="61"/>
      <c r="C14" s="17" t="s">
        <v>26</v>
      </c>
      <c r="D14" s="17" t="s">
        <v>27</v>
      </c>
      <c r="E14" s="17">
        <v>3575.2</v>
      </c>
      <c r="F14" s="17">
        <v>939.61803067669177</v>
      </c>
      <c r="G14" s="17">
        <v>5344.2</v>
      </c>
      <c r="H14" s="17">
        <f>G14-E14</f>
        <v>1769</v>
      </c>
      <c r="I14" s="18">
        <f>S14</f>
        <v>0.24161849710982658</v>
      </c>
      <c r="J14" s="17">
        <f>H14/F14</f>
        <v>1.8826799212505596</v>
      </c>
      <c r="K14" s="17">
        <f>J14/(1+I14)</f>
        <v>1.516311109759529</v>
      </c>
      <c r="L14" s="17">
        <v>2.65</v>
      </c>
      <c r="M14" s="17">
        <f t="shared" si="7"/>
        <v>0.74766245722506253</v>
      </c>
      <c r="N14" s="20">
        <f t="shared" si="8"/>
        <v>0.85638781398421826</v>
      </c>
      <c r="O14" s="19"/>
      <c r="P14" s="17">
        <v>14.66</v>
      </c>
      <c r="Q14" s="17">
        <v>46.88</v>
      </c>
      <c r="R14" s="17">
        <v>40.61</v>
      </c>
      <c r="S14" s="23">
        <f>((Q14-P14)-(R14-P14))/(R14-P14)</f>
        <v>0.24161849710982658</v>
      </c>
      <c r="AE14" s="26">
        <v>2.3828590402104055E-3</v>
      </c>
      <c r="AF14" s="26">
        <v>2.3828590402104055E-3</v>
      </c>
      <c r="AG14" s="26">
        <v>2.3828590402175109E-3</v>
      </c>
      <c r="AH14" s="26">
        <v>2.3828590402246164E-3</v>
      </c>
      <c r="AI14" s="26">
        <v>3.2813140881700065E-3</v>
      </c>
      <c r="AJ14" s="40">
        <f>AVERAGE(AE14:AI14)</f>
        <v>2.5625500498065888E-3</v>
      </c>
      <c r="AL14" s="3">
        <f>K14</f>
        <v>1.516311109759529</v>
      </c>
      <c r="AM14" s="27">
        <f>S14</f>
        <v>0.24161849710982658</v>
      </c>
      <c r="AN14" s="36">
        <f>AJ14</f>
        <v>2.5625500498065888E-3</v>
      </c>
      <c r="AO14" s="43">
        <f t="shared" si="9"/>
        <v>0.85638781398421826</v>
      </c>
      <c r="AP14" s="36">
        <v>0.19</v>
      </c>
      <c r="AQ14" s="44">
        <v>2.2771441006533286</v>
      </c>
    </row>
    <row r="15" spans="2:43" ht="90.85" customHeight="1" x14ac:dyDescent="0.45">
      <c r="B15" s="16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AJ15" s="41"/>
      <c r="AM15" s="15"/>
      <c r="AN15" s="41"/>
      <c r="AO15" s="14"/>
      <c r="AP15" s="41"/>
      <c r="AQ15" s="45"/>
    </row>
    <row r="16" spans="2:43" ht="18.399999999999999" customHeight="1" x14ac:dyDescent="0.45">
      <c r="B16" s="61" t="s">
        <v>30</v>
      </c>
      <c r="C16" s="17" t="s">
        <v>28</v>
      </c>
      <c r="D16" s="17" t="s">
        <v>1</v>
      </c>
      <c r="E16" s="17">
        <v>3579</v>
      </c>
      <c r="F16" s="17">
        <v>939.61803067669177</v>
      </c>
      <c r="G16" s="17">
        <v>5415</v>
      </c>
      <c r="H16" s="17">
        <f>G16-E16</f>
        <v>1836</v>
      </c>
      <c r="I16" s="18">
        <f t="shared" si="0"/>
        <v>0.13227722772277212</v>
      </c>
      <c r="J16" s="17">
        <f t="shared" si="1"/>
        <v>1.9539854920384554</v>
      </c>
      <c r="K16" s="17">
        <f t="shared" si="2"/>
        <v>1.7257129651616301</v>
      </c>
      <c r="L16" s="17">
        <v>2.65</v>
      </c>
      <c r="M16" s="17">
        <f>L16/K16-1</f>
        <v>0.53559720156115365</v>
      </c>
      <c r="N16" s="20">
        <f>I16*(L16/M16)</f>
        <v>0.65447439315144107</v>
      </c>
      <c r="O16" s="19"/>
      <c r="P16" s="17">
        <v>18.88</v>
      </c>
      <c r="Q16" s="17">
        <v>47.47</v>
      </c>
      <c r="R16" s="17">
        <v>44.13</v>
      </c>
      <c r="S16" s="23">
        <f>((Q16-P16)-(R16-P16))/(R16-P16)</f>
        <v>0.13227722772277212</v>
      </c>
      <c r="AB16" s="62" t="s">
        <v>33</v>
      </c>
      <c r="AC16" s="62"/>
      <c r="AE16" s="26">
        <v>1.1523662571519822E-3</v>
      </c>
      <c r="AF16" s="26">
        <v>1.2109611515853658E-3</v>
      </c>
      <c r="AG16" s="26">
        <v>1.2109611515853658E-3</v>
      </c>
      <c r="AH16" s="26">
        <v>1.269556046011644E-3</v>
      </c>
      <c r="AI16" s="26">
        <v>1.1914295201194136E-3</v>
      </c>
      <c r="AJ16" s="40">
        <f>AVERAGE(AE16:AI16)</f>
        <v>1.2070548252907543E-3</v>
      </c>
      <c r="AL16" s="3">
        <f>K16</f>
        <v>1.7257129651616301</v>
      </c>
      <c r="AM16" s="27">
        <f>S16</f>
        <v>0.13227722772277212</v>
      </c>
      <c r="AN16" s="36">
        <f>AJ16</f>
        <v>1.2070548252907543E-3</v>
      </c>
      <c r="AO16" s="43">
        <f>N16</f>
        <v>0.65447439315144107</v>
      </c>
      <c r="AP16" s="36">
        <v>0.19</v>
      </c>
      <c r="AQ16" s="44">
        <v>370.78150112778985</v>
      </c>
    </row>
    <row r="17" spans="2:43" ht="18.399999999999999" customHeight="1" x14ac:dyDescent="0.45">
      <c r="B17" s="61"/>
      <c r="C17" s="17" t="s">
        <v>28</v>
      </c>
      <c r="D17" s="17" t="s">
        <v>2</v>
      </c>
      <c r="E17" s="17">
        <v>3573.4</v>
      </c>
      <c r="F17" s="17">
        <v>939.61803067669177</v>
      </c>
      <c r="G17" s="17">
        <v>5490.4</v>
      </c>
      <c r="H17" s="17">
        <f>G17-E17</f>
        <v>1916.9999999999995</v>
      </c>
      <c r="I17" s="18">
        <f t="shared" si="0"/>
        <v>0.15978994748687164</v>
      </c>
      <c r="J17" s="17">
        <f t="shared" si="1"/>
        <v>2.0401907343342689</v>
      </c>
      <c r="K17" s="17">
        <f t="shared" si="2"/>
        <v>1.7591036538600133</v>
      </c>
      <c r="L17" s="17">
        <v>2.65</v>
      </c>
      <c r="M17" s="17">
        <f t="shared" ref="M17:M19" si="10">L17/K17-1</f>
        <v>0.50644903396402285</v>
      </c>
      <c r="N17" s="20">
        <f t="shared" ref="N17:N19" si="11">I17*(L17/M17)</f>
        <v>0.83610261337825054</v>
      </c>
      <c r="O17" s="19"/>
      <c r="P17" s="17">
        <v>18.559999999999999</v>
      </c>
      <c r="Q17" s="17">
        <v>49.48</v>
      </c>
      <c r="R17" s="17">
        <v>45.22</v>
      </c>
      <c r="S17" s="23">
        <f>((Q17-P17)-(R17-P17))/(R17-P17)</f>
        <v>0.15978994748687164</v>
      </c>
      <c r="AB17" s="6" t="s">
        <v>31</v>
      </c>
      <c r="AC17" s="6" t="s">
        <v>32</v>
      </c>
      <c r="AE17" s="26">
        <v>1.4453407293117948E-3</v>
      </c>
      <c r="AF17" s="26">
        <v>1.4453407293117948E-3</v>
      </c>
      <c r="AG17" s="26">
        <v>1.4453407293117948E-3</v>
      </c>
      <c r="AH17" s="26">
        <v>1.4258090978316318E-3</v>
      </c>
      <c r="AI17" s="26">
        <v>1.4453407293117948E-3</v>
      </c>
      <c r="AJ17" s="40">
        <f>AVERAGE(AE17:AI17)</f>
        <v>1.4414344030157622E-3</v>
      </c>
      <c r="AL17" s="3">
        <f>K17</f>
        <v>1.7591036538600133</v>
      </c>
      <c r="AM17" s="27">
        <f>S17</f>
        <v>0.15978994748687164</v>
      </c>
      <c r="AN17" s="36">
        <f>AJ17</f>
        <v>1.4414344030157622E-3</v>
      </c>
      <c r="AO17" s="43">
        <f t="shared" ref="AO17:AO19" si="12">N17</f>
        <v>0.83610261337825054</v>
      </c>
      <c r="AP17" s="36">
        <v>0.19</v>
      </c>
      <c r="AQ17" s="44">
        <v>148.8424139248626</v>
      </c>
    </row>
    <row r="18" spans="2:43" ht="18.399999999999999" customHeight="1" x14ac:dyDescent="0.45">
      <c r="B18" s="61"/>
      <c r="C18" s="17" t="s">
        <v>28</v>
      </c>
      <c r="D18" s="17" t="s">
        <v>3</v>
      </c>
      <c r="E18" s="17">
        <v>3575.8</v>
      </c>
      <c r="F18" s="17">
        <v>939.61803067669177</v>
      </c>
      <c r="G18" s="17">
        <v>5483.8</v>
      </c>
      <c r="H18" s="17">
        <f>G18-E18</f>
        <v>1908</v>
      </c>
      <c r="I18" s="18">
        <f t="shared" si="0"/>
        <v>0.18811394891944982</v>
      </c>
      <c r="J18" s="17">
        <f t="shared" si="1"/>
        <v>2.0306123740791793</v>
      </c>
      <c r="K18" s="17">
        <f t="shared" si="2"/>
        <v>1.7091057435408057</v>
      </c>
      <c r="L18" s="17">
        <v>2.65</v>
      </c>
      <c r="M18" s="17">
        <f t="shared" si="10"/>
        <v>0.55051845681000122</v>
      </c>
      <c r="N18" s="20">
        <f t="shared" si="11"/>
        <v>0.90551362714545369</v>
      </c>
      <c r="O18" s="19"/>
      <c r="P18" s="17">
        <v>18.43</v>
      </c>
      <c r="Q18" s="17">
        <v>42.62</v>
      </c>
      <c r="R18" s="17">
        <v>38.79</v>
      </c>
      <c r="S18" s="23">
        <f>((Q18-P18)-(R18-P18))/(R18-P18)</f>
        <v>0.18811394891944982</v>
      </c>
      <c r="AB18" s="20">
        <v>0.16</v>
      </c>
      <c r="AC18" s="25">
        <v>1.76</v>
      </c>
      <c r="AE18" s="26">
        <v>2.0117580421494807E-3</v>
      </c>
      <c r="AF18" s="26">
        <v>2.070352936581088E-3</v>
      </c>
      <c r="AG18" s="26">
        <v>2.0312896736278674E-3</v>
      </c>
      <c r="AH18" s="26">
        <v>2.0312896736243147E-3</v>
      </c>
      <c r="AI18" s="26">
        <v>1.9922264106710941E-3</v>
      </c>
      <c r="AJ18" s="40">
        <f>AVERAGE(AE18:AI18)</f>
        <v>2.027383347330769E-3</v>
      </c>
      <c r="AL18" s="3">
        <f>K18</f>
        <v>1.7091057435408057</v>
      </c>
      <c r="AM18" s="27">
        <f>S18</f>
        <v>0.18811394891944982</v>
      </c>
      <c r="AN18" s="36">
        <f>AJ18</f>
        <v>2.027383347330769E-3</v>
      </c>
      <c r="AO18" s="43">
        <f t="shared" si="12"/>
        <v>0.90551362714545369</v>
      </c>
      <c r="AP18" s="36">
        <v>0.19</v>
      </c>
      <c r="AQ18" s="44">
        <v>16.708602347103685</v>
      </c>
    </row>
    <row r="19" spans="2:43" ht="18.399999999999999" customHeight="1" x14ac:dyDescent="0.45">
      <c r="B19" s="61"/>
      <c r="C19" s="17" t="s">
        <v>28</v>
      </c>
      <c r="D19" s="17" t="s">
        <v>4</v>
      </c>
      <c r="E19" s="17">
        <v>3981.6</v>
      </c>
      <c r="F19" s="17">
        <v>939.618030676692</v>
      </c>
      <c r="G19" s="17">
        <v>5770.8</v>
      </c>
      <c r="H19" s="17">
        <f>G19-E19</f>
        <v>1789.2000000000003</v>
      </c>
      <c r="I19" s="18">
        <f t="shared" si="0"/>
        <v>0.22389937106918242</v>
      </c>
      <c r="J19" s="17">
        <f t="shared" si="1"/>
        <v>1.9041780187119848</v>
      </c>
      <c r="K19" s="17">
        <f t="shared" si="2"/>
        <v>1.5558289053196588</v>
      </c>
      <c r="L19" s="17">
        <v>2.65</v>
      </c>
      <c r="M19" s="17">
        <f t="shared" si="10"/>
        <v>0.70327212133620431</v>
      </c>
      <c r="N19" s="20">
        <f t="shared" si="11"/>
        <v>0.84367532187400063</v>
      </c>
      <c r="O19" s="19"/>
      <c r="P19" s="17">
        <v>19.02</v>
      </c>
      <c r="Q19" s="17">
        <v>57.94</v>
      </c>
      <c r="R19" s="17">
        <v>50.82</v>
      </c>
      <c r="S19" s="23">
        <f>((Q19-P19)-(R19-P19))/(R19-P19)</f>
        <v>0.22389937106918242</v>
      </c>
      <c r="AE19" s="26">
        <v>2.3242641457841273E-3</v>
      </c>
      <c r="AF19" s="26">
        <v>2.3633274087373479E-3</v>
      </c>
      <c r="AG19" s="26">
        <v>2.3633274087373479E-3</v>
      </c>
      <c r="AH19" s="26">
        <v>2.3828590402175109E-3</v>
      </c>
      <c r="AI19" s="26">
        <v>2.3437957772571849E-3</v>
      </c>
      <c r="AJ19" s="40">
        <f>AVERAGE(AE19:AI19)</f>
        <v>2.3555147561467038E-3</v>
      </c>
      <c r="AL19" s="3">
        <f>K19</f>
        <v>1.5558289053196588</v>
      </c>
      <c r="AM19" s="27">
        <f>S19</f>
        <v>0.22389937106918242</v>
      </c>
      <c r="AN19" s="36">
        <f>AJ19</f>
        <v>2.3555147561467038E-3</v>
      </c>
      <c r="AO19" s="43">
        <f t="shared" si="12"/>
        <v>0.84367532187400063</v>
      </c>
      <c r="AP19" s="36">
        <v>0.19</v>
      </c>
      <c r="AQ19" s="44">
        <v>4.9230945106328168</v>
      </c>
    </row>
    <row r="20" spans="2:43" x14ac:dyDescent="0.45">
      <c r="AJ20" s="41"/>
    </row>
    <row r="21" spans="2:43" x14ac:dyDescent="0.45">
      <c r="AJ21" s="41"/>
    </row>
    <row r="46" spans="20:20" x14ac:dyDescent="0.45">
      <c r="T46" s="14"/>
    </row>
  </sheetData>
  <mergeCells count="10">
    <mergeCell ref="AL2:AQ2"/>
    <mergeCell ref="AE2:AJ2"/>
    <mergeCell ref="B16:B19"/>
    <mergeCell ref="AB5:AC5"/>
    <mergeCell ref="AB11:AC11"/>
    <mergeCell ref="AB16:AC16"/>
    <mergeCell ref="P2:S2"/>
    <mergeCell ref="B5:B9"/>
    <mergeCell ref="B11:B14"/>
    <mergeCell ref="C2:N2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Arena</vt:lpstr>
      <vt:lpstr>Base</vt:lpstr>
      <vt:lpstr>Caolin</vt:lpstr>
      <vt:lpstr>Limo-Arenoso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2025-04-02T16:45:04Z</dcterms:created>
  <dcterms:modified xsi:type="dcterms:W3CDTF">2025-05-06T01:03:49Z</dcterms:modified>
</cp:coreProperties>
</file>