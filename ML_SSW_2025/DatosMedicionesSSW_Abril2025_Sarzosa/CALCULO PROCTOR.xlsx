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C:\Users\Grace\Desktop\MAESTRÍA UPS\TITULACIÓN\ENSAYOS\"/>
    </mc:Choice>
  </mc:AlternateContent>
  <xr:revisionPtr revIDLastSave="0" documentId="8_{4DE44AFC-EA8E-40E8-B2B2-83A1AAB08938}" xr6:coauthVersionLast="47" xr6:coauthVersionMax="47" xr10:uidLastSave="{00000000-0000-0000-0000-000000000000}"/>
  <bookViews>
    <workbookView minimized="1" xWindow="4215" yWindow="2820" windowWidth="15375" windowHeight="7785" xr2:uid="{D49335CC-F02A-47D6-8A8D-0D6281AE7C5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Q18" i="1"/>
  <c r="Q28" i="1" s="1"/>
  <c r="R35" i="1" s="1"/>
  <c r="Z18" i="1"/>
  <c r="AF38" i="1"/>
  <c r="AE38" i="1"/>
  <c r="AF37" i="1"/>
  <c r="AE37" i="1"/>
  <c r="AE36" i="1"/>
  <c r="AE35" i="1"/>
  <c r="AN17" i="1"/>
  <c r="AN18" i="1" s="1"/>
  <c r="AK17" i="1"/>
  <c r="AK18" i="1" s="1"/>
  <c r="AH17" i="1"/>
  <c r="AH18" i="1" s="1"/>
  <c r="AE17" i="1"/>
  <c r="AE18" i="1" s="1"/>
  <c r="Q17" i="1"/>
  <c r="T17" i="1"/>
  <c r="T18" i="1" s="1"/>
  <c r="W17" i="1"/>
  <c r="W18" i="1" s="1"/>
  <c r="Z17" i="1"/>
  <c r="Z28" i="1"/>
  <c r="R38" i="1" s="1"/>
  <c r="Q35" i="1"/>
  <c r="Q38" i="1"/>
  <c r="Q37" i="1"/>
  <c r="Q36" i="1"/>
  <c r="L28" i="1"/>
  <c r="C38" i="1"/>
  <c r="C37" i="1"/>
  <c r="C36" i="1"/>
  <c r="C35" i="1"/>
  <c r="D38" i="1"/>
  <c r="D37" i="1"/>
  <c r="D36" i="1"/>
  <c r="D35" i="1"/>
  <c r="C28" i="1"/>
  <c r="C26" i="1"/>
  <c r="D25" i="1"/>
  <c r="C25" i="1"/>
  <c r="F17" i="1"/>
  <c r="F18" i="1"/>
  <c r="L17" i="1"/>
  <c r="L18" i="1" s="1"/>
  <c r="I17" i="1"/>
  <c r="I18" i="1" s="1"/>
  <c r="C17" i="1"/>
  <c r="U25" i="1"/>
  <c r="AO25" i="1"/>
  <c r="AN25" i="1"/>
  <c r="AN26" i="1" s="1"/>
  <c r="AL25" i="1"/>
  <c r="AK25" i="1"/>
  <c r="AK26" i="1" s="1"/>
  <c r="AI25" i="1"/>
  <c r="AH25" i="1"/>
  <c r="AH26" i="1" s="1"/>
  <c r="AF25" i="1"/>
  <c r="AE25" i="1"/>
  <c r="AE26" i="1" s="1"/>
  <c r="AA25" i="1"/>
  <c r="Z25" i="1"/>
  <c r="X25" i="1"/>
  <c r="W25" i="1"/>
  <c r="T25" i="1"/>
  <c r="T26" i="1" s="1"/>
  <c r="R25" i="1"/>
  <c r="Q25" i="1"/>
  <c r="M25" i="1"/>
  <c r="L25" i="1"/>
  <c r="J25" i="1"/>
  <c r="I25" i="1"/>
  <c r="I26" i="1" s="1"/>
  <c r="G25" i="1"/>
  <c r="F25" i="1"/>
  <c r="Z26" i="1" l="1"/>
  <c r="W26" i="1"/>
  <c r="W28" i="1" s="1"/>
  <c r="R37" i="1" s="1"/>
  <c r="Q26" i="1"/>
  <c r="L26" i="1"/>
  <c r="AH28" i="1" s="1"/>
  <c r="AF36" i="1" s="1"/>
  <c r="T28" i="1"/>
  <c r="R36" i="1" s="1"/>
  <c r="AE28" i="1"/>
  <c r="AF35" i="1" s="1"/>
  <c r="F26" i="1"/>
  <c r="I28" i="1"/>
  <c r="AN28" i="1" l="1"/>
  <c r="AK28" i="1"/>
  <c r="F28" i="1"/>
</calcChain>
</file>

<file path=xl/sharedStrings.xml><?xml version="1.0" encoding="utf-8"?>
<sst xmlns="http://schemas.openxmlformats.org/spreadsheetml/2006/main" count="122" uniqueCount="43">
  <si>
    <t>PROCTOR ARENA</t>
  </si>
  <si>
    <t>PROCTOR STÁNDAR</t>
  </si>
  <si>
    <t>PROCTOR MODIFICADO</t>
  </si>
  <si>
    <t>PROCTOR MODIFICADO 56</t>
  </si>
  <si>
    <t>PROCEDIMIENTO:</t>
  </si>
  <si>
    <t>A</t>
  </si>
  <si>
    <t>GOLPES / CAPA:</t>
  </si>
  <si>
    <t>DATOS DEL MOLDE</t>
  </si>
  <si>
    <t>N°. DE  CAPAS:</t>
  </si>
  <si>
    <t>DIAMETRO:</t>
  </si>
  <si>
    <t>cm.</t>
  </si>
  <si>
    <t>MASA DEL MARTILLO:</t>
  </si>
  <si>
    <t>Kg.</t>
  </si>
  <si>
    <t>VOLUMEN :</t>
  </si>
  <si>
    <r>
      <t>cm</t>
    </r>
    <r>
      <rPr>
        <vertAlign val="superscript"/>
        <sz val="10"/>
        <rFont val="Arial Narrow"/>
        <family val="2"/>
      </rPr>
      <t>3</t>
    </r>
    <r>
      <rPr>
        <sz val="10"/>
        <rFont val="Arial Narrow"/>
        <family val="2"/>
      </rPr>
      <t>.</t>
    </r>
  </si>
  <si>
    <t>ALT. DE CAIDA:</t>
  </si>
  <si>
    <t>MASA:</t>
  </si>
  <si>
    <t>g.</t>
  </si>
  <si>
    <t>DATOS PARA LA CURVA</t>
  </si>
  <si>
    <t>PUNTO N°:</t>
  </si>
  <si>
    <t>1</t>
  </si>
  <si>
    <t>2</t>
  </si>
  <si>
    <t>3</t>
  </si>
  <si>
    <t>4</t>
  </si>
  <si>
    <t>Masa compactada:</t>
  </si>
  <si>
    <t>Masa  suelo:</t>
  </si>
  <si>
    <t>Densidad Húmeda :</t>
  </si>
  <si>
    <t>CONTENIDOS DE HUMEDAD</t>
  </si>
  <si>
    <t>Masa húmeda:</t>
  </si>
  <si>
    <t>Masa seca:</t>
  </si>
  <si>
    <t>Masa capsula:</t>
  </si>
  <si>
    <t>Humedad (%)</t>
  </si>
  <si>
    <t>Promedio</t>
  </si>
  <si>
    <t>Densidad Seca:</t>
  </si>
  <si>
    <t>RESULTADOS:</t>
  </si>
  <si>
    <t>DENSIDAD SECA MÁXIMA          =</t>
  </si>
  <si>
    <r>
      <t>g/cm</t>
    </r>
    <r>
      <rPr>
        <b/>
        <vertAlign val="superscript"/>
        <sz val="10"/>
        <color indexed="18"/>
        <rFont val="Arial Narrow"/>
        <family val="2"/>
      </rPr>
      <t>3</t>
    </r>
  </si>
  <si>
    <t>CONTENIDO DE AGUA ÓPTIMO =</t>
  </si>
  <si>
    <t xml:space="preserve"> %</t>
  </si>
  <si>
    <t xml:space="preserve">HUMEDAD </t>
  </si>
  <si>
    <t>DEN SECA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</si>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</sst>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10"/>
      <color indexed="12"/>
      <name val="Arial Narrow"/>
      <family val="2"/>
    </font>
    <font>
      <vertAlign val="superscript"/>
      <sz val="10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vertAlign val="superscript"/>
      <sz val="10"/>
      <color indexed="18"/>
      <name val="Arial Narrow"/>
      <family val="2"/>
    </font>
    <font>
      <b/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 applyAlignment="1" applyProtection="1">
      <alignment horizontal="center"/>
      <protection locked="0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2" fillId="0" borderId="7" xfId="0" applyFont="1" applyBorder="1" applyAlignment="1" applyProtection="1">
      <alignment horizontal="center"/>
      <protection locked="0"/>
    </xf>
    <xf numFmtId="0" fontId="1" fillId="0" borderId="7" xfId="0" applyFont="1" applyBorder="1" applyAlignment="1">
      <alignment horizontal="left"/>
    </xf>
    <xf numFmtId="2" fontId="2" fillId="0" borderId="7" xfId="0" applyNumberFormat="1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left"/>
    </xf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fill"/>
    </xf>
    <xf numFmtId="0" fontId="1" fillId="0" borderId="5" xfId="0" applyFont="1" applyBorder="1" applyAlignment="1">
      <alignment horizontal="fill"/>
    </xf>
    <xf numFmtId="0" fontId="1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fill"/>
    </xf>
    <xf numFmtId="0" fontId="1" fillId="0" borderId="11" xfId="0" applyFont="1" applyBorder="1"/>
    <xf numFmtId="39" fontId="2" fillId="0" borderId="1" xfId="0" applyNumberFormat="1" applyFont="1" applyBorder="1" applyAlignment="1" applyProtection="1">
      <alignment horizontal="center"/>
      <protection locked="0"/>
    </xf>
    <xf numFmtId="39" fontId="2" fillId="0" borderId="3" xfId="0" applyNumberFormat="1" applyFont="1" applyBorder="1" applyAlignment="1" applyProtection="1">
      <alignment horizontal="center"/>
      <protection locked="0"/>
    </xf>
    <xf numFmtId="39" fontId="2" fillId="0" borderId="4" xfId="0" applyNumberFormat="1" applyFont="1" applyBorder="1" applyAlignment="1" applyProtection="1">
      <alignment horizontal="center"/>
      <protection locked="0"/>
    </xf>
    <xf numFmtId="39" fontId="2" fillId="0" borderId="5" xfId="0" applyNumberFormat="1" applyFont="1" applyBorder="1" applyAlignment="1" applyProtection="1">
      <alignment horizontal="center"/>
      <protection locked="0"/>
    </xf>
    <xf numFmtId="39" fontId="1" fillId="0" borderId="4" xfId="0" applyNumberFormat="1" applyFont="1" applyBorder="1" applyAlignment="1">
      <alignment horizontal="center"/>
    </xf>
    <xf numFmtId="39" fontId="1" fillId="0" borderId="5" xfId="0" applyNumberFormat="1" applyFont="1" applyBorder="1" applyAlignment="1">
      <alignment horizontal="center"/>
    </xf>
    <xf numFmtId="0" fontId="1" fillId="0" borderId="12" xfId="0" applyFont="1" applyBorder="1"/>
    <xf numFmtId="0" fontId="5" fillId="2" borderId="5" xfId="0" applyFont="1" applyFill="1" applyBorder="1" applyAlignment="1">
      <alignment horizontal="left"/>
    </xf>
    <xf numFmtId="0" fontId="2" fillId="0" borderId="0" xfId="0" applyFont="1" applyAlignment="1" applyProtection="1">
      <alignment horizontal="center"/>
      <protection locked="0"/>
    </xf>
    <xf numFmtId="37" fontId="2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9" fontId="2" fillId="0" borderId="0" xfId="0" applyNumberFormat="1" applyFont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  <xf numFmtId="37" fontId="1" fillId="0" borderId="0" xfId="0" applyNumberFormat="1" applyFont="1"/>
    <xf numFmtId="0" fontId="1" fillId="0" borderId="0" xfId="0" applyFont="1" applyAlignment="1">
      <alignment horizontal="fill"/>
    </xf>
    <xf numFmtId="0" fontId="1" fillId="0" borderId="0" xfId="0" quotePrefix="1" applyFont="1" applyAlignment="1">
      <alignment horizontal="center"/>
    </xf>
    <xf numFmtId="164" fontId="1" fillId="0" borderId="0" xfId="0" applyNumberFormat="1" applyFont="1"/>
    <xf numFmtId="0" fontId="1" fillId="2" borderId="0" xfId="0" applyFont="1" applyFill="1"/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0" fillId="0" borderId="6" xfId="0" applyBorder="1" applyAlignment="1">
      <alignment horizontal="fill"/>
    </xf>
    <xf numFmtId="0" fontId="0" fillId="0" borderId="7" xfId="0" applyBorder="1" applyAlignment="1">
      <alignment horizontal="fill"/>
    </xf>
    <xf numFmtId="0" fontId="0" fillId="0" borderId="8" xfId="0" applyBorder="1" applyAlignment="1">
      <alignment horizontal="fill"/>
    </xf>
    <xf numFmtId="0" fontId="7" fillId="0" borderId="0" xfId="0" applyFont="1" applyAlignment="1">
      <alignment horizontal="center" vertical="center"/>
    </xf>
    <xf numFmtId="164" fontId="0" fillId="0" borderId="0" xfId="0" applyNumberFormat="1"/>
    <xf numFmtId="39" fontId="0" fillId="0" borderId="0" xfId="0" applyNumberFormat="1"/>
    <xf numFmtId="0" fontId="4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1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2" fillId="0" borderId="4" xfId="0" applyNumberFormat="1" applyFont="1" applyBorder="1" applyAlignment="1" applyProtection="1">
      <alignment horizontal="center"/>
      <protection locked="0"/>
    </xf>
    <xf numFmtId="2" fontId="2" fillId="0" borderId="5" xfId="0" applyNumberFormat="1" applyFont="1" applyBorder="1" applyAlignment="1" applyProtection="1">
      <alignment horizontal="center"/>
      <protection locked="0"/>
    </xf>
    <xf numFmtId="2" fontId="1" fillId="0" borderId="4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39" fontId="1" fillId="0" borderId="6" xfId="0" applyNumberFormat="1" applyFont="1" applyBorder="1" applyAlignment="1">
      <alignment horizontal="center"/>
    </xf>
    <xf numFmtId="39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1219203849518811"/>
          <c:y val="0.16708333333333336"/>
          <c:w val="0.84255796150481188"/>
          <c:h val="0.721258019830854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Hoja1!$D$34</c:f>
              <c:strCache>
                <c:ptCount val="1"/>
                <c:pt idx="0">
                  <c:v>DEN SECA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Hoja1!$C$35:$C$38</c:f>
              <c:numCache>
                <c:formatCode>#,##0.00_);\(#,##0.00\)</c:formatCode>
                <c:ptCount val="4"/>
                <c:pt idx="0">
                  <c:v>8.0653706472975877</c:v>
                </c:pt>
                <c:pt idx="1">
                  <c:v>10.284257077264332</c:v>
                </c:pt>
                <c:pt idx="2">
                  <c:v>12.371742026945745</c:v>
                </c:pt>
                <c:pt idx="3">
                  <c:v>14.656397725727075</c:v>
                </c:pt>
              </c:numCache>
            </c:numRef>
          </c:xVal>
          <c:yVal>
            <c:numRef>
              <c:f>Hoja1!$D$35:$D$38</c:f>
              <c:numCache>
                <c:formatCode>0.000</c:formatCode>
                <c:ptCount val="4"/>
                <c:pt idx="0">
                  <c:v>1.8251091513425566</c:v>
                </c:pt>
                <c:pt idx="1">
                  <c:v>1.8559841759856874</c:v>
                </c:pt>
                <c:pt idx="2">
                  <c:v>1.8783691393068693</c:v>
                </c:pt>
                <c:pt idx="3">
                  <c:v>1.7926414073155938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5D-41CC-8415-849BA458E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554495"/>
        <c:axId val="542571775"/>
      </c:scatterChart>
      <c:valAx>
        <c:axId val="542554495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42571775"/>
        <c:crosses val="autoZero"/>
        <c:crossBetween val="midCat"/>
      </c:valAx>
      <c:valAx>
        <c:axId val="54257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4255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Hoja1!$R$34</c:f>
              <c:strCache>
                <c:ptCount val="1"/>
                <c:pt idx="0">
                  <c:v>DEN SECA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Hoja1!$Q$35:$Q$38</c:f>
              <c:numCache>
                <c:formatCode>#,##0.00_);\(#,##0.00\)</c:formatCode>
                <c:ptCount val="4"/>
                <c:pt idx="0">
                  <c:v>6.2181590382124341</c:v>
                </c:pt>
                <c:pt idx="1">
                  <c:v>8.2276725136925357</c:v>
                </c:pt>
                <c:pt idx="2">
                  <c:v>10.45900754686917</c:v>
                </c:pt>
                <c:pt idx="3">
                  <c:v>12.803509947467642</c:v>
                </c:pt>
              </c:numCache>
            </c:numRef>
          </c:xVal>
          <c:yVal>
            <c:numRef>
              <c:f>Hoja1!$R$35:$R$38</c:f>
              <c:numCache>
                <c:formatCode>0.000</c:formatCode>
                <c:ptCount val="4"/>
                <c:pt idx="0">
                  <c:v>1.8829172131297169</c:v>
                </c:pt>
                <c:pt idx="1">
                  <c:v>1.9546830974515585</c:v>
                </c:pt>
                <c:pt idx="2">
                  <c:v>1.9732923487114991</c:v>
                </c:pt>
                <c:pt idx="3">
                  <c:v>1.8943545255968313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2E-4F9E-9E96-3D6729A14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694639"/>
        <c:axId val="893706159"/>
      </c:scatterChart>
      <c:valAx>
        <c:axId val="893694639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93706159"/>
        <c:crosses val="autoZero"/>
        <c:crossBetween val="midCat"/>
      </c:valAx>
      <c:valAx>
        <c:axId val="8937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9369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Hoja1!$AF$34</c:f>
              <c:strCache>
                <c:ptCount val="1"/>
                <c:pt idx="0">
                  <c:v>DEN SECA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Hoja1!$AE$35:$AE$38</c:f>
              <c:numCache>
                <c:formatCode>#,##0.00_);\(#,##0.00\)</c:formatCode>
                <c:ptCount val="4"/>
                <c:pt idx="0">
                  <c:v>4.2711369873608733</c:v>
                </c:pt>
                <c:pt idx="1">
                  <c:v>6.4176939616748649</c:v>
                </c:pt>
                <c:pt idx="2">
                  <c:v>8.5690450053349174</c:v>
                </c:pt>
                <c:pt idx="3">
                  <c:v>10.961684194961453</c:v>
                </c:pt>
              </c:numCache>
            </c:numRef>
          </c:xVal>
          <c:yVal>
            <c:numRef>
              <c:f>Hoja1!$AF$35:$AF$38</c:f>
              <c:numCache>
                <c:formatCode>0.000</c:formatCode>
                <c:ptCount val="4"/>
                <c:pt idx="0">
                  <c:v>1.9834420859285182</c:v>
                </c:pt>
                <c:pt idx="1">
                  <c:v>2.061521100971718</c:v>
                </c:pt>
                <c:pt idx="2">
                  <c:v>2.0932582190644662</c:v>
                </c:pt>
                <c:pt idx="3">
                  <c:v>2.0001339540946885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C2-4362-AF04-817C6616A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16239"/>
        <c:axId val="893730159"/>
      </c:scatterChart>
      <c:valAx>
        <c:axId val="893716239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93730159"/>
        <c:crosses val="autoZero"/>
        <c:crossBetween val="midCat"/>
      </c:valAx>
      <c:valAx>
        <c:axId val="89373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9371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COMPACTACIÓN</a:t>
            </a:r>
            <a:r>
              <a:rPr lang="es-EC" baseline="0"/>
              <a:t> ARENA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P_Standar _25G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Hoja1!$C$35:$C$38</c:f>
              <c:numCache>
                <c:formatCode>#,##0.00_);\(#,##0.00\)</c:formatCode>
                <c:ptCount val="4"/>
                <c:pt idx="0">
                  <c:v>8.0653706472975877</c:v>
                </c:pt>
                <c:pt idx="1">
                  <c:v>10.284257077264332</c:v>
                </c:pt>
                <c:pt idx="2">
                  <c:v>12.371742026945745</c:v>
                </c:pt>
                <c:pt idx="3">
                  <c:v>14.656397725727075</c:v>
                </c:pt>
              </c:numCache>
            </c:numRef>
          </c:xVal>
          <c:yVal>
            <c:numRef>
              <c:f>Hoja1!$D$35:$D$38</c:f>
              <c:numCache>
                <c:formatCode>0.000</c:formatCode>
                <c:ptCount val="4"/>
                <c:pt idx="0">
                  <c:v>1.8251091513425566</c:v>
                </c:pt>
                <c:pt idx="1">
                  <c:v>1.8559841759856874</c:v>
                </c:pt>
                <c:pt idx="2">
                  <c:v>1.8783691393068693</c:v>
                </c:pt>
                <c:pt idx="3">
                  <c:v>1.7926414073155938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44-4535-9AE4-F2DC9382B00B}"/>
            </c:ext>
          </c:extLst>
        </c:ser>
        <c:ser>
          <c:idx val="1"/>
          <c:order val="1"/>
          <c:tx>
            <c:v>P_Modificado_25G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Hoja1!$Q$35:$Q$38</c:f>
              <c:numCache>
                <c:formatCode>#,##0.00_);\(#,##0.00\)</c:formatCode>
                <c:ptCount val="4"/>
                <c:pt idx="0">
                  <c:v>6.2181590382124341</c:v>
                </c:pt>
                <c:pt idx="1">
                  <c:v>8.2276725136925357</c:v>
                </c:pt>
                <c:pt idx="2">
                  <c:v>10.45900754686917</c:v>
                </c:pt>
                <c:pt idx="3">
                  <c:v>12.803509947467642</c:v>
                </c:pt>
              </c:numCache>
            </c:numRef>
          </c:xVal>
          <c:yVal>
            <c:numRef>
              <c:f>Hoja1!$R$35:$R$38</c:f>
              <c:numCache>
                <c:formatCode>0.000</c:formatCode>
                <c:ptCount val="4"/>
                <c:pt idx="0">
                  <c:v>1.8829172131297169</c:v>
                </c:pt>
                <c:pt idx="1">
                  <c:v>1.9546830974515585</c:v>
                </c:pt>
                <c:pt idx="2">
                  <c:v>1.9732923487114991</c:v>
                </c:pt>
                <c:pt idx="3">
                  <c:v>1.8943545255968313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44-4535-9AE4-F2DC9382B00B}"/>
            </c:ext>
          </c:extLst>
        </c:ser>
        <c:ser>
          <c:idx val="2"/>
          <c:order val="2"/>
          <c:tx>
            <c:v>P_Modificado_56G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Hoja1!$AE$35:$AE$38</c:f>
              <c:numCache>
                <c:formatCode>#,##0.00_);\(#,##0.00\)</c:formatCode>
                <c:ptCount val="4"/>
                <c:pt idx="0">
                  <c:v>4.2711369873608733</c:v>
                </c:pt>
                <c:pt idx="1">
                  <c:v>6.4176939616748649</c:v>
                </c:pt>
                <c:pt idx="2">
                  <c:v>8.5690450053349174</c:v>
                </c:pt>
                <c:pt idx="3">
                  <c:v>10.961684194961453</c:v>
                </c:pt>
              </c:numCache>
            </c:numRef>
          </c:xVal>
          <c:yVal>
            <c:numRef>
              <c:f>Hoja1!$AF$35:$AF$38</c:f>
              <c:numCache>
                <c:formatCode>0.000</c:formatCode>
                <c:ptCount val="4"/>
                <c:pt idx="0">
                  <c:v>1.9834420859285182</c:v>
                </c:pt>
                <c:pt idx="1">
                  <c:v>2.061521100971718</c:v>
                </c:pt>
                <c:pt idx="2">
                  <c:v>2.0932582190644662</c:v>
                </c:pt>
                <c:pt idx="3">
                  <c:v>2.0001339540946885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44-4535-9AE4-F2DC9382B00B}"/>
            </c:ext>
          </c:extLst>
        </c:ser>
        <c:ser>
          <c:idx val="3"/>
          <c:order val="3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Hoja1!$M$52:$M$53</c:f>
              <c:numCache>
                <c:formatCode>General</c:formatCode>
                <c:ptCount val="2"/>
                <c:pt idx="0">
                  <c:v>0</c:v>
                </c:pt>
                <c:pt idx="1">
                  <c:v>9.89</c:v>
                </c:pt>
              </c:numCache>
            </c:numRef>
          </c:xVal>
          <c:yVal>
            <c:numRef>
              <c:f>Hoja1!$N$52:$N$53</c:f>
              <c:numCache>
                <c:formatCode>General</c:formatCode>
                <c:ptCount val="2"/>
                <c:pt idx="0">
                  <c:v>1.976</c:v>
                </c:pt>
                <c:pt idx="1">
                  <c:v>1.976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39-4C3C-86DF-5FA8B9353266}"/>
            </c:ext>
          </c:extLst>
        </c:ser>
        <c:ser>
          <c:idx val="4"/>
          <c:order val="4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Hoja1!$M$56:$M$57</c:f>
              <c:numCache>
                <c:formatCode>General</c:formatCode>
                <c:ptCount val="2"/>
                <c:pt idx="0">
                  <c:v>9.89</c:v>
                </c:pt>
                <c:pt idx="1">
                  <c:v>9.89</c:v>
                </c:pt>
              </c:numCache>
            </c:numRef>
          </c:xVal>
          <c:yVal>
            <c:numRef>
              <c:f>Hoja1!$N$56:$N$57</c:f>
              <c:numCache>
                <c:formatCode>General</c:formatCode>
                <c:ptCount val="2"/>
                <c:pt idx="0">
                  <c:v>1.976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39-4C3C-86DF-5FA8B9353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44079"/>
        <c:axId val="893739279"/>
      </c:scatterChart>
      <c:valAx>
        <c:axId val="893744079"/>
        <c:scaling>
          <c:orientation val="minMax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Humedad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#,##0.00_);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93739279"/>
        <c:crossesAt val="1.7000000000000002"/>
        <c:crossBetween val="midCat"/>
      </c:valAx>
      <c:valAx>
        <c:axId val="893739279"/>
        <c:scaling>
          <c:orientation val="minMax"/>
          <c:max val="2.1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b="1"/>
                  <a:t>Densidad Seca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93744079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32</xdr:row>
      <xdr:rowOff>61912</xdr:rowOff>
    </xdr:from>
    <xdr:to>
      <xdr:col>11</xdr:col>
      <xdr:colOff>495300</xdr:colOff>
      <xdr:row>46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68DA50-EDB9-92F1-0B71-35E17CC8B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552450</xdr:colOff>
      <xdr:row>32</xdr:row>
      <xdr:rowOff>147637</xdr:rowOff>
    </xdr:from>
    <xdr:to>
      <xdr:col>26</xdr:col>
      <xdr:colOff>276225</xdr:colOff>
      <xdr:row>47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07B5CE-0476-C4BE-9257-1AE537B1A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762000</xdr:colOff>
      <xdr:row>32</xdr:row>
      <xdr:rowOff>119062</xdr:rowOff>
    </xdr:from>
    <xdr:to>
      <xdr:col>40</xdr:col>
      <xdr:colOff>304800</xdr:colOff>
      <xdr:row>47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D94D34B-2928-3F10-C60F-9963E94F2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57150</xdr:colOff>
      <xdr:row>49</xdr:row>
      <xdr:rowOff>85725</xdr:rowOff>
    </xdr:from>
    <xdr:to>
      <xdr:col>22</xdr:col>
      <xdr:colOff>514349</xdr:colOff>
      <xdr:row>66</xdr:row>
      <xdr:rowOff>9524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A5722B7-3D47-469B-A3AF-537B56B7F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333F-C1C7-4001-B5F2-59CCA4456786}">
  <dimension ref="A1:AO57"/>
  <sheetViews>
    <sheetView tabSelected="1" topLeftCell="F32" workbookViewId="0">
      <selection activeCell="Z53" sqref="Z53"/>
    </sheetView>
  </sheetViews>
  <sheetFormatPr defaultColWidth="11.42578125" defaultRowHeight="15"/>
  <cols>
    <col min="1" max="1" width="17.140625" customWidth="1"/>
    <col min="2" max="2" width="0.7109375" customWidth="1"/>
    <col min="3" max="3" width="7" customWidth="1"/>
    <col min="4" max="4" width="9.28515625" customWidth="1"/>
    <col min="5" max="5" width="1" customWidth="1"/>
    <col min="6" max="6" width="9.28515625" customWidth="1"/>
    <col min="7" max="7" width="8.5703125" customWidth="1"/>
    <col min="8" max="8" width="1.140625" customWidth="1"/>
    <col min="9" max="9" width="7.7109375" customWidth="1"/>
    <col min="10" max="10" width="8.42578125" customWidth="1"/>
    <col min="11" max="11" width="0.85546875" customWidth="1"/>
    <col min="12" max="12" width="8.85546875" customWidth="1"/>
    <col min="13" max="13" width="9.140625" customWidth="1"/>
    <col min="14" max="14" width="9.7109375" customWidth="1"/>
    <col min="15" max="15" width="16.85546875" customWidth="1"/>
    <col min="16" max="16" width="1" customWidth="1"/>
    <col min="17" max="17" width="7.5703125" customWidth="1"/>
    <col min="18" max="18" width="7.140625" customWidth="1"/>
    <col min="19" max="19" width="0.7109375" customWidth="1"/>
    <col min="20" max="20" width="7.85546875" customWidth="1"/>
    <col min="21" max="21" width="7" customWidth="1"/>
    <col min="22" max="22" width="0.7109375" customWidth="1"/>
    <col min="23" max="23" width="8.28515625" customWidth="1"/>
    <col min="24" max="24" width="7.28515625" customWidth="1"/>
    <col min="25" max="25" width="0.85546875" customWidth="1"/>
    <col min="26" max="26" width="7.42578125" customWidth="1"/>
    <col min="27" max="27" width="7.28515625" customWidth="1"/>
    <col min="28" max="28" width="9.7109375" customWidth="1"/>
    <col min="29" max="29" width="18" customWidth="1"/>
    <col min="30" max="30" width="1.140625" customWidth="1"/>
    <col min="31" max="31" width="8.5703125" customWidth="1"/>
    <col min="32" max="32" width="7.28515625" customWidth="1"/>
    <col min="33" max="33" width="0.85546875" customWidth="1"/>
    <col min="34" max="34" width="6.7109375" customWidth="1"/>
    <col min="35" max="35" width="7.5703125" customWidth="1"/>
    <col min="36" max="36" width="0.85546875" customWidth="1"/>
    <col min="37" max="37" width="7.7109375" customWidth="1"/>
    <col min="38" max="38" width="7.28515625" customWidth="1"/>
    <col min="39" max="39" width="0.85546875" customWidth="1"/>
    <col min="40" max="40" width="8.5703125" customWidth="1"/>
    <col min="41" max="41" width="8.7109375" customWidth="1"/>
  </cols>
  <sheetData>
    <row r="1" spans="1:4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1" ht="22.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</row>
    <row r="4" spans="1:41" ht="22.5">
      <c r="A4" s="53" t="s">
        <v>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48"/>
      <c r="O4" s="53" t="s">
        <v>2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48"/>
      <c r="AC4" s="53" t="s">
        <v>3</v>
      </c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</row>
    <row r="5" spans="1:4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41">
      <c r="A6" s="2" t="s">
        <v>4</v>
      </c>
      <c r="B6" s="3"/>
      <c r="C6" s="3"/>
      <c r="D6" s="4" t="s">
        <v>5</v>
      </c>
      <c r="E6" s="3"/>
      <c r="F6" s="3"/>
      <c r="G6" s="3"/>
      <c r="H6" s="3"/>
      <c r="I6" s="3"/>
      <c r="J6" s="3"/>
      <c r="K6" s="3"/>
      <c r="L6" s="3"/>
      <c r="M6" s="5"/>
      <c r="O6" s="2" t="s">
        <v>4</v>
      </c>
      <c r="P6" s="3"/>
      <c r="Q6" s="3"/>
      <c r="R6" s="4" t="s">
        <v>5</v>
      </c>
      <c r="S6" s="3"/>
      <c r="T6" s="3"/>
      <c r="U6" s="3"/>
      <c r="V6" s="3"/>
      <c r="W6" s="3"/>
      <c r="X6" s="3"/>
      <c r="Y6" s="3"/>
      <c r="Z6" s="3"/>
      <c r="AA6" s="5"/>
      <c r="AC6" s="2" t="s">
        <v>4</v>
      </c>
      <c r="AD6" s="3"/>
      <c r="AE6" s="3"/>
      <c r="AF6" s="4" t="s">
        <v>5</v>
      </c>
      <c r="AG6" s="3"/>
      <c r="AH6" s="3"/>
      <c r="AI6" s="3"/>
      <c r="AJ6" s="3"/>
      <c r="AK6" s="3"/>
      <c r="AL6" s="3"/>
      <c r="AM6" s="3"/>
      <c r="AN6" s="3"/>
      <c r="AO6" s="5"/>
    </row>
    <row r="7" spans="1:41">
      <c r="A7" s="6" t="s">
        <v>6</v>
      </c>
      <c r="B7" s="1"/>
      <c r="C7" s="1"/>
      <c r="D7" s="32">
        <v>25</v>
      </c>
      <c r="E7" s="1"/>
      <c r="F7" s="1"/>
      <c r="G7" s="1"/>
      <c r="H7" s="1"/>
      <c r="I7" s="65" t="s">
        <v>7</v>
      </c>
      <c r="J7" s="65"/>
      <c r="K7" s="65"/>
      <c r="L7" s="65"/>
      <c r="M7" s="66"/>
      <c r="O7" s="6" t="s">
        <v>6</v>
      </c>
      <c r="P7" s="1"/>
      <c r="Q7" s="1"/>
      <c r="R7" s="32">
        <v>25</v>
      </c>
      <c r="S7" s="1"/>
      <c r="T7" s="1"/>
      <c r="U7" s="1"/>
      <c r="V7" s="1"/>
      <c r="W7" s="65" t="s">
        <v>7</v>
      </c>
      <c r="X7" s="65"/>
      <c r="Y7" s="65"/>
      <c r="Z7" s="65"/>
      <c r="AA7" s="66"/>
      <c r="AC7" s="6" t="s">
        <v>6</v>
      </c>
      <c r="AD7" s="1"/>
      <c r="AE7" s="1"/>
      <c r="AF7" s="32">
        <v>56</v>
      </c>
      <c r="AG7" s="1"/>
      <c r="AH7" s="1"/>
      <c r="AI7" s="1"/>
      <c r="AJ7" s="1"/>
      <c r="AK7" s="65" t="s">
        <v>7</v>
      </c>
      <c r="AL7" s="65"/>
      <c r="AM7" s="65"/>
      <c r="AN7" s="65"/>
      <c r="AO7" s="66"/>
    </row>
    <row r="8" spans="1:41">
      <c r="A8" s="6" t="s">
        <v>8</v>
      </c>
      <c r="B8" s="1"/>
      <c r="C8" s="1"/>
      <c r="D8" s="32">
        <v>3</v>
      </c>
      <c r="E8" s="1"/>
      <c r="F8" s="1"/>
      <c r="G8" s="1"/>
      <c r="H8" s="1"/>
      <c r="I8" s="34" t="s">
        <v>9</v>
      </c>
      <c r="J8" s="1"/>
      <c r="K8" s="1"/>
      <c r="L8" s="35">
        <v>10</v>
      </c>
      <c r="M8" s="8" t="s">
        <v>10</v>
      </c>
      <c r="O8" s="6" t="s">
        <v>8</v>
      </c>
      <c r="P8" s="1"/>
      <c r="Q8" s="1"/>
      <c r="R8" s="32">
        <v>5</v>
      </c>
      <c r="S8" s="1"/>
      <c r="T8" s="1"/>
      <c r="U8" s="1"/>
      <c r="V8" s="1"/>
      <c r="W8" s="34" t="s">
        <v>9</v>
      </c>
      <c r="X8" s="1"/>
      <c r="Y8" s="1"/>
      <c r="Z8" s="35">
        <v>10</v>
      </c>
      <c r="AA8" s="8" t="s">
        <v>10</v>
      </c>
      <c r="AC8" s="6" t="s">
        <v>8</v>
      </c>
      <c r="AD8" s="1"/>
      <c r="AE8" s="1"/>
      <c r="AF8" s="32">
        <v>5</v>
      </c>
      <c r="AG8" s="1"/>
      <c r="AH8" s="1"/>
      <c r="AI8" s="1"/>
      <c r="AJ8" s="1"/>
      <c r="AK8" s="34" t="s">
        <v>9</v>
      </c>
      <c r="AL8" s="1"/>
      <c r="AM8" s="1"/>
      <c r="AN8" s="35">
        <v>10</v>
      </c>
      <c r="AO8" s="8" t="s">
        <v>10</v>
      </c>
    </row>
    <row r="9" spans="1:41" ht="15.75">
      <c r="A9" s="6" t="s">
        <v>11</v>
      </c>
      <c r="B9" s="1"/>
      <c r="C9" s="1"/>
      <c r="D9" s="31"/>
      <c r="E9" s="1"/>
      <c r="F9" s="34" t="s">
        <v>12</v>
      </c>
      <c r="G9" s="1"/>
      <c r="H9" s="1"/>
      <c r="I9" s="34" t="s">
        <v>13</v>
      </c>
      <c r="J9" s="1"/>
      <c r="K9" s="1"/>
      <c r="L9" s="36">
        <v>939</v>
      </c>
      <c r="M9" s="8" t="s">
        <v>14</v>
      </c>
      <c r="O9" s="6" t="s">
        <v>11</v>
      </c>
      <c r="P9" s="1"/>
      <c r="Q9" s="1"/>
      <c r="R9" s="31">
        <v>4.5</v>
      </c>
      <c r="S9" s="1"/>
      <c r="T9" s="34" t="s">
        <v>12</v>
      </c>
      <c r="U9" s="1"/>
      <c r="V9" s="1"/>
      <c r="W9" s="34" t="s">
        <v>13</v>
      </c>
      <c r="X9" s="1"/>
      <c r="Y9" s="1"/>
      <c r="Z9" s="36">
        <v>935</v>
      </c>
      <c r="AA9" s="8" t="s">
        <v>14</v>
      </c>
      <c r="AC9" s="6" t="s">
        <v>11</v>
      </c>
      <c r="AD9" s="1"/>
      <c r="AE9" s="1"/>
      <c r="AF9" s="31">
        <v>4.5</v>
      </c>
      <c r="AG9" s="1"/>
      <c r="AH9" s="34" t="s">
        <v>12</v>
      </c>
      <c r="AI9" s="1"/>
      <c r="AJ9" s="1"/>
      <c r="AK9" s="34" t="s">
        <v>13</v>
      </c>
      <c r="AL9" s="1"/>
      <c r="AM9" s="1"/>
      <c r="AN9" s="36">
        <v>939</v>
      </c>
      <c r="AO9" s="8" t="s">
        <v>14</v>
      </c>
    </row>
    <row r="10" spans="1:41">
      <c r="A10" s="9" t="s">
        <v>15</v>
      </c>
      <c r="B10" s="10"/>
      <c r="C10" s="10"/>
      <c r="D10" s="11"/>
      <c r="E10" s="10"/>
      <c r="F10" s="12" t="s">
        <v>10</v>
      </c>
      <c r="G10" s="10"/>
      <c r="H10" s="10"/>
      <c r="I10" s="12" t="s">
        <v>16</v>
      </c>
      <c r="J10" s="10"/>
      <c r="K10" s="10"/>
      <c r="L10" s="13">
        <v>4132</v>
      </c>
      <c r="M10" s="14" t="s">
        <v>17</v>
      </c>
      <c r="O10" s="9" t="s">
        <v>15</v>
      </c>
      <c r="P10" s="10"/>
      <c r="Q10" s="10"/>
      <c r="R10" s="11">
        <v>45.7</v>
      </c>
      <c r="S10" s="10"/>
      <c r="T10" s="12" t="s">
        <v>10</v>
      </c>
      <c r="U10" s="10"/>
      <c r="V10" s="10"/>
      <c r="W10" s="12" t="s">
        <v>16</v>
      </c>
      <c r="X10" s="10"/>
      <c r="Y10" s="10"/>
      <c r="Z10" s="13">
        <v>6338</v>
      </c>
      <c r="AA10" s="14" t="s">
        <v>17</v>
      </c>
      <c r="AC10" s="9" t="s">
        <v>15</v>
      </c>
      <c r="AD10" s="10"/>
      <c r="AE10" s="10"/>
      <c r="AF10" s="11">
        <v>45.7</v>
      </c>
      <c r="AG10" s="10"/>
      <c r="AH10" s="12" t="s">
        <v>10</v>
      </c>
      <c r="AI10" s="10"/>
      <c r="AJ10" s="10"/>
      <c r="AK10" s="12" t="s">
        <v>16</v>
      </c>
      <c r="AL10" s="10"/>
      <c r="AM10" s="10"/>
      <c r="AN10" s="13">
        <v>4132</v>
      </c>
      <c r="AO10" s="14" t="s">
        <v>17</v>
      </c>
    </row>
    <row r="11" spans="1:41">
      <c r="A11" s="6"/>
      <c r="B11" s="1"/>
      <c r="C11" s="1"/>
      <c r="D11" s="1"/>
      <c r="E11" s="1"/>
      <c r="F11" s="1"/>
      <c r="G11" s="37"/>
      <c r="H11" s="1"/>
      <c r="I11" s="1"/>
      <c r="J11" s="1"/>
      <c r="K11" s="1"/>
      <c r="L11" s="1"/>
      <c r="M11" s="15"/>
      <c r="O11" s="6"/>
      <c r="P11" s="1"/>
      <c r="Q11" s="1"/>
      <c r="R11" s="1"/>
      <c r="S11" s="1"/>
      <c r="T11" s="1"/>
      <c r="U11" s="37"/>
      <c r="V11" s="1"/>
      <c r="W11" s="1"/>
      <c r="X11" s="1"/>
      <c r="Y11" s="1"/>
      <c r="Z11" s="1"/>
      <c r="AA11" s="15"/>
      <c r="AC11" s="6"/>
      <c r="AD11" s="1"/>
      <c r="AE11" s="1"/>
      <c r="AF11" s="1"/>
      <c r="AG11" s="1"/>
      <c r="AH11" s="1"/>
      <c r="AI11" s="37"/>
      <c r="AJ11" s="1"/>
      <c r="AK11" s="1"/>
      <c r="AL11" s="1"/>
      <c r="AM11" s="1"/>
      <c r="AN11" s="1"/>
      <c r="AO11" s="15"/>
    </row>
    <row r="12" spans="1:41">
      <c r="A12" s="64" t="s">
        <v>18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O12" s="64" t="s">
        <v>18</v>
      </c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  <c r="AC12" s="64" t="s">
        <v>18</v>
      </c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6"/>
    </row>
    <row r="13" spans="1:41">
      <c r="A13" s="1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18"/>
      <c r="O13" s="1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18"/>
      <c r="AC13" s="17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18"/>
    </row>
    <row r="14" spans="1:41">
      <c r="A14" s="19" t="s">
        <v>19</v>
      </c>
      <c r="B14" s="20"/>
      <c r="C14" s="56" t="s">
        <v>20</v>
      </c>
      <c r="D14" s="57"/>
      <c r="E14" s="39"/>
      <c r="F14" s="56" t="s">
        <v>21</v>
      </c>
      <c r="G14" s="57"/>
      <c r="H14" s="39"/>
      <c r="I14" s="56" t="s">
        <v>22</v>
      </c>
      <c r="J14" s="57"/>
      <c r="K14" s="39"/>
      <c r="L14" s="56" t="s">
        <v>23</v>
      </c>
      <c r="M14" s="57"/>
      <c r="O14" s="19" t="s">
        <v>19</v>
      </c>
      <c r="P14" s="20"/>
      <c r="Q14" s="56" t="s">
        <v>20</v>
      </c>
      <c r="R14" s="57"/>
      <c r="S14" s="39"/>
      <c r="T14" s="56" t="s">
        <v>21</v>
      </c>
      <c r="U14" s="57"/>
      <c r="V14" s="39"/>
      <c r="W14" s="56" t="s">
        <v>22</v>
      </c>
      <c r="X14" s="57"/>
      <c r="Y14" s="39"/>
      <c r="Z14" s="56" t="s">
        <v>23</v>
      </c>
      <c r="AA14" s="57"/>
      <c r="AC14" s="19" t="s">
        <v>19</v>
      </c>
      <c r="AD14" s="20"/>
      <c r="AE14" s="56" t="s">
        <v>20</v>
      </c>
      <c r="AF14" s="57"/>
      <c r="AG14" s="39"/>
      <c r="AH14" s="56" t="s">
        <v>21</v>
      </c>
      <c r="AI14" s="57"/>
      <c r="AJ14" s="39"/>
      <c r="AK14" s="56" t="s">
        <v>22</v>
      </c>
      <c r="AL14" s="57"/>
      <c r="AM14" s="39"/>
      <c r="AN14" s="56" t="s">
        <v>23</v>
      </c>
      <c r="AO14" s="57"/>
    </row>
    <row r="15" spans="1:41">
      <c r="A15" s="21"/>
      <c r="B15" s="21"/>
      <c r="C15" s="16"/>
      <c r="D15" s="7"/>
      <c r="E15" s="33"/>
      <c r="F15" s="16"/>
      <c r="G15" s="7"/>
      <c r="H15" s="33"/>
      <c r="I15" s="16"/>
      <c r="J15" s="7"/>
      <c r="K15" s="33"/>
      <c r="L15" s="16"/>
      <c r="M15" s="7"/>
      <c r="O15" s="21"/>
      <c r="P15" s="21"/>
      <c r="Q15" s="16"/>
      <c r="R15" s="7"/>
      <c r="S15" s="33"/>
      <c r="T15" s="16"/>
      <c r="U15" s="7"/>
      <c r="V15" s="33"/>
      <c r="W15" s="16"/>
      <c r="X15" s="7"/>
      <c r="Y15" s="33"/>
      <c r="Z15" s="16"/>
      <c r="AA15" s="7"/>
      <c r="AC15" s="21"/>
      <c r="AD15" s="21"/>
      <c r="AE15" s="16"/>
      <c r="AF15" s="7"/>
      <c r="AG15" s="33"/>
      <c r="AH15" s="16"/>
      <c r="AI15" s="7"/>
      <c r="AJ15" s="33"/>
      <c r="AK15" s="16"/>
      <c r="AL15" s="7"/>
      <c r="AM15" s="33"/>
      <c r="AN15" s="16"/>
      <c r="AO15" s="7"/>
    </row>
    <row r="16" spans="1:41">
      <c r="A16" s="20" t="s">
        <v>24</v>
      </c>
      <c r="B16" s="20"/>
      <c r="C16" s="58">
        <v>5984</v>
      </c>
      <c r="D16" s="59"/>
      <c r="E16" s="39"/>
      <c r="F16" s="58">
        <v>6054</v>
      </c>
      <c r="G16" s="59"/>
      <c r="H16" s="39"/>
      <c r="I16" s="58">
        <v>6114</v>
      </c>
      <c r="J16" s="59"/>
      <c r="K16" s="39"/>
      <c r="L16" s="58">
        <v>6062</v>
      </c>
      <c r="M16" s="59"/>
      <c r="O16" s="20" t="s">
        <v>24</v>
      </c>
      <c r="P16" s="20"/>
      <c r="Q16" s="58">
        <v>8208</v>
      </c>
      <c r="R16" s="59"/>
      <c r="S16" s="39"/>
      <c r="T16" s="58">
        <v>8316</v>
      </c>
      <c r="U16" s="59"/>
      <c r="V16" s="39"/>
      <c r="W16" s="58">
        <v>8376</v>
      </c>
      <c r="X16" s="59"/>
      <c r="Y16" s="39"/>
      <c r="Z16" s="58">
        <v>8336</v>
      </c>
      <c r="AA16" s="59"/>
      <c r="AC16" s="20" t="s">
        <v>24</v>
      </c>
      <c r="AD16" s="20"/>
      <c r="AE16" s="58">
        <v>6074</v>
      </c>
      <c r="AF16" s="59"/>
      <c r="AG16" s="39"/>
      <c r="AH16" s="58">
        <v>6192</v>
      </c>
      <c r="AI16" s="59"/>
      <c r="AJ16" s="39"/>
      <c r="AK16" s="58">
        <v>6266</v>
      </c>
      <c r="AL16" s="59"/>
      <c r="AM16" s="39"/>
      <c r="AN16" s="58">
        <v>6216</v>
      </c>
      <c r="AO16" s="59"/>
    </row>
    <row r="17" spans="1:41">
      <c r="A17" s="20" t="s">
        <v>25</v>
      </c>
      <c r="B17" s="20"/>
      <c r="C17" s="60">
        <f>(C16-$L$10)</f>
        <v>1852</v>
      </c>
      <c r="D17" s="61"/>
      <c r="E17" s="39"/>
      <c r="F17" s="60">
        <f>(F16-$L$10)</f>
        <v>1922</v>
      </c>
      <c r="G17" s="61"/>
      <c r="H17" s="39"/>
      <c r="I17" s="60">
        <f>(I16-$L$10)</f>
        <v>1982</v>
      </c>
      <c r="J17" s="61"/>
      <c r="K17" s="39"/>
      <c r="L17" s="60">
        <f>(L16-$L$10)</f>
        <v>1930</v>
      </c>
      <c r="M17" s="61"/>
      <c r="O17" s="20" t="s">
        <v>25</v>
      </c>
      <c r="P17" s="20"/>
      <c r="Q17" s="60">
        <f>(Q16-$Z$10)</f>
        <v>1870</v>
      </c>
      <c r="R17" s="61"/>
      <c r="S17" s="39"/>
      <c r="T17" s="60">
        <f>(T16-$Z$10)</f>
        <v>1978</v>
      </c>
      <c r="U17" s="61"/>
      <c r="V17" s="39"/>
      <c r="W17" s="60">
        <f>(W16-$Z$10)</f>
        <v>2038</v>
      </c>
      <c r="X17" s="61"/>
      <c r="Y17" s="39"/>
      <c r="Z17" s="60">
        <f>(Z16-$Z$10)</f>
        <v>1998</v>
      </c>
      <c r="AA17" s="61"/>
      <c r="AC17" s="20" t="s">
        <v>25</v>
      </c>
      <c r="AD17" s="20"/>
      <c r="AE17" s="60">
        <f>(AE16-$AN$10)</f>
        <v>1942</v>
      </c>
      <c r="AF17" s="61"/>
      <c r="AG17" s="39"/>
      <c r="AH17" s="60">
        <f>(AH16-$AN$10)</f>
        <v>2060</v>
      </c>
      <c r="AI17" s="61"/>
      <c r="AJ17" s="39"/>
      <c r="AK17" s="60">
        <f>(AK16-$AN$10)</f>
        <v>2134</v>
      </c>
      <c r="AL17" s="61"/>
      <c r="AM17" s="39"/>
      <c r="AN17" s="60">
        <f>(AN16-$AN$10)</f>
        <v>2084</v>
      </c>
      <c r="AO17" s="61"/>
    </row>
    <row r="18" spans="1:41">
      <c r="A18" s="22" t="s">
        <v>26</v>
      </c>
      <c r="B18" s="20"/>
      <c r="C18" s="54">
        <f>(C17/$L$9)</f>
        <v>1.9723109691160809</v>
      </c>
      <c r="D18" s="55"/>
      <c r="E18" s="39"/>
      <c r="F18" s="54">
        <f>(F17/$L$9)</f>
        <v>2.0468583599574015</v>
      </c>
      <c r="G18" s="55"/>
      <c r="H18" s="39"/>
      <c r="I18" s="54">
        <f>(I17/$L$9)</f>
        <v>2.1107561235356762</v>
      </c>
      <c r="J18" s="55"/>
      <c r="K18" s="39"/>
      <c r="L18" s="54">
        <f>(L17/$L$9)</f>
        <v>2.0553780617678381</v>
      </c>
      <c r="M18" s="55"/>
      <c r="O18" s="22" t="s">
        <v>26</v>
      </c>
      <c r="P18" s="20"/>
      <c r="Q18" s="54">
        <f>(Q17/$Z$9)</f>
        <v>2</v>
      </c>
      <c r="R18" s="55"/>
      <c r="S18" s="39"/>
      <c r="T18" s="54">
        <f>(T17/$Z$9)</f>
        <v>2.1155080213903745</v>
      </c>
      <c r="U18" s="55"/>
      <c r="V18" s="39"/>
      <c r="W18" s="54">
        <f>(W17/$Z$9)</f>
        <v>2.1796791443850267</v>
      </c>
      <c r="X18" s="55"/>
      <c r="Y18" s="39"/>
      <c r="Z18" s="54">
        <f>(Z17/$Z$9)</f>
        <v>2.136898395721925</v>
      </c>
      <c r="AA18" s="55"/>
      <c r="AC18" s="22" t="s">
        <v>26</v>
      </c>
      <c r="AD18" s="20"/>
      <c r="AE18" s="54">
        <f>(AE17/$L$9)</f>
        <v>2.0681576144834932</v>
      </c>
      <c r="AF18" s="55"/>
      <c r="AG18" s="39"/>
      <c r="AH18" s="54">
        <f>(AH17/$L$9)</f>
        <v>2.1938232161874334</v>
      </c>
      <c r="AI18" s="55"/>
      <c r="AJ18" s="39"/>
      <c r="AK18" s="54">
        <f>(AK17/$L$9)</f>
        <v>2.2726304579339724</v>
      </c>
      <c r="AL18" s="55"/>
      <c r="AM18" s="39"/>
      <c r="AN18" s="54">
        <f>(AN17/$L$9)</f>
        <v>2.2193823216187432</v>
      </c>
      <c r="AO18" s="55"/>
    </row>
    <row r="19" spans="1:41">
      <c r="A19" s="17"/>
      <c r="B19" s="38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7"/>
      <c r="O19" s="17"/>
      <c r="P19" s="38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7"/>
      <c r="AC19" s="17"/>
      <c r="AD19" s="38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7"/>
    </row>
    <row r="20" spans="1:41">
      <c r="A20" s="64" t="s">
        <v>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6"/>
      <c r="O20" s="64" t="s">
        <v>27</v>
      </c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  <c r="AC20" s="64" t="s">
        <v>27</v>
      </c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6"/>
    </row>
    <row r="21" spans="1:41">
      <c r="A21" s="17"/>
      <c r="B21" s="38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7"/>
      <c r="O21" s="17"/>
      <c r="P21" s="38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7"/>
      <c r="AC21" s="17"/>
      <c r="AD21" s="38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7"/>
    </row>
    <row r="22" spans="1:41">
      <c r="A22" s="19" t="s">
        <v>28</v>
      </c>
      <c r="B22" s="1"/>
      <c r="C22" s="23">
        <v>108.56</v>
      </c>
      <c r="D22" s="24">
        <v>109.84</v>
      </c>
      <c r="E22" s="39"/>
      <c r="F22" s="23">
        <v>114.83</v>
      </c>
      <c r="G22" s="24">
        <v>122.2</v>
      </c>
      <c r="H22" s="39"/>
      <c r="I22" s="23">
        <v>124.91</v>
      </c>
      <c r="J22" s="24">
        <v>120.05</v>
      </c>
      <c r="K22" s="39"/>
      <c r="L22" s="23">
        <v>141.03</v>
      </c>
      <c r="M22" s="24">
        <v>146.38999999999999</v>
      </c>
      <c r="O22" s="19" t="s">
        <v>28</v>
      </c>
      <c r="P22" s="1"/>
      <c r="Q22" s="23">
        <v>96.44</v>
      </c>
      <c r="R22" s="24">
        <v>103.13</v>
      </c>
      <c r="S22" s="39"/>
      <c r="T22" s="23">
        <v>98.57</v>
      </c>
      <c r="U22" s="24">
        <v>107.31</v>
      </c>
      <c r="V22" s="39"/>
      <c r="W22" s="23">
        <v>105.98</v>
      </c>
      <c r="X22" s="24">
        <v>109.13</v>
      </c>
      <c r="Y22" s="39"/>
      <c r="Z22" s="23">
        <v>126.5</v>
      </c>
      <c r="AA22" s="24">
        <v>123.22</v>
      </c>
      <c r="AC22" s="19" t="s">
        <v>28</v>
      </c>
      <c r="AD22" s="1"/>
      <c r="AE22" s="23">
        <v>101.02</v>
      </c>
      <c r="AF22" s="24">
        <v>109.24</v>
      </c>
      <c r="AG22" s="39"/>
      <c r="AH22" s="23">
        <v>115.24</v>
      </c>
      <c r="AI22" s="24">
        <v>115.68</v>
      </c>
      <c r="AJ22" s="39"/>
      <c r="AK22" s="23">
        <v>118.88</v>
      </c>
      <c r="AL22" s="24">
        <v>100.44</v>
      </c>
      <c r="AM22" s="39"/>
      <c r="AN22" s="23">
        <v>130.41999999999999</v>
      </c>
      <c r="AO22" s="24">
        <v>118.77</v>
      </c>
    </row>
    <row r="23" spans="1:41">
      <c r="A23" s="20" t="s">
        <v>29</v>
      </c>
      <c r="B23" s="1"/>
      <c r="C23" s="25">
        <v>102.51</v>
      </c>
      <c r="D23" s="26">
        <v>103.75</v>
      </c>
      <c r="E23" s="39"/>
      <c r="F23" s="25">
        <v>106.67</v>
      </c>
      <c r="G23" s="26">
        <v>113.58</v>
      </c>
      <c r="H23" s="39"/>
      <c r="I23" s="25">
        <v>114.18</v>
      </c>
      <c r="J23" s="26">
        <v>109.9</v>
      </c>
      <c r="K23" s="39"/>
      <c r="L23" s="25">
        <v>126.39</v>
      </c>
      <c r="M23" s="26">
        <v>131.4</v>
      </c>
      <c r="O23" s="20" t="s">
        <v>29</v>
      </c>
      <c r="P23" s="1"/>
      <c r="Q23" s="25">
        <v>92.35</v>
      </c>
      <c r="R23" s="26">
        <v>98.72</v>
      </c>
      <c r="S23" s="39"/>
      <c r="T23" s="25">
        <v>93.16</v>
      </c>
      <c r="U23" s="26">
        <v>101.13</v>
      </c>
      <c r="V23" s="39"/>
      <c r="W23" s="25">
        <v>98.42</v>
      </c>
      <c r="X23" s="26">
        <v>101.56</v>
      </c>
      <c r="Y23" s="39"/>
      <c r="Z23" s="25">
        <v>115.34</v>
      </c>
      <c r="AA23" s="26">
        <v>112.02</v>
      </c>
      <c r="AC23" s="20" t="s">
        <v>29</v>
      </c>
      <c r="AD23" s="1"/>
      <c r="AE23" s="25">
        <v>97.98</v>
      </c>
      <c r="AF23" s="26">
        <v>105.91</v>
      </c>
      <c r="AG23" s="39"/>
      <c r="AH23" s="25">
        <v>110.05</v>
      </c>
      <c r="AI23" s="26">
        <v>110.36</v>
      </c>
      <c r="AJ23" s="39"/>
      <c r="AK23" s="25">
        <v>111.64</v>
      </c>
      <c r="AL23" s="26">
        <v>94.64</v>
      </c>
      <c r="AM23" s="39"/>
      <c r="AN23" s="25">
        <v>120.33</v>
      </c>
      <c r="AO23" s="26">
        <v>109.75</v>
      </c>
    </row>
    <row r="24" spans="1:41">
      <c r="A24" s="20" t="s">
        <v>30</v>
      </c>
      <c r="B24" s="1"/>
      <c r="C24" s="25">
        <v>27.49</v>
      </c>
      <c r="D24" s="26">
        <v>28.25</v>
      </c>
      <c r="E24" s="39"/>
      <c r="F24" s="25">
        <v>27.74</v>
      </c>
      <c r="G24" s="26">
        <v>29.32</v>
      </c>
      <c r="H24" s="39"/>
      <c r="I24" s="25">
        <v>27.69</v>
      </c>
      <c r="J24" s="26">
        <v>27.63</v>
      </c>
      <c r="K24" s="39"/>
      <c r="L24" s="25">
        <v>26.97</v>
      </c>
      <c r="M24" s="26">
        <v>28.64</v>
      </c>
      <c r="O24" s="20" t="s">
        <v>30</v>
      </c>
      <c r="P24" s="1"/>
      <c r="Q24" s="25">
        <v>26.49</v>
      </c>
      <c r="R24" s="26">
        <v>27.89</v>
      </c>
      <c r="S24" s="39"/>
      <c r="T24" s="25">
        <v>27.29</v>
      </c>
      <c r="U24" s="26">
        <v>26.15</v>
      </c>
      <c r="V24" s="39"/>
      <c r="W24" s="25">
        <v>26.14</v>
      </c>
      <c r="X24" s="26">
        <v>29.18</v>
      </c>
      <c r="Y24" s="39"/>
      <c r="Z24" s="25">
        <v>28.25</v>
      </c>
      <c r="AA24" s="26">
        <v>24.47</v>
      </c>
      <c r="AC24" s="20" t="s">
        <v>30</v>
      </c>
      <c r="AD24" s="1"/>
      <c r="AE24" s="25">
        <v>26.9</v>
      </c>
      <c r="AF24" s="26">
        <v>27.84</v>
      </c>
      <c r="AG24" s="39"/>
      <c r="AH24" s="25">
        <v>29.32</v>
      </c>
      <c r="AI24" s="26">
        <v>27.32</v>
      </c>
      <c r="AJ24" s="39"/>
      <c r="AK24" s="25">
        <v>27.6</v>
      </c>
      <c r="AL24" s="26">
        <v>26.59</v>
      </c>
      <c r="AM24" s="39"/>
      <c r="AN24" s="25">
        <v>28.63</v>
      </c>
      <c r="AO24" s="26">
        <v>27.15</v>
      </c>
    </row>
    <row r="25" spans="1:41">
      <c r="A25" s="20" t="s">
        <v>31</v>
      </c>
      <c r="B25" s="1"/>
      <c r="C25" s="27">
        <f>100*(C22-C23)/(C23-C24)</f>
        <v>8.0645161290322545</v>
      </c>
      <c r="D25" s="28">
        <f>100*(D22-D23)/(D23-D24)</f>
        <v>8.0662251655629191</v>
      </c>
      <c r="E25" s="39"/>
      <c r="F25" s="27">
        <f>100*(F22-F23)/(F23-F24)</f>
        <v>10.338274420372477</v>
      </c>
      <c r="G25" s="28">
        <f>100*(G22-G23)/(G23-G24)</f>
        <v>10.230239734156189</v>
      </c>
      <c r="H25" s="39"/>
      <c r="I25" s="27">
        <f>100*(I22-I23)/(I23-I24)</f>
        <v>12.406058503873268</v>
      </c>
      <c r="J25" s="28">
        <f>100*(J22-J23)/(J23-J24)</f>
        <v>12.337425550018221</v>
      </c>
      <c r="K25" s="39"/>
      <c r="L25" s="27">
        <f>100*(L22-L23)/(L23-L24)</f>
        <v>14.725407362703681</v>
      </c>
      <c r="M25" s="28">
        <f>100*(M22-M23)/(M23-M24)</f>
        <v>14.587388088750469</v>
      </c>
      <c r="O25" s="20" t="s">
        <v>31</v>
      </c>
      <c r="P25" s="1"/>
      <c r="Q25" s="27">
        <f>100*(Q22-Q23)/(Q23-Q24)</f>
        <v>6.2101427269966649</v>
      </c>
      <c r="R25" s="28">
        <f>100*(R22-R23)/(R23-R24)</f>
        <v>6.2261753494282042</v>
      </c>
      <c r="S25" s="39"/>
      <c r="T25" s="27">
        <f>100*(T22-T23)/(T23-T24)</f>
        <v>8.213147107939875</v>
      </c>
      <c r="U25" s="28">
        <f>100*(U22-U23)/(U23-U24)</f>
        <v>8.2421979194451964</v>
      </c>
      <c r="V25" s="39"/>
      <c r="W25" s="27">
        <f>100*(W22-W23)/(W23-W24)</f>
        <v>10.459324847814059</v>
      </c>
      <c r="X25" s="28">
        <f>100*(X22-X23)/(X23-X24)</f>
        <v>10.458690245924279</v>
      </c>
      <c r="Y25" s="39"/>
      <c r="Z25" s="27">
        <f>100*(Z22-Z23)/(Z23-Z24)</f>
        <v>12.814330003444706</v>
      </c>
      <c r="AA25" s="28">
        <f>100*(AA22-AA23)/(AA23-AA24)</f>
        <v>12.79268989149058</v>
      </c>
      <c r="AC25" s="20" t="s">
        <v>31</v>
      </c>
      <c r="AD25" s="1"/>
      <c r="AE25" s="27">
        <f>100*(AE22-AE23)/(AE23-AE24)</f>
        <v>4.2768711311198526</v>
      </c>
      <c r="AF25" s="28">
        <f>100*(AF22-AF23)/(AF23-AF24)</f>
        <v>4.265402843601894</v>
      </c>
      <c r="AG25" s="39"/>
      <c r="AH25" s="27">
        <f>100*(AH22-AH23)/(AH23-AH24)</f>
        <v>6.4288368636194706</v>
      </c>
      <c r="AI25" s="28">
        <f>100*(AI22-AI23)/(AI23-AI24)</f>
        <v>6.4065510597302593</v>
      </c>
      <c r="AJ25" s="39"/>
      <c r="AK25" s="27">
        <f>100*(AK22-AK23)/(AK23-AK24)</f>
        <v>8.6149452641599193</v>
      </c>
      <c r="AL25" s="28">
        <f>100*(AL22-AL23)/(AL23-AL24)</f>
        <v>8.5231447465099155</v>
      </c>
      <c r="AM25" s="39"/>
      <c r="AN25" s="27">
        <f>100*(AN22-AN23)/(AN23-AN24)</f>
        <v>11.00327153762267</v>
      </c>
      <c r="AO25" s="28">
        <f>100*(AO22-AO23)/(AO23-AO24)</f>
        <v>10.920096852300237</v>
      </c>
    </row>
    <row r="26" spans="1:41">
      <c r="A26" s="22" t="s">
        <v>32</v>
      </c>
      <c r="B26" s="1"/>
      <c r="C26" s="67">
        <f>(C25+D25)/2</f>
        <v>8.0653706472975877</v>
      </c>
      <c r="D26" s="68"/>
      <c r="E26" s="39"/>
      <c r="F26" s="67">
        <f>(F25+G25)/2</f>
        <v>10.284257077264332</v>
      </c>
      <c r="G26" s="68"/>
      <c r="H26" s="39"/>
      <c r="I26" s="67">
        <f>(I25+J25)/2</f>
        <v>12.371742026945745</v>
      </c>
      <c r="J26" s="68"/>
      <c r="K26" s="39"/>
      <c r="L26" s="67">
        <f>(L25+M25)/2</f>
        <v>14.656397725727075</v>
      </c>
      <c r="M26" s="68"/>
      <c r="O26" s="22" t="s">
        <v>32</v>
      </c>
      <c r="P26" s="1"/>
      <c r="Q26" s="67">
        <f>(Q25+R25)/2</f>
        <v>6.2181590382124341</v>
      </c>
      <c r="R26" s="68"/>
      <c r="S26" s="39"/>
      <c r="T26" s="67">
        <f>(T25+U25)/2</f>
        <v>8.2276725136925357</v>
      </c>
      <c r="U26" s="68"/>
      <c r="V26" s="39"/>
      <c r="W26" s="67">
        <f>(W25+X25)/2</f>
        <v>10.45900754686917</v>
      </c>
      <c r="X26" s="68"/>
      <c r="Y26" s="39"/>
      <c r="Z26" s="67">
        <f>(Z25+AA25)/2</f>
        <v>12.803509947467642</v>
      </c>
      <c r="AA26" s="68"/>
      <c r="AC26" s="22" t="s">
        <v>32</v>
      </c>
      <c r="AD26" s="1"/>
      <c r="AE26" s="67">
        <f>(AE25+AF25)/2</f>
        <v>4.2711369873608733</v>
      </c>
      <c r="AF26" s="68"/>
      <c r="AG26" s="39"/>
      <c r="AH26" s="67">
        <f>(AH25+AI25)/2</f>
        <v>6.4176939616748649</v>
      </c>
      <c r="AI26" s="68"/>
      <c r="AJ26" s="39"/>
      <c r="AK26" s="67">
        <f>(AK25+AL25)/2</f>
        <v>8.5690450053349174</v>
      </c>
      <c r="AL26" s="68"/>
      <c r="AM26" s="39"/>
      <c r="AN26" s="67">
        <f>(AN25+AO25)/2</f>
        <v>10.961684194961453</v>
      </c>
      <c r="AO26" s="68"/>
    </row>
    <row r="27" spans="1:41">
      <c r="A27" s="1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18"/>
      <c r="O27" s="17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18"/>
      <c r="AC27" s="17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18"/>
    </row>
    <row r="28" spans="1:41">
      <c r="A28" s="29" t="s">
        <v>33</v>
      </c>
      <c r="B28" s="1"/>
      <c r="C28" s="62">
        <f>(C18)/((100+C26)/100)</f>
        <v>1.8251091513425566</v>
      </c>
      <c r="D28" s="63"/>
      <c r="E28" s="1"/>
      <c r="F28" s="62">
        <f>(F18)/((100+F26)/100)</f>
        <v>1.8559841759856874</v>
      </c>
      <c r="G28" s="63"/>
      <c r="H28" s="40"/>
      <c r="I28" s="62">
        <f>(I18)/((100+I26)/100)</f>
        <v>1.8783691393068693</v>
      </c>
      <c r="J28" s="63"/>
      <c r="K28" s="40"/>
      <c r="L28" s="62">
        <f>(L18)/((100+L26)/100)</f>
        <v>1.7926414073155938</v>
      </c>
      <c r="M28" s="63"/>
      <c r="O28" s="29" t="s">
        <v>33</v>
      </c>
      <c r="P28" s="1"/>
      <c r="Q28" s="62">
        <f>(Q18)/((100+Q26)/100)</f>
        <v>1.8829172131297169</v>
      </c>
      <c r="R28" s="63"/>
      <c r="S28" s="1"/>
      <c r="T28" s="62">
        <f>(T18)/((100+T26)/100)</f>
        <v>1.9546830974515585</v>
      </c>
      <c r="U28" s="63"/>
      <c r="V28" s="40"/>
      <c r="W28" s="62">
        <f>(W18)/((100+W26)/100)</f>
        <v>1.9732923487114991</v>
      </c>
      <c r="X28" s="63"/>
      <c r="Y28" s="40"/>
      <c r="Z28" s="62">
        <f>(Z18)/((100+Z26)/100)</f>
        <v>1.8943545255968313</v>
      </c>
      <c r="AA28" s="63"/>
      <c r="AC28" s="29" t="s">
        <v>33</v>
      </c>
      <c r="AD28" s="1"/>
      <c r="AE28" s="62">
        <f>(AE18)/((100+AE26)/100)</f>
        <v>1.9834420859285182</v>
      </c>
      <c r="AF28" s="63"/>
      <c r="AG28" s="1"/>
      <c r="AH28" s="62">
        <f>(AH18)/((100+AH26)/100)</f>
        <v>2.061521100971718</v>
      </c>
      <c r="AI28" s="63"/>
      <c r="AJ28" s="40"/>
      <c r="AK28" s="62">
        <f>(AK18)/((100+AK26)/100)</f>
        <v>2.0932582190644662</v>
      </c>
      <c r="AL28" s="63"/>
      <c r="AM28" s="40"/>
      <c r="AN28" s="62">
        <f>(AN18)/((100+AN26)/100)</f>
        <v>2.0001339540946885</v>
      </c>
      <c r="AO28" s="63"/>
    </row>
    <row r="29" spans="1:41">
      <c r="A29" s="1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18"/>
      <c r="O29" s="17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18"/>
      <c r="AC29" s="17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18"/>
    </row>
    <row r="30" spans="1:41" ht="15.75">
      <c r="A30" s="6"/>
      <c r="B30" s="1"/>
      <c r="C30" s="51" t="s">
        <v>34</v>
      </c>
      <c r="D30" s="51"/>
      <c r="E30" s="41"/>
      <c r="F30" s="42" t="s">
        <v>35</v>
      </c>
      <c r="G30" s="41"/>
      <c r="H30" s="41"/>
      <c r="I30" s="41"/>
      <c r="J30" s="41"/>
      <c r="K30" s="41"/>
      <c r="L30" s="43">
        <v>1.879</v>
      </c>
      <c r="M30" s="30" t="s">
        <v>36</v>
      </c>
      <c r="O30" s="6"/>
      <c r="P30" s="1"/>
      <c r="Q30" s="51" t="s">
        <v>34</v>
      </c>
      <c r="R30" s="51"/>
      <c r="S30" s="41"/>
      <c r="T30" s="42" t="s">
        <v>35</v>
      </c>
      <c r="U30" s="41"/>
      <c r="V30" s="41"/>
      <c r="W30" s="41"/>
      <c r="X30" s="41"/>
      <c r="Y30" s="41"/>
      <c r="Z30" s="43">
        <v>1.976</v>
      </c>
      <c r="AA30" s="30" t="s">
        <v>36</v>
      </c>
      <c r="AC30" s="6"/>
      <c r="AD30" s="1"/>
      <c r="AE30" s="51" t="s">
        <v>34</v>
      </c>
      <c r="AF30" s="51"/>
      <c r="AG30" s="41"/>
      <c r="AH30" s="42" t="s">
        <v>35</v>
      </c>
      <c r="AI30" s="41"/>
      <c r="AJ30" s="41"/>
      <c r="AK30" s="41"/>
      <c r="AL30" s="41"/>
      <c r="AM30" s="41"/>
      <c r="AN30" s="43">
        <v>2.0939999999999999</v>
      </c>
      <c r="AO30" s="30" t="s">
        <v>36</v>
      </c>
    </row>
    <row r="31" spans="1:41">
      <c r="A31" s="6"/>
      <c r="B31" s="1"/>
      <c r="C31" s="41"/>
      <c r="D31" s="41"/>
      <c r="E31" s="41"/>
      <c r="F31" s="42" t="s">
        <v>37</v>
      </c>
      <c r="G31" s="41"/>
      <c r="H31" s="41"/>
      <c r="I31" s="41"/>
      <c r="J31" s="41"/>
      <c r="K31" s="41"/>
      <c r="L31" s="44">
        <v>12.12</v>
      </c>
      <c r="M31" s="30" t="s">
        <v>38</v>
      </c>
      <c r="O31" s="6"/>
      <c r="P31" s="1"/>
      <c r="Q31" s="41"/>
      <c r="R31" s="41"/>
      <c r="S31" s="41"/>
      <c r="T31" s="42" t="s">
        <v>37</v>
      </c>
      <c r="U31" s="41"/>
      <c r="V31" s="41"/>
      <c r="W31" s="41"/>
      <c r="X31" s="41"/>
      <c r="Y31" s="41"/>
      <c r="Z31" s="44">
        <v>9.89</v>
      </c>
      <c r="AA31" s="30" t="s">
        <v>38</v>
      </c>
      <c r="AC31" s="6"/>
      <c r="AD31" s="1"/>
      <c r="AE31" s="41"/>
      <c r="AF31" s="41"/>
      <c r="AG31" s="41"/>
      <c r="AH31" s="42" t="s">
        <v>37</v>
      </c>
      <c r="AI31" s="41"/>
      <c r="AJ31" s="41"/>
      <c r="AK31" s="41"/>
      <c r="AL31" s="41"/>
      <c r="AM31" s="41"/>
      <c r="AN31" s="44">
        <v>8.36</v>
      </c>
      <c r="AO31" s="30" t="s">
        <v>38</v>
      </c>
    </row>
    <row r="32" spans="1:41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  <c r="O32" s="45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7"/>
      <c r="AC32" s="45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7"/>
    </row>
    <row r="34" spans="3:32">
      <c r="C34" t="s">
        <v>39</v>
      </c>
      <c r="D34" t="s">
        <v>40</v>
      </c>
      <c r="Q34" t="s">
        <v>39</v>
      </c>
      <c r="R34" t="s">
        <v>40</v>
      </c>
      <c r="AE34" t="s">
        <v>39</v>
      </c>
      <c r="AF34" t="s">
        <v>40</v>
      </c>
    </row>
    <row r="35" spans="3:32">
      <c r="C35" s="50">
        <f>C26</f>
        <v>8.0653706472975877</v>
      </c>
      <c r="D35" s="49">
        <f>C28</f>
        <v>1.8251091513425566</v>
      </c>
      <c r="Q35" s="50">
        <f>Q26</f>
        <v>6.2181590382124341</v>
      </c>
      <c r="R35" s="49">
        <f>Q28</f>
        <v>1.8829172131297169</v>
      </c>
      <c r="AE35" s="50">
        <f>AE26</f>
        <v>4.2711369873608733</v>
      </c>
      <c r="AF35" s="49">
        <f>AE28</f>
        <v>1.9834420859285182</v>
      </c>
    </row>
    <row r="36" spans="3:32">
      <c r="C36" s="50">
        <f>F26</f>
        <v>10.284257077264332</v>
      </c>
      <c r="D36" s="49">
        <f>F28</f>
        <v>1.8559841759856874</v>
      </c>
      <c r="Q36" s="50">
        <f>T26</f>
        <v>8.2276725136925357</v>
      </c>
      <c r="R36" s="49">
        <f>T28</f>
        <v>1.9546830974515585</v>
      </c>
      <c r="AE36" s="50">
        <f>AH26</f>
        <v>6.4176939616748649</v>
      </c>
      <c r="AF36" s="49">
        <f>AH28</f>
        <v>2.061521100971718</v>
      </c>
    </row>
    <row r="37" spans="3:32">
      <c r="C37" s="50">
        <f>I26</f>
        <v>12.371742026945745</v>
      </c>
      <c r="D37" s="49">
        <f>I28</f>
        <v>1.8783691393068693</v>
      </c>
      <c r="Q37" s="50">
        <f>W26</f>
        <v>10.45900754686917</v>
      </c>
      <c r="R37" s="49">
        <f>W28</f>
        <v>1.9732923487114991</v>
      </c>
      <c r="AE37" s="50">
        <f>AK26</f>
        <v>8.5690450053349174</v>
      </c>
      <c r="AF37" s="49">
        <f>AK28</f>
        <v>2.0932582190644662</v>
      </c>
    </row>
    <row r="38" spans="3:32">
      <c r="C38" s="50">
        <f>L26</f>
        <v>14.656397725727075</v>
      </c>
      <c r="D38" s="49">
        <f>L28</f>
        <v>1.7926414073155938</v>
      </c>
      <c r="Q38" s="50">
        <f>Z26</f>
        <v>12.803509947467642</v>
      </c>
      <c r="R38" s="49">
        <f>Z28</f>
        <v>1.8943545255968313</v>
      </c>
      <c r="AE38" s="50">
        <f>AN26</f>
        <v>10.961684194961453</v>
      </c>
      <c r="AF38" s="49">
        <f>AN28</f>
        <v>2.0001339540946885</v>
      </c>
    </row>
    <row r="51" spans="13:14">
      <c r="M51" t="s">
        <v>41</v>
      </c>
      <c r="N51" t="s">
        <v>42</v>
      </c>
    </row>
    <row r="52" spans="13:14">
      <c r="M52">
        <v>0</v>
      </c>
      <c r="N52">
        <v>1.976</v>
      </c>
    </row>
    <row r="53" spans="13:14">
      <c r="M53">
        <v>9.89</v>
      </c>
      <c r="N53">
        <v>1.976</v>
      </c>
    </row>
    <row r="55" spans="13:14">
      <c r="M55" t="s">
        <v>41</v>
      </c>
      <c r="N55" t="s">
        <v>42</v>
      </c>
    </row>
    <row r="56" spans="13:14">
      <c r="M56">
        <v>9.89</v>
      </c>
      <c r="N56">
        <v>1.976</v>
      </c>
    </row>
    <row r="57" spans="13:14">
      <c r="M57">
        <v>9.89</v>
      </c>
      <c r="N57">
        <v>0</v>
      </c>
    </row>
  </sheetData>
  <mergeCells count="88">
    <mergeCell ref="C14:D14"/>
    <mergeCell ref="F14:G14"/>
    <mergeCell ref="I14:J14"/>
    <mergeCell ref="L14:M14"/>
    <mergeCell ref="C26:D26"/>
    <mergeCell ref="F26:G26"/>
    <mergeCell ref="I26:J26"/>
    <mergeCell ref="L26:M26"/>
    <mergeCell ref="C16:D16"/>
    <mergeCell ref="F16:G16"/>
    <mergeCell ref="I16:J16"/>
    <mergeCell ref="L16:M16"/>
    <mergeCell ref="C17:D17"/>
    <mergeCell ref="F17:G17"/>
    <mergeCell ref="I17:J17"/>
    <mergeCell ref="L17:M17"/>
    <mergeCell ref="C18:D18"/>
    <mergeCell ref="F18:G18"/>
    <mergeCell ref="I18:J18"/>
    <mergeCell ref="L18:M18"/>
    <mergeCell ref="A20:M20"/>
    <mergeCell ref="W7:AA7"/>
    <mergeCell ref="O12:AA12"/>
    <mergeCell ref="Q14:R14"/>
    <mergeCell ref="T14:U14"/>
    <mergeCell ref="W14:X14"/>
    <mergeCell ref="Q16:R16"/>
    <mergeCell ref="T16:U16"/>
    <mergeCell ref="W16:X16"/>
    <mergeCell ref="Z16:AA16"/>
    <mergeCell ref="Q17:R17"/>
    <mergeCell ref="T17:U17"/>
    <mergeCell ref="W17:X17"/>
    <mergeCell ref="Z17:AA17"/>
    <mergeCell ref="I7:M7"/>
    <mergeCell ref="A12:M12"/>
    <mergeCell ref="C28:D28"/>
    <mergeCell ref="F28:G28"/>
    <mergeCell ref="I28:J28"/>
    <mergeCell ref="L28:M28"/>
    <mergeCell ref="C30:D30"/>
    <mergeCell ref="Q30:R30"/>
    <mergeCell ref="AK7:AO7"/>
    <mergeCell ref="AC12:AO12"/>
    <mergeCell ref="AE14:AF14"/>
    <mergeCell ref="AH14:AI14"/>
    <mergeCell ref="AK14:AL14"/>
    <mergeCell ref="Q18:R18"/>
    <mergeCell ref="T18:U18"/>
    <mergeCell ref="W18:X18"/>
    <mergeCell ref="Z18:AA18"/>
    <mergeCell ref="O20:AA20"/>
    <mergeCell ref="Q26:R26"/>
    <mergeCell ref="T26:U26"/>
    <mergeCell ref="W26:X26"/>
    <mergeCell ref="Z26:AA26"/>
    <mergeCell ref="Z14:AA14"/>
    <mergeCell ref="AK17:AL17"/>
    <mergeCell ref="AN17:AO17"/>
    <mergeCell ref="Q28:R28"/>
    <mergeCell ref="T28:U28"/>
    <mergeCell ref="W28:X28"/>
    <mergeCell ref="Z28:AA28"/>
    <mergeCell ref="AC20:AO20"/>
    <mergeCell ref="AE26:AF26"/>
    <mergeCell ref="AH26:AI26"/>
    <mergeCell ref="AK26:AL26"/>
    <mergeCell ref="AN26:AO26"/>
    <mergeCell ref="AE28:AF28"/>
    <mergeCell ref="AH28:AI28"/>
    <mergeCell ref="AK28:AL28"/>
    <mergeCell ref="AN28:AO28"/>
    <mergeCell ref="AE30:AF30"/>
    <mergeCell ref="A1:AO2"/>
    <mergeCell ref="A4:M4"/>
    <mergeCell ref="O4:AA4"/>
    <mergeCell ref="AC4:AO4"/>
    <mergeCell ref="AE18:AF18"/>
    <mergeCell ref="AH18:AI18"/>
    <mergeCell ref="AK18:AL18"/>
    <mergeCell ref="AN18:AO18"/>
    <mergeCell ref="AN14:AO14"/>
    <mergeCell ref="AE16:AF16"/>
    <mergeCell ref="AH16:AI16"/>
    <mergeCell ref="AK16:AL16"/>
    <mergeCell ref="AN16:AO16"/>
    <mergeCell ref="AE17:AF17"/>
    <mergeCell ref="AH17:AI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Grace Estefany Haro Chango</dc:creator>
  <cp:keywords/>
  <dc:description/>
  <cp:lastModifiedBy/>
  <cp:revision/>
  <dcterms:created xsi:type="dcterms:W3CDTF">2025-03-24T19:00:55Z</dcterms:created>
  <dcterms:modified xsi:type="dcterms:W3CDTF">2025-04-02T14:16:34Z</dcterms:modified>
  <cp:category/>
  <cp:contentStatus/>
</cp:coreProperties>
</file>