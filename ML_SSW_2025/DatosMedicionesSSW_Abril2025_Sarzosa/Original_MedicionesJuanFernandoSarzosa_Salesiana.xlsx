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DatosMedicionesSSW_Abril2025\"/>
    </mc:Choice>
  </mc:AlternateContent>
  <xr:revisionPtr revIDLastSave="0" documentId="13_ncr:1_{EF65EF76-648A-486E-ACC1-838159DB3E02}" xr6:coauthVersionLast="47" xr6:coauthVersionMax="47" xr10:uidLastSave="{00000000-0000-0000-0000-000000000000}"/>
  <bookViews>
    <workbookView xWindow="-98" yWindow="-98" windowWidth="21795" windowHeight="12975" activeTab="3" xr2:uid="{4959F82E-6D8C-417F-AFCD-C39AFDB3CEB5}"/>
  </bookViews>
  <sheets>
    <sheet name="Arena" sheetId="5" r:id="rId1"/>
    <sheet name="Base" sheetId="4" r:id="rId2"/>
    <sheet name="Caolin" sheetId="3" r:id="rId3"/>
    <sheet name="Limo-Arenoso" sheetId="1" r:id="rId4"/>
    <sheet name="Datos Mold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AE5" i="1"/>
  <c r="Y5" i="1"/>
  <c r="AE7" i="1"/>
  <c r="AE6" i="1"/>
  <c r="Y6" i="1"/>
  <c r="Y7" i="1"/>
  <c r="AE9" i="1"/>
  <c r="AE8" i="1"/>
  <c r="Y8" i="1"/>
  <c r="Y9" i="1"/>
  <c r="R15" i="5"/>
  <c r="J15" i="5" s="1"/>
  <c r="I15" i="5"/>
  <c r="K15" i="5" s="1"/>
  <c r="R9" i="5"/>
  <c r="J9" i="5" s="1"/>
  <c r="I9" i="5"/>
  <c r="K9" i="5" s="1"/>
  <c r="R20" i="4"/>
  <c r="J20" i="4" s="1"/>
  <c r="I20" i="4"/>
  <c r="K20" i="4" s="1"/>
  <c r="R9" i="4"/>
  <c r="J9" i="4" s="1"/>
  <c r="I9" i="4"/>
  <c r="K9" i="4" s="1"/>
  <c r="I19" i="4"/>
  <c r="K19" i="4" s="1"/>
  <c r="I18" i="4"/>
  <c r="K18" i="4" s="1"/>
  <c r="I17" i="4"/>
  <c r="K17" i="4" s="1"/>
  <c r="L17" i="4" s="1"/>
  <c r="I16" i="4"/>
  <c r="K16" i="4" s="1"/>
  <c r="R16" i="4"/>
  <c r="J16" i="4" s="1"/>
  <c r="R8" i="5"/>
  <c r="J8" i="5" s="1"/>
  <c r="R5" i="5"/>
  <c r="J5" i="5" s="1"/>
  <c r="R6" i="5"/>
  <c r="J6" i="5" s="1"/>
  <c r="R7" i="5"/>
  <c r="J7" i="5" s="1"/>
  <c r="R19" i="4"/>
  <c r="J19" i="4" s="1"/>
  <c r="T49" i="5"/>
  <c r="R45" i="5"/>
  <c r="R43" i="5"/>
  <c r="R20" i="5"/>
  <c r="J20" i="5" s="1"/>
  <c r="I20" i="5"/>
  <c r="K20" i="5" s="1"/>
  <c r="R19" i="5"/>
  <c r="J19" i="5" s="1"/>
  <c r="I19" i="5"/>
  <c r="K19" i="5" s="1"/>
  <c r="R18" i="5"/>
  <c r="J18" i="5" s="1"/>
  <c r="I18" i="5"/>
  <c r="K18" i="5" s="1"/>
  <c r="R17" i="5"/>
  <c r="J17" i="5" s="1"/>
  <c r="I17" i="5"/>
  <c r="K17" i="5" s="1"/>
  <c r="R14" i="5"/>
  <c r="J14" i="5" s="1"/>
  <c r="I14" i="5"/>
  <c r="K14" i="5" s="1"/>
  <c r="R13" i="5"/>
  <c r="J13" i="5" s="1"/>
  <c r="I13" i="5"/>
  <c r="K13" i="5" s="1"/>
  <c r="R12" i="5"/>
  <c r="J12" i="5" s="1"/>
  <c r="I12" i="5"/>
  <c r="K12" i="5" s="1"/>
  <c r="R11" i="5"/>
  <c r="J11" i="5" s="1"/>
  <c r="I11" i="5"/>
  <c r="K11" i="5" s="1"/>
  <c r="I8" i="5"/>
  <c r="K8" i="5" s="1"/>
  <c r="I7" i="5"/>
  <c r="K7" i="5" s="1"/>
  <c r="I6" i="5"/>
  <c r="K6" i="5" s="1"/>
  <c r="I5" i="5"/>
  <c r="K5" i="5" s="1"/>
  <c r="R45" i="4"/>
  <c r="R43" i="4"/>
  <c r="R18" i="4"/>
  <c r="J18" i="4" s="1"/>
  <c r="R17" i="4"/>
  <c r="J17" i="4"/>
  <c r="R14" i="4"/>
  <c r="J14" i="4" s="1"/>
  <c r="I14" i="4"/>
  <c r="K14" i="4" s="1"/>
  <c r="R13" i="4"/>
  <c r="J13" i="4" s="1"/>
  <c r="I13" i="4"/>
  <c r="K13" i="4" s="1"/>
  <c r="R12" i="4"/>
  <c r="J12" i="4"/>
  <c r="I12" i="4"/>
  <c r="K12" i="4" s="1"/>
  <c r="L12" i="4" s="1"/>
  <c r="R11" i="4"/>
  <c r="J11" i="4" s="1"/>
  <c r="I11" i="4"/>
  <c r="K11" i="4" s="1"/>
  <c r="R8" i="4"/>
  <c r="J8" i="4" s="1"/>
  <c r="I8" i="4"/>
  <c r="K8" i="4" s="1"/>
  <c r="R7" i="4"/>
  <c r="J7" i="4" s="1"/>
  <c r="I7" i="4"/>
  <c r="K7" i="4" s="1"/>
  <c r="R6" i="4"/>
  <c r="J6" i="4" s="1"/>
  <c r="I6" i="4"/>
  <c r="K6" i="4" s="1"/>
  <c r="R5" i="4"/>
  <c r="J5" i="4" s="1"/>
  <c r="I5" i="4"/>
  <c r="K5" i="4" s="1"/>
  <c r="R9" i="1"/>
  <c r="J9" i="1" s="1"/>
  <c r="I9" i="1"/>
  <c r="K9" i="1" s="1"/>
  <c r="R14" i="3"/>
  <c r="J14" i="3" s="1"/>
  <c r="I14" i="3"/>
  <c r="K14" i="3" s="1"/>
  <c r="T53" i="1"/>
  <c r="S46" i="1"/>
  <c r="T41" i="1"/>
  <c r="S49" i="1" s="1"/>
  <c r="T49" i="1" s="1"/>
  <c r="R44" i="3"/>
  <c r="R42" i="3"/>
  <c r="R19" i="3"/>
  <c r="J19" i="3"/>
  <c r="I19" i="3"/>
  <c r="K19" i="3" s="1"/>
  <c r="L19" i="3" s="1"/>
  <c r="R18" i="3"/>
  <c r="J18" i="3" s="1"/>
  <c r="I18" i="3"/>
  <c r="K18" i="3" s="1"/>
  <c r="R17" i="3"/>
  <c r="J17" i="3" s="1"/>
  <c r="I17" i="3"/>
  <c r="K17" i="3" s="1"/>
  <c r="R16" i="3"/>
  <c r="J16" i="3" s="1"/>
  <c r="I16" i="3"/>
  <c r="K16" i="3" s="1"/>
  <c r="R13" i="3"/>
  <c r="J13" i="3" s="1"/>
  <c r="I13" i="3"/>
  <c r="K13" i="3" s="1"/>
  <c r="R12" i="3"/>
  <c r="J12" i="3" s="1"/>
  <c r="I12" i="3"/>
  <c r="K12" i="3" s="1"/>
  <c r="R11" i="3"/>
  <c r="J11" i="3" s="1"/>
  <c r="I11" i="3"/>
  <c r="K11" i="3" s="1"/>
  <c r="R10" i="3"/>
  <c r="J10" i="3" s="1"/>
  <c r="I10" i="3"/>
  <c r="K10" i="3" s="1"/>
  <c r="R8" i="3"/>
  <c r="J8" i="3" s="1"/>
  <c r="I8" i="3"/>
  <c r="K8" i="3" s="1"/>
  <c r="R7" i="3"/>
  <c r="J7" i="3"/>
  <c r="I7" i="3"/>
  <c r="K7" i="3" s="1"/>
  <c r="L7" i="3" s="1"/>
  <c r="R6" i="3"/>
  <c r="J6" i="3"/>
  <c r="I6" i="3"/>
  <c r="K6" i="3" s="1"/>
  <c r="R5" i="3"/>
  <c r="J5" i="3" s="1"/>
  <c r="I5" i="3"/>
  <c r="K5" i="3" s="1"/>
  <c r="T46" i="1" l="1"/>
  <c r="L9" i="5"/>
  <c r="L15" i="5"/>
  <c r="L16" i="4"/>
  <c r="L17" i="5"/>
  <c r="L20" i="4"/>
  <c r="L9" i="4"/>
  <c r="L18" i="5"/>
  <c r="L20" i="5"/>
  <c r="L14" i="5"/>
  <c r="L18" i="4"/>
  <c r="L11" i="5"/>
  <c r="L7" i="5"/>
  <c r="L12" i="5"/>
  <c r="L13" i="5"/>
  <c r="L8" i="5"/>
  <c r="L5" i="5"/>
  <c r="L6" i="5"/>
  <c r="L19" i="5"/>
  <c r="L11" i="4"/>
  <c r="L5" i="4"/>
  <c r="L7" i="4"/>
  <c r="L6" i="4"/>
  <c r="L14" i="4"/>
  <c r="L19" i="4"/>
  <c r="L13" i="4"/>
  <c r="L8" i="4"/>
  <c r="L9" i="1"/>
  <c r="L14" i="3"/>
  <c r="L16" i="3"/>
  <c r="L18" i="3"/>
  <c r="L17" i="3"/>
  <c r="L13" i="3"/>
  <c r="L12" i="3"/>
  <c r="L10" i="3"/>
  <c r="L8" i="3"/>
  <c r="L6" i="3"/>
  <c r="L5" i="3"/>
  <c r="L11" i="3"/>
  <c r="R8" i="1"/>
  <c r="J8" i="1" s="1"/>
  <c r="I8" i="1"/>
  <c r="K8" i="1" s="1"/>
  <c r="R16" i="1"/>
  <c r="J16" i="1" s="1"/>
  <c r="R17" i="1"/>
  <c r="J17" i="1" s="1"/>
  <c r="R18" i="1"/>
  <c r="J18" i="1" s="1"/>
  <c r="R19" i="1"/>
  <c r="J19" i="1" s="1"/>
  <c r="R12" i="1"/>
  <c r="J12" i="1" s="1"/>
  <c r="R13" i="1"/>
  <c r="J13" i="1" s="1"/>
  <c r="R14" i="1"/>
  <c r="J14" i="1" s="1"/>
  <c r="R11" i="1"/>
  <c r="J11" i="1" s="1"/>
  <c r="R6" i="1"/>
  <c r="J6" i="1" s="1"/>
  <c r="R7" i="1"/>
  <c r="J7" i="1" s="1"/>
  <c r="R5" i="1"/>
  <c r="J5" i="1" s="1"/>
  <c r="I17" i="1"/>
  <c r="K17" i="1" s="1"/>
  <c r="I18" i="1"/>
  <c r="K18" i="1" s="1"/>
  <c r="L18" i="1" s="1"/>
  <c r="I19" i="1"/>
  <c r="K19" i="1" s="1"/>
  <c r="L19" i="1" s="1"/>
  <c r="I16" i="1"/>
  <c r="K16" i="1" s="1"/>
  <c r="I6" i="1"/>
  <c r="K6" i="1" s="1"/>
  <c r="I7" i="1"/>
  <c r="K7" i="1" s="1"/>
  <c r="I11" i="1"/>
  <c r="K11" i="1" s="1"/>
  <c r="I12" i="1"/>
  <c r="K12" i="1" s="1"/>
  <c r="I13" i="1"/>
  <c r="K13" i="1" s="1"/>
  <c r="I14" i="1"/>
  <c r="K14" i="1" s="1"/>
  <c r="I5" i="1"/>
  <c r="K5" i="1" s="1"/>
  <c r="F4" i="2"/>
  <c r="H4" i="2"/>
  <c r="L17" i="1" l="1"/>
  <c r="L13" i="1"/>
  <c r="L8" i="1"/>
  <c r="L5" i="1"/>
  <c r="L14" i="1"/>
  <c r="L12" i="1"/>
  <c r="L11" i="1"/>
  <c r="L7" i="1"/>
  <c r="L6" i="1"/>
  <c r="L16" i="1"/>
  <c r="H3" i="2"/>
  <c r="H2" i="2"/>
</calcChain>
</file>

<file path=xl/sharedStrings.xml><?xml version="1.0" encoding="utf-8"?>
<sst xmlns="http://schemas.openxmlformats.org/spreadsheetml/2006/main" count="459" uniqueCount="110">
  <si>
    <t>Molde</t>
  </si>
  <si>
    <t>M_Molde</t>
  </si>
  <si>
    <t>H_Molde</t>
  </si>
  <si>
    <t>D_Molde</t>
  </si>
  <si>
    <t>M1</t>
  </si>
  <si>
    <t>M2</t>
  </si>
  <si>
    <t>M3</t>
  </si>
  <si>
    <t>M4</t>
  </si>
  <si>
    <t>M5</t>
  </si>
  <si>
    <t>M6</t>
  </si>
  <si>
    <t>M7</t>
  </si>
  <si>
    <t>V_Molde</t>
  </si>
  <si>
    <t>Muestra</t>
  </si>
  <si>
    <t>[g]</t>
  </si>
  <si>
    <t>[mm]</t>
  </si>
  <si>
    <t>[mm^3]</t>
  </si>
  <si>
    <t>Proctor</t>
  </si>
  <si>
    <t>Estandar</t>
  </si>
  <si>
    <t>Tarro</t>
  </si>
  <si>
    <t>Humedad</t>
  </si>
  <si>
    <t>ρ_hum</t>
  </si>
  <si>
    <t>ρ_dry</t>
  </si>
  <si>
    <t>[-]</t>
  </si>
  <si>
    <t>[g/cm3]</t>
  </si>
  <si>
    <t>Resultados Proctor</t>
  </si>
  <si>
    <t>Calculo Humedad</t>
  </si>
  <si>
    <t>[%]</t>
  </si>
  <si>
    <t>M_t</t>
  </si>
  <si>
    <t>Fecha</t>
  </si>
  <si>
    <t>M_m</t>
  </si>
  <si>
    <t>V_m</t>
  </si>
  <si>
    <t>[cm3]</t>
  </si>
  <si>
    <t>M_m+M_s_h</t>
  </si>
  <si>
    <t>M_s_h</t>
  </si>
  <si>
    <t>M__t+M_s_h</t>
  </si>
  <si>
    <t>M__t+M_s_d</t>
  </si>
  <si>
    <t>Archivo .mat</t>
  </si>
  <si>
    <t>TOF1</t>
  </si>
  <si>
    <t>TOF2</t>
  </si>
  <si>
    <t>TOF3</t>
  </si>
  <si>
    <t>TOF4</t>
  </si>
  <si>
    <t>TOF5</t>
  </si>
  <si>
    <t>TOF_Prom</t>
  </si>
  <si>
    <t>E_1</t>
  </si>
  <si>
    <t>E_2</t>
  </si>
  <si>
    <t>E_3</t>
  </si>
  <si>
    <t>E_4</t>
  </si>
  <si>
    <t>E_5</t>
  </si>
  <si>
    <t>E_Prom</t>
  </si>
  <si>
    <t>SSW Analisis</t>
  </si>
  <si>
    <t>[s]</t>
  </si>
  <si>
    <t>[Mpa]</t>
  </si>
  <si>
    <t>L_M1</t>
  </si>
  <si>
    <t>L_M2</t>
  </si>
  <si>
    <t>L_M3</t>
  </si>
  <si>
    <t>L_M4</t>
  </si>
  <si>
    <t>L_M5</t>
  </si>
  <si>
    <t>L_M6</t>
  </si>
  <si>
    <t>L_M7</t>
  </si>
  <si>
    <t>L_M8</t>
  </si>
  <si>
    <t>Modificado</t>
  </si>
  <si>
    <t>M8</t>
  </si>
  <si>
    <t>MOD 56</t>
  </si>
  <si>
    <t>1_56</t>
  </si>
  <si>
    <t>2_56</t>
  </si>
  <si>
    <t>3_56</t>
  </si>
  <si>
    <t>4_56</t>
  </si>
  <si>
    <t>C_M1</t>
  </si>
  <si>
    <t>C_M2</t>
  </si>
  <si>
    <t>C_M3</t>
  </si>
  <si>
    <t>C_M4</t>
  </si>
  <si>
    <t>1_c</t>
  </si>
  <si>
    <t>2_c</t>
  </si>
  <si>
    <t>3_c</t>
  </si>
  <si>
    <t>4_c</t>
  </si>
  <si>
    <t>C_M5</t>
  </si>
  <si>
    <t>C_M6</t>
  </si>
  <si>
    <t>C_M7</t>
  </si>
  <si>
    <t>C_M8</t>
  </si>
  <si>
    <t xml:space="preserve">Inicial </t>
  </si>
  <si>
    <t>Objetivo</t>
  </si>
  <si>
    <t>Agua</t>
  </si>
  <si>
    <t>correccion humedad</t>
  </si>
  <si>
    <t>tarro</t>
  </si>
  <si>
    <t>humeda</t>
  </si>
  <si>
    <t>humedad</t>
  </si>
  <si>
    <t>incremento</t>
  </si>
  <si>
    <t>humedad aumentada</t>
  </si>
  <si>
    <t>decremento</t>
  </si>
  <si>
    <t>subbase</t>
  </si>
  <si>
    <t>C_M1_56</t>
  </si>
  <si>
    <t>C_M2_56</t>
  </si>
  <si>
    <t>C_M3_56</t>
  </si>
  <si>
    <t>C_M4_56</t>
  </si>
  <si>
    <t>L_M5_2</t>
  </si>
  <si>
    <t>tarro + suelo</t>
  </si>
  <si>
    <t>Extra</t>
  </si>
  <si>
    <t>Soil Type</t>
  </si>
  <si>
    <t>Typical ν Range</t>
  </si>
  <si>
    <t>Common Assumed Value</t>
  </si>
  <si>
    <t>Caolin (Clay)</t>
  </si>
  <si>
    <t>0.30 – 0.45</t>
  </si>
  <si>
    <t>0.35 – 0.4</t>
  </si>
  <si>
    <t>Granular Base</t>
  </si>
  <si>
    <t>0.20 – 0.35</t>
  </si>
  <si>
    <t>0.25 – 0.3</t>
  </si>
  <si>
    <t>Limo Arenoso</t>
  </si>
  <si>
    <t>0.25 – 0.40</t>
  </si>
  <si>
    <t>0.3 – 0.35</t>
  </si>
  <si>
    <t>Arena (Sand)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</si>
</sst>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4" fontId="0" fillId="2" borderId="0" xfId="0" applyNumberFormat="1" applyFill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9" fontId="0" fillId="2" borderId="0" xfId="0" applyNumberFormat="1" applyFill="1"/>
    <xf numFmtId="10" fontId="0" fillId="2" borderId="0" xfId="1" applyNumberFormat="1" applyFont="1" applyFill="1"/>
    <xf numFmtId="10" fontId="0" fillId="2" borderId="0" xfId="0" applyNumberFormat="1" applyFill="1"/>
    <xf numFmtId="165" fontId="0" fillId="2" borderId="0" xfId="1" applyNumberFormat="1" applyFont="1" applyFill="1"/>
    <xf numFmtId="0" fontId="0" fillId="5" borderId="1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Arena!$R$5:$R$9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0.13462469733656179</c:v>
                </c:pt>
              </c:numCache>
            </c:numRef>
          </c:xVal>
          <c:yVal>
            <c:numRef>
              <c:f>Arena!$L$5:$L$9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1.9057139878525786</c:v>
                </c:pt>
                <c:pt idx="2">
                  <c:v>1.9660781433873795</c:v>
                </c:pt>
                <c:pt idx="3">
                  <c:v>1.976501107332471</c:v>
                </c:pt>
                <c:pt idx="4">
                  <c:v>1.9114281747026711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1-44BA-A91A-31737C2A4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Arena!$R$11:$R$15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0.15466961978589905</c:v>
                </c:pt>
              </c:numCache>
            </c:numRef>
          </c:xVal>
          <c:yVal>
            <c:numRef>
              <c:f>Arena!$L$11:$L$15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2.0354195840613221</c:v>
                </c:pt>
                <c:pt idx="3">
                  <c:v>2.0561458679914573</c:v>
                </c:pt>
                <c:pt idx="4">
                  <c:v>1.9366819760124112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B-49A0-AE3A-20A70B45F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Arena!$R$17:$R$20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Arena!$L$17:$L$20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2.0936624711882001</c:v>
                </c:pt>
                <c:pt idx="2">
                  <c:v>2.1095360213543715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2D-42C7-A0BE-E4E271BF7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Estandar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Arena!$R$5:$R$8</c:f>
              <c:numCache>
                <c:formatCode>0.00%</c:formatCode>
                <c:ptCount val="4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</c:numCache>
            </c:numRef>
          </c:xVal>
          <c:yVal>
            <c:numRef>
              <c:f>Arena!$L$5:$L$8</c:f>
              <c:numCache>
                <c:formatCode>General</c:formatCode>
                <c:ptCount val="4"/>
                <c:pt idx="0">
                  <c:v>1.8947397051669903</c:v>
                </c:pt>
                <c:pt idx="1">
                  <c:v>1.9057139878525786</c:v>
                </c:pt>
                <c:pt idx="2">
                  <c:v>1.9660781433873795</c:v>
                </c:pt>
                <c:pt idx="3">
                  <c:v>1.976501107332471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E-4E1B-8149-197E0B12AF98}"/>
            </c:ext>
          </c:extLst>
        </c:ser>
        <c:ser>
          <c:idx val="1"/>
          <c:order val="1"/>
          <c:tx>
            <c:v>Modificado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Arena!$R$11:$R$14</c:f>
              <c:numCache>
                <c:formatCode>0.000%</c:formatCode>
                <c:ptCount val="4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</c:numCache>
            </c:numRef>
          </c:xVal>
          <c:yVal>
            <c:numRef>
              <c:f>Arena!$L$11:$L$14</c:f>
              <c:numCache>
                <c:formatCode>General</c:formatCode>
                <c:ptCount val="4"/>
                <c:pt idx="0">
                  <c:v>2.016690673287997</c:v>
                </c:pt>
                <c:pt idx="1">
                  <c:v>2.0460168732495467</c:v>
                </c:pt>
                <c:pt idx="2">
                  <c:v>2.0354195840613221</c:v>
                </c:pt>
                <c:pt idx="3">
                  <c:v>2.0561458679914573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AE-4E1B-8149-197E0B12AF98}"/>
            </c:ext>
          </c:extLst>
        </c:ser>
        <c:ser>
          <c:idx val="2"/>
          <c:order val="2"/>
          <c:tx>
            <c:v>56 Golpes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Arena!$R$17:$R$20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Arena!$L$17:$L$20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2.0936624711882001</c:v>
                </c:pt>
                <c:pt idx="2">
                  <c:v>2.1095360213543715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AE-4E1B-8149-197E0B12A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Base!$R$5:$R$9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0.14467683598050002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6.3486674588355274E-2</c:v>
                </c:pt>
              </c:numCache>
            </c:numRef>
          </c:xVal>
          <c:yVal>
            <c:numRef>
              <c:f>Base!$L$5:$L$9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1.9621424868528743</c:v>
                </c:pt>
                <c:pt idx="2">
                  <c:v>1.9330014754394726</c:v>
                </c:pt>
                <c:pt idx="3">
                  <c:v>2.0546546965318271</c:v>
                </c:pt>
                <c:pt idx="4">
                  <c:v>1.9916514063474513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05-4CAA-AA04-FF79A42C2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Base!$R$11:$R$14</c:f>
              <c:numCache>
                <c:formatCode>0.000%</c:formatCode>
                <c:ptCount val="4"/>
                <c:pt idx="0">
                  <c:v>4.8944900351699717E-2</c:v>
                </c:pt>
                <c:pt idx="1">
                  <c:v>7.4972436604189868E-2</c:v>
                </c:pt>
                <c:pt idx="2">
                  <c:v>0.10350404312668453</c:v>
                </c:pt>
                <c:pt idx="3">
                  <c:v>0.12465208747514901</c:v>
                </c:pt>
              </c:numCache>
            </c:numRef>
          </c:xVal>
          <c:yVal>
            <c:numRef>
              <c:f>Base!$L$11:$L$14</c:f>
              <c:numCache>
                <c:formatCode>General</c:formatCode>
                <c:ptCount val="4"/>
                <c:pt idx="0">
                  <c:v>2.1188961244160671</c:v>
                </c:pt>
                <c:pt idx="1">
                  <c:v>2.1307571596002468</c:v>
                </c:pt>
                <c:pt idx="2">
                  <c:v>2.1491556953798447</c:v>
                </c:pt>
                <c:pt idx="3">
                  <c:v>2.0826248287175693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3-43CB-9205-DC249FB8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Base!$R$16:$R$20</c:f>
              <c:numCache>
                <c:formatCode>0.000%</c:formatCode>
                <c:ptCount val="5"/>
                <c:pt idx="0">
                  <c:v>5.3619965406473978E-2</c:v>
                </c:pt>
                <c:pt idx="1">
                  <c:v>7.8940856223706946E-2</c:v>
                </c:pt>
                <c:pt idx="2">
                  <c:v>9.3951849677040455E-2</c:v>
                </c:pt>
                <c:pt idx="3">
                  <c:v>9.908861741322475E-2</c:v>
                </c:pt>
                <c:pt idx="4">
                  <c:v>7.5044883303410997E-2</c:v>
                </c:pt>
              </c:numCache>
            </c:numRef>
          </c:xVal>
          <c:yVal>
            <c:numRef>
              <c:f>Base!$L$16:$L$20</c:f>
              <c:numCache>
                <c:formatCode>General</c:formatCode>
                <c:ptCount val="5"/>
                <c:pt idx="0">
                  <c:v>2.1147467976506751</c:v>
                </c:pt>
                <c:pt idx="1">
                  <c:v>2.0195458529899608</c:v>
                </c:pt>
                <c:pt idx="2">
                  <c:v>2.0070106591666095</c:v>
                </c:pt>
                <c:pt idx="3">
                  <c:v>2.1157648078995304</c:v>
                </c:pt>
                <c:pt idx="4">
                  <c:v>2.203277371620509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6-489C-851E-3FFC03FBC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Estandar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Base!$R$5:$R$8</c:f>
              <c:numCache>
                <c:formatCode>0.00%</c:formatCode>
                <c:ptCount val="4"/>
                <c:pt idx="0">
                  <c:v>0.10614119922630562</c:v>
                </c:pt>
                <c:pt idx="1">
                  <c:v>0.14467683598050002</c:v>
                </c:pt>
                <c:pt idx="2">
                  <c:v>6.2609713282621576E-2</c:v>
                </c:pt>
                <c:pt idx="3">
                  <c:v>0.10971223021582741</c:v>
                </c:pt>
              </c:numCache>
            </c:numRef>
          </c:xVal>
          <c:yVal>
            <c:numRef>
              <c:f>Base!$L$5:$L$8</c:f>
              <c:numCache>
                <c:formatCode>General</c:formatCode>
                <c:ptCount val="4"/>
                <c:pt idx="0">
                  <c:v>2.0593635990630705</c:v>
                </c:pt>
                <c:pt idx="1">
                  <c:v>1.9621424868528743</c:v>
                </c:pt>
                <c:pt idx="2">
                  <c:v>1.9330014754394726</c:v>
                </c:pt>
                <c:pt idx="3">
                  <c:v>2.0546546965318271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A8-4A2F-BA08-C4FAA4CE3760}"/>
            </c:ext>
          </c:extLst>
        </c:ser>
        <c:ser>
          <c:idx val="1"/>
          <c:order val="1"/>
          <c:tx>
            <c:v>Modificado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Base!$R$11:$R$14</c:f>
              <c:numCache>
                <c:formatCode>0.000%</c:formatCode>
                <c:ptCount val="4"/>
                <c:pt idx="0">
                  <c:v>4.8944900351699717E-2</c:v>
                </c:pt>
                <c:pt idx="1">
                  <c:v>7.4972436604189868E-2</c:v>
                </c:pt>
                <c:pt idx="2">
                  <c:v>0.10350404312668453</c:v>
                </c:pt>
                <c:pt idx="3">
                  <c:v>0.12465208747514901</c:v>
                </c:pt>
              </c:numCache>
            </c:numRef>
          </c:xVal>
          <c:yVal>
            <c:numRef>
              <c:f>Base!$L$11:$L$14</c:f>
              <c:numCache>
                <c:formatCode>General</c:formatCode>
                <c:ptCount val="4"/>
                <c:pt idx="0">
                  <c:v>2.1188961244160671</c:v>
                </c:pt>
                <c:pt idx="1">
                  <c:v>2.1307571596002468</c:v>
                </c:pt>
                <c:pt idx="2">
                  <c:v>2.1491556953798447</c:v>
                </c:pt>
                <c:pt idx="3">
                  <c:v>2.0826248287175693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A8-4A2F-BA08-C4FAA4CE3760}"/>
            </c:ext>
          </c:extLst>
        </c:ser>
        <c:ser>
          <c:idx val="2"/>
          <c:order val="2"/>
          <c:tx>
            <c:v>56 Golpes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Base!$R$16:$R$19</c:f>
              <c:numCache>
                <c:formatCode>0.000%</c:formatCode>
                <c:ptCount val="4"/>
                <c:pt idx="0">
                  <c:v>5.3619965406473978E-2</c:v>
                </c:pt>
                <c:pt idx="1">
                  <c:v>7.8940856223706946E-2</c:v>
                </c:pt>
                <c:pt idx="2">
                  <c:v>9.3951849677040455E-2</c:v>
                </c:pt>
                <c:pt idx="3">
                  <c:v>9.908861741322475E-2</c:v>
                </c:pt>
              </c:numCache>
            </c:numRef>
          </c:xVal>
          <c:yVal>
            <c:numRef>
              <c:f>Base!$L$16:$L$19</c:f>
              <c:numCache>
                <c:formatCode>General</c:formatCode>
                <c:ptCount val="4"/>
                <c:pt idx="0">
                  <c:v>2.1147467976506751</c:v>
                </c:pt>
                <c:pt idx="1">
                  <c:v>2.0195458529899608</c:v>
                </c:pt>
                <c:pt idx="2">
                  <c:v>2.0070106591666095</c:v>
                </c:pt>
                <c:pt idx="3">
                  <c:v>2.1157648078995304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A8-4A2F-BA08-C4FAA4CE3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Caolin!$R$5:$R$8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Caolin!$L$5:$L$8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4-498F-B893-767DB7FE7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Modificado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Caolin!$R$10:$R$14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Caolin!$L$10:$L$14</c:f>
              <c:numCache>
                <c:formatCode>General</c:formatCode>
                <c:ptCount val="5"/>
                <c:pt idx="0">
                  <c:v>1.7223395495139338</c:v>
                </c:pt>
                <c:pt idx="1">
                  <c:v>1.7894306168364227</c:v>
                </c:pt>
                <c:pt idx="2">
                  <c:v>1.8336028483141282</c:v>
                </c:pt>
                <c:pt idx="3">
                  <c:v>1.7166048847465196</c:v>
                </c:pt>
                <c:pt idx="4">
                  <c:v>1.588986828431266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8F-456B-987C-0F46C2EBC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Modificado 56 Golpes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Caolin!$R$16:$R$19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Caolin!$L$16:$L$19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F4-4BDB-A04F-C03B30966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Caolin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Estandar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Caolin!$R$5:$R$8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Caolin!$L$5:$L$8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22-41EB-8579-D532D19C6624}"/>
            </c:ext>
          </c:extLst>
        </c:ser>
        <c:ser>
          <c:idx val="1"/>
          <c:order val="1"/>
          <c:tx>
            <c:v>Modificado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Caolin!$R$10:$R$13</c:f>
              <c:numCache>
                <c:formatCode>0.000%</c:formatCode>
                <c:ptCount val="4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</c:numCache>
            </c:numRef>
          </c:xVal>
          <c:yVal>
            <c:numRef>
              <c:f>Caolin!$L$10:$L$13</c:f>
              <c:numCache>
                <c:formatCode>General</c:formatCode>
                <c:ptCount val="4"/>
                <c:pt idx="0">
                  <c:v>1.7223395495139338</c:v>
                </c:pt>
                <c:pt idx="1">
                  <c:v>1.7894306168364227</c:v>
                </c:pt>
                <c:pt idx="2">
                  <c:v>1.8336028483141282</c:v>
                </c:pt>
                <c:pt idx="3">
                  <c:v>1.7166048847465196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22-41EB-8579-D532D19C6624}"/>
            </c:ext>
          </c:extLst>
        </c:ser>
        <c:ser>
          <c:idx val="2"/>
          <c:order val="2"/>
          <c:tx>
            <c:v>56 Golpes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Caolin!$R$16:$R$19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Caolin!$L$16:$L$19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22-41EB-8579-D532D19C6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'Limo-Arenoso'!$R$5:$R$9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'Limo-Arenoso'!$L$5:$L$9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19-4505-849A-ED2C2FCDB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Modificado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'Limo-Arenoso'!$R$11:$R$14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'Limo-Arenoso'!$L$11:$L$14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1.6910757694100986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2-4CD8-A819-085732372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Modificado 56 Golpes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'Limo-Arenoso'!$R$16:$R$19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'Limo-Arenoso'!$L$16:$L$19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7E5-BE19-D63943686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'Limo-Arenoso'!$R$5:$R$9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'Limo-Arenoso'!$L$5:$L$9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F9-4FCA-BD6E-1773FAA3CEAD}"/>
            </c:ext>
          </c:extLst>
        </c:ser>
        <c:ser>
          <c:idx val="1"/>
          <c:order val="1"/>
          <c:tx>
            <c:v>Modificado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'Limo-Arenoso'!$R$11:$R$14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'Limo-Arenoso'!$L$11:$L$14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1.6910757694100986</c:v>
                </c:pt>
                <c:pt idx="3">
                  <c:v>1.516311109759529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F9-4FCA-BD6E-1773FAA3CEAD}"/>
            </c:ext>
          </c:extLst>
        </c:ser>
        <c:ser>
          <c:idx val="2"/>
          <c:order val="2"/>
          <c:tx>
            <c:v>56 Golpes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'Limo-Arenoso'!$R$16:$R$19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'Limo-Arenoso'!$L$16:$L$19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F9-4FCA-BD6E-1773FAA3C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18676</xdr:colOff>
      <xdr:row>21</xdr:row>
      <xdr:rowOff>70133</xdr:rowOff>
    </xdr:from>
    <xdr:to>
      <xdr:col>7</xdr:col>
      <xdr:colOff>609864</xdr:colOff>
      <xdr:row>36</xdr:row>
      <xdr:rowOff>123921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899C8-C565-4757-8047-0712D2C57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194625</xdr:colOff>
      <xdr:row>21</xdr:row>
      <xdr:rowOff>52451</xdr:rowOff>
    </xdr:from>
    <xdr:to>
      <xdr:col>16</xdr:col>
      <xdr:colOff>273066</xdr:colOff>
      <xdr:row>36</xdr:row>
      <xdr:rowOff>106239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C05FC-8A32-4336-849D-01E12166C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683314</xdr:colOff>
      <xdr:row>21</xdr:row>
      <xdr:rowOff>27896</xdr:rowOff>
    </xdr:from>
    <xdr:to>
      <xdr:col>23</xdr:col>
      <xdr:colOff>409745</xdr:colOff>
      <xdr:row>36</xdr:row>
      <xdr:rowOff>81684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9091C-1B90-4815-ADA4-76188922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95013</xdr:colOff>
      <xdr:row>39</xdr:row>
      <xdr:rowOff>47775</xdr:rowOff>
    </xdr:from>
    <xdr:to>
      <xdr:col>14</xdr:col>
      <xdr:colOff>334862</xdr:colOff>
      <xdr:row>55</xdr:row>
      <xdr:rowOff>141386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8D2D22-EC93-40A5-B2BB-30BCCE12A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58830</xdr:colOff>
      <xdr:row>21</xdr:row>
      <xdr:rowOff>116045</xdr:rowOff>
    </xdr:from>
    <xdr:to>
      <xdr:col>7</xdr:col>
      <xdr:colOff>652742</xdr:colOff>
      <xdr:row>36</xdr:row>
      <xdr:rowOff>169833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91866-3268-458A-BC8D-79F7A61A6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240927</xdr:colOff>
      <xdr:row>21</xdr:row>
      <xdr:rowOff>39221</xdr:rowOff>
    </xdr:from>
    <xdr:to>
      <xdr:col>16</xdr:col>
      <xdr:colOff>319368</xdr:colOff>
      <xdr:row>36</xdr:row>
      <xdr:rowOff>93009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22619-AFF8-4CD6-9393-C9A7DF54F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750550</xdr:colOff>
      <xdr:row>21</xdr:row>
      <xdr:rowOff>17702</xdr:rowOff>
    </xdr:from>
    <xdr:to>
      <xdr:col>23</xdr:col>
      <xdr:colOff>476981</xdr:colOff>
      <xdr:row>36</xdr:row>
      <xdr:rowOff>71490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952CC-D1CE-49A1-8C3F-E10E1338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95013</xdr:colOff>
      <xdr:row>39</xdr:row>
      <xdr:rowOff>47775</xdr:rowOff>
    </xdr:from>
    <xdr:to>
      <xdr:col>14</xdr:col>
      <xdr:colOff>334862</xdr:colOff>
      <xdr:row>55</xdr:row>
      <xdr:rowOff>141386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3669F2-5E57-4F63-B0AB-FCBA107BD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574302</xdr:colOff>
      <xdr:row>20</xdr:row>
      <xdr:rowOff>3987</xdr:rowOff>
    </xdr:from>
    <xdr:to>
      <xdr:col>7</xdr:col>
      <xdr:colOff>523875</xdr:colOff>
      <xdr:row>35</xdr:row>
      <xdr:rowOff>57775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F5779-D814-4C40-A67B-FD9B2106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240927</xdr:colOff>
      <xdr:row>20</xdr:row>
      <xdr:rowOff>39221</xdr:rowOff>
    </xdr:from>
    <xdr:to>
      <xdr:col>16</xdr:col>
      <xdr:colOff>319368</xdr:colOff>
      <xdr:row>35</xdr:row>
      <xdr:rowOff>93009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5CB8B-5339-4238-B423-F14E3921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683315</xdr:colOff>
      <xdr:row>20</xdr:row>
      <xdr:rowOff>34511</xdr:rowOff>
    </xdr:from>
    <xdr:to>
      <xdr:col>23</xdr:col>
      <xdr:colOff>409746</xdr:colOff>
      <xdr:row>35</xdr:row>
      <xdr:rowOff>88299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C8306-1917-4B65-AA9C-0CFCBAA02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95013</xdr:colOff>
      <xdr:row>38</xdr:row>
      <xdr:rowOff>47775</xdr:rowOff>
    </xdr:from>
    <xdr:to>
      <xdr:col>14</xdr:col>
      <xdr:colOff>334862</xdr:colOff>
      <xdr:row>54</xdr:row>
      <xdr:rowOff>141386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5DA57D-8598-4485-95B9-9611B51DD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574302</xdr:colOff>
      <xdr:row>20</xdr:row>
      <xdr:rowOff>9525</xdr:rowOff>
    </xdr:from>
    <xdr:to>
      <xdr:col>7</xdr:col>
      <xdr:colOff>523875</xdr:colOff>
      <xdr:row>35</xdr:row>
      <xdr:rowOff>63313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B325C-4386-9281-0F3F-2D7BD2FA2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240927</xdr:colOff>
      <xdr:row>20</xdr:row>
      <xdr:rowOff>39221</xdr:rowOff>
    </xdr:from>
    <xdr:to>
      <xdr:col>16</xdr:col>
      <xdr:colOff>319368</xdr:colOff>
      <xdr:row>35</xdr:row>
      <xdr:rowOff>93009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A7AE-6847-410C-8BA6-903DF2EBB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683315</xdr:colOff>
      <xdr:row>20</xdr:row>
      <xdr:rowOff>34511</xdr:rowOff>
    </xdr:from>
    <xdr:to>
      <xdr:col>22</xdr:col>
      <xdr:colOff>409746</xdr:colOff>
      <xdr:row>35</xdr:row>
      <xdr:rowOff>88299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7CE2-6E77-4488-AFDA-C4EDB33BD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95013</xdr:colOff>
      <xdr:row>38</xdr:row>
      <xdr:rowOff>47775</xdr:rowOff>
    </xdr:from>
    <xdr:to>
      <xdr:col>14</xdr:col>
      <xdr:colOff>334862</xdr:colOff>
      <xdr:row>54</xdr:row>
      <xdr:rowOff>141386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A1A47F-1E42-4941-9F83-DE9CA391C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2854-F9EF-4F51-930F-1924F1359A8C}">
  <dimension ref="B2:AF49"/>
  <sheetViews>
    <sheetView zoomScale="72" zoomScaleNormal="200" workbookViewId="0">
      <selection activeCell="Y35" sqref="Y35"/>
    </sheetView>
  </sheetViews>
  <sheetFormatPr defaultColWidth="9" defaultRowHeight="14.25" x14ac:dyDescent="0.45"/>
  <cols>
    <col min="1" max="3" width="9" style="1"/>
    <col min="4" max="4" width="10.1328125" style="1" customWidth="1"/>
    <col min="5" max="5" width="9" style="1"/>
    <col min="6" max="7" width="9.1328125" style="1" bestFit="1" customWidth="1"/>
    <col min="8" max="8" width="12.33203125" style="1" customWidth="1"/>
    <col min="9" max="9" width="9" style="1" customWidth="1"/>
    <col min="10" max="10" width="9.1328125" style="1" customWidth="1"/>
    <col min="11" max="12" width="7.1328125" style="1" customWidth="1"/>
    <col min="13" max="13" width="4" style="1" customWidth="1"/>
    <col min="14" max="14" width="6" style="1" customWidth="1"/>
    <col min="15" max="15" width="8.1328125" style="1" customWidth="1"/>
    <col min="16" max="16" width="12.1328125" style="1" customWidth="1"/>
    <col min="17" max="17" width="11.1328125" style="1" customWidth="1"/>
    <col min="18" max="18" width="9.33203125" style="1" bestFit="1" customWidth="1"/>
    <col min="19" max="19" width="9" style="1"/>
    <col min="20" max="20" width="11.33203125" style="1" customWidth="1"/>
    <col min="21" max="16384" width="9" style="1"/>
  </cols>
  <sheetData>
    <row r="2" spans="2:32" x14ac:dyDescent="0.45">
      <c r="B2" s="25" t="s">
        <v>24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"/>
      <c r="N2" s="25" t="s">
        <v>25</v>
      </c>
      <c r="O2" s="25"/>
      <c r="P2" s="25"/>
      <c r="Q2" s="25"/>
      <c r="R2" s="25"/>
      <c r="T2" s="25" t="s">
        <v>49</v>
      </c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2:32" x14ac:dyDescent="0.45">
      <c r="B3" s="6" t="s">
        <v>12</v>
      </c>
      <c r="C3" s="6" t="s">
        <v>28</v>
      </c>
      <c r="D3" s="6" t="s">
        <v>16</v>
      </c>
      <c r="E3" s="6" t="s">
        <v>0</v>
      </c>
      <c r="F3" s="6" t="s">
        <v>29</v>
      </c>
      <c r="G3" s="6" t="s">
        <v>30</v>
      </c>
      <c r="H3" s="6" t="s">
        <v>32</v>
      </c>
      <c r="I3" s="6" t="s">
        <v>33</v>
      </c>
      <c r="J3" s="6" t="s">
        <v>19</v>
      </c>
      <c r="K3" s="7" t="s">
        <v>20</v>
      </c>
      <c r="L3" s="7" t="s">
        <v>21</v>
      </c>
      <c r="M3" s="2"/>
      <c r="N3" s="6" t="s">
        <v>18</v>
      </c>
      <c r="O3" s="6" t="s">
        <v>27</v>
      </c>
      <c r="P3" s="6" t="s">
        <v>34</v>
      </c>
      <c r="Q3" s="6" t="s">
        <v>35</v>
      </c>
      <c r="R3" s="6" t="s">
        <v>19</v>
      </c>
      <c r="T3" s="6" t="s">
        <v>36</v>
      </c>
      <c r="U3" s="6" t="s">
        <v>37</v>
      </c>
      <c r="V3" s="6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45</v>
      </c>
      <c r="AD3" s="6" t="s">
        <v>46</v>
      </c>
      <c r="AE3" s="6" t="s">
        <v>47</v>
      </c>
      <c r="AF3" s="6" t="s">
        <v>48</v>
      </c>
    </row>
    <row r="4" spans="2:32" x14ac:dyDescent="0.45">
      <c r="B4" s="2" t="s">
        <v>22</v>
      </c>
      <c r="C4" s="2" t="s">
        <v>22</v>
      </c>
      <c r="D4" s="2" t="s">
        <v>22</v>
      </c>
      <c r="E4" s="2" t="s">
        <v>22</v>
      </c>
      <c r="F4" s="2" t="s">
        <v>13</v>
      </c>
      <c r="G4" s="2" t="s">
        <v>31</v>
      </c>
      <c r="H4" s="2" t="s">
        <v>13</v>
      </c>
      <c r="I4" s="2" t="s">
        <v>13</v>
      </c>
      <c r="J4" s="2" t="s">
        <v>26</v>
      </c>
      <c r="K4" s="5" t="s">
        <v>23</v>
      </c>
      <c r="L4" s="5" t="s">
        <v>23</v>
      </c>
      <c r="M4" s="2"/>
      <c r="N4" s="2" t="s">
        <v>22</v>
      </c>
      <c r="O4" s="2" t="s">
        <v>13</v>
      </c>
      <c r="P4" s="2" t="s">
        <v>13</v>
      </c>
      <c r="Q4" s="2" t="s">
        <v>13</v>
      </c>
      <c r="R4" s="2" t="s">
        <v>26</v>
      </c>
      <c r="T4" s="2" t="s">
        <v>22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50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</row>
    <row r="5" spans="2:32" x14ac:dyDescent="0.45">
      <c r="B5" s="4"/>
      <c r="C5" s="8"/>
      <c r="D5" s="4" t="s">
        <v>17</v>
      </c>
      <c r="E5" s="4" t="s">
        <v>8</v>
      </c>
      <c r="F5" s="4">
        <v>3577</v>
      </c>
      <c r="G5" s="3">
        <v>939.61803067669177</v>
      </c>
      <c r="H5" s="4">
        <v>5493.2</v>
      </c>
      <c r="I5" s="4">
        <f>H5-F5</f>
        <v>1916.1999999999998</v>
      </c>
      <c r="J5" s="11">
        <f>R5</f>
        <v>7.6316350458324425E-2</v>
      </c>
      <c r="K5" s="4">
        <f>I5/G5</f>
        <v>2.0393393245338167</v>
      </c>
      <c r="L5" s="4">
        <f>K5/(1+J5)</f>
        <v>1.8947397051669903</v>
      </c>
      <c r="M5" s="2"/>
      <c r="N5" s="4" t="s">
        <v>71</v>
      </c>
      <c r="O5" s="20">
        <v>18.78</v>
      </c>
      <c r="P5" s="20">
        <v>69.27</v>
      </c>
      <c r="Q5" s="20">
        <v>65.69</v>
      </c>
      <c r="R5" s="10">
        <f>((P5-O5)-(Q5-O5))/(Q5-O5)</f>
        <v>7.6316350458324425E-2</v>
      </c>
      <c r="T5" s="4"/>
      <c r="Y5" s="4"/>
      <c r="Z5" s="4"/>
      <c r="AA5" s="4"/>
      <c r="AB5" s="4"/>
      <c r="AC5" s="4"/>
      <c r="AD5" s="4"/>
      <c r="AE5" s="4"/>
      <c r="AF5" s="4"/>
    </row>
    <row r="6" spans="2:32" x14ac:dyDescent="0.45">
      <c r="B6" s="4"/>
      <c r="C6" s="8"/>
      <c r="D6" s="4" t="s">
        <v>17</v>
      </c>
      <c r="E6" s="4" t="s">
        <v>9</v>
      </c>
      <c r="F6" s="4">
        <v>3580.8</v>
      </c>
      <c r="G6" s="3">
        <v>939.61803067669177</v>
      </c>
      <c r="H6" s="4">
        <v>5543.4</v>
      </c>
      <c r="I6" s="4">
        <f t="shared" ref="I6:I20" si="0">H6-F6</f>
        <v>1962.5999999999995</v>
      </c>
      <c r="J6" s="11">
        <f t="shared" ref="J6:J20" si="1">R6</f>
        <v>9.6030729833546741E-2</v>
      </c>
      <c r="K6" s="4">
        <f t="shared" ref="K6:K20" si="2">I6/G6</f>
        <v>2.0887210929600606</v>
      </c>
      <c r="L6" s="4">
        <f t="shared" ref="L6:L20" si="3">K6/(1+J6)</f>
        <v>1.9057139878525786</v>
      </c>
      <c r="M6" s="2"/>
      <c r="N6" s="4" t="s">
        <v>72</v>
      </c>
      <c r="O6" s="20">
        <v>17.87</v>
      </c>
      <c r="P6" s="20">
        <v>60.67</v>
      </c>
      <c r="Q6" s="20">
        <v>56.92</v>
      </c>
      <c r="R6" s="10">
        <f>((P6-O6)-(Q6-O6))/(Q6-O6)</f>
        <v>9.6030729833546741E-2</v>
      </c>
      <c r="T6" s="4"/>
      <c r="Y6" s="4"/>
      <c r="Z6" s="4"/>
      <c r="AA6" s="4"/>
      <c r="AB6" s="4"/>
      <c r="AC6" s="4"/>
      <c r="AD6" s="4"/>
      <c r="AE6" s="4"/>
      <c r="AF6" s="4"/>
    </row>
    <row r="7" spans="2:32" x14ac:dyDescent="0.45">
      <c r="B7" s="4"/>
      <c r="C7" s="8"/>
      <c r="D7" s="4" t="s">
        <v>17</v>
      </c>
      <c r="E7" s="4" t="s">
        <v>10</v>
      </c>
      <c r="F7" s="4">
        <v>3564.6</v>
      </c>
      <c r="G7" s="3">
        <v>939.61803067669177</v>
      </c>
      <c r="H7" s="4">
        <v>5632.8</v>
      </c>
      <c r="I7" s="4">
        <f t="shared" si="0"/>
        <v>2068.2000000000003</v>
      </c>
      <c r="J7" s="11">
        <f t="shared" si="1"/>
        <v>0.11954206602768888</v>
      </c>
      <c r="K7" s="4">
        <f t="shared" si="2"/>
        <v>2.2011071866197898</v>
      </c>
      <c r="L7" s="4">
        <f t="shared" si="3"/>
        <v>1.9660781433873795</v>
      </c>
      <c r="M7" s="2"/>
      <c r="N7" s="4" t="s">
        <v>73</v>
      </c>
      <c r="O7" s="20">
        <v>17.45</v>
      </c>
      <c r="P7" s="20">
        <v>59.5</v>
      </c>
      <c r="Q7" s="20">
        <v>55.01</v>
      </c>
      <c r="R7" s="10">
        <f>((P7-O7)-(Q7-O7))/(Q7-O7)</f>
        <v>0.11954206602768888</v>
      </c>
      <c r="T7" s="4"/>
      <c r="Z7" s="4"/>
      <c r="AA7" s="4"/>
      <c r="AB7" s="4"/>
      <c r="AC7" s="4"/>
      <c r="AD7" s="4"/>
      <c r="AE7" s="4"/>
      <c r="AF7" s="4"/>
    </row>
    <row r="8" spans="2:32" x14ac:dyDescent="0.45">
      <c r="B8" s="4"/>
      <c r="C8" s="8"/>
      <c r="D8" s="4" t="s">
        <v>17</v>
      </c>
      <c r="E8" s="4" t="s">
        <v>61</v>
      </c>
      <c r="F8" s="4">
        <v>3575.2</v>
      </c>
      <c r="G8" s="3">
        <v>939.61803067669177</v>
      </c>
      <c r="H8" s="4">
        <v>5676.8</v>
      </c>
      <c r="I8" s="4">
        <f>H8-F8</f>
        <v>2101.6000000000004</v>
      </c>
      <c r="J8" s="11">
        <f t="shared" si="1"/>
        <v>0.13162271323354713</v>
      </c>
      <c r="K8" s="4">
        <f t="shared" si="2"/>
        <v>2.2366535457886809</v>
      </c>
      <c r="L8" s="4">
        <f t="shared" si="3"/>
        <v>1.976501107332471</v>
      </c>
      <c r="M8" s="2"/>
      <c r="N8" s="4" t="s">
        <v>74</v>
      </c>
      <c r="O8" s="20">
        <v>17.899999999999999</v>
      </c>
      <c r="P8" s="20">
        <v>65.53</v>
      </c>
      <c r="Q8" s="20">
        <v>59.99</v>
      </c>
      <c r="R8" s="10">
        <f>((P8-O8)-(Q8-O8))/(Q8-O8)</f>
        <v>0.13162271323354713</v>
      </c>
      <c r="T8" s="3"/>
      <c r="Z8" s="3"/>
      <c r="AA8" s="3"/>
      <c r="AB8" s="3"/>
      <c r="AC8" s="3"/>
      <c r="AD8" s="3"/>
      <c r="AE8" s="3"/>
      <c r="AF8" s="3"/>
    </row>
    <row r="9" spans="2:32" x14ac:dyDescent="0.45">
      <c r="B9" s="4"/>
      <c r="C9" s="8"/>
      <c r="D9" s="4" t="s">
        <v>17</v>
      </c>
      <c r="E9" s="4" t="s">
        <v>8</v>
      </c>
      <c r="F9" s="4">
        <v>3577</v>
      </c>
      <c r="G9" s="3">
        <v>939.61803067669177</v>
      </c>
      <c r="H9" s="4">
        <v>5614.8</v>
      </c>
      <c r="I9" s="4">
        <f>H9-F9</f>
        <v>2037.8000000000002</v>
      </c>
      <c r="J9" s="11">
        <f>R9</f>
        <v>0.13462469733656179</v>
      </c>
      <c r="K9" s="4">
        <f>I9/G9</f>
        <v>2.1687536142025952</v>
      </c>
      <c r="L9" s="4">
        <f>K9/(1+J9)</f>
        <v>1.9114281747026711</v>
      </c>
      <c r="M9" s="2"/>
      <c r="N9" s="4" t="s">
        <v>96</v>
      </c>
      <c r="O9" s="20">
        <v>19.11</v>
      </c>
      <c r="P9" s="20">
        <v>89.4</v>
      </c>
      <c r="Q9" s="20">
        <v>81.06</v>
      </c>
      <c r="R9" s="10">
        <f>((P9-O9)-(Q9-O9))/(Q9-O9)</f>
        <v>0.13462469733656179</v>
      </c>
    </row>
    <row r="10" spans="2:32" x14ac:dyDescent="0.45">
      <c r="B10" s="2"/>
      <c r="C10" s="13"/>
      <c r="D10" s="2"/>
      <c r="E10" s="2"/>
      <c r="F10" s="2"/>
      <c r="H10" s="2"/>
      <c r="I10" s="2"/>
      <c r="J10" s="14"/>
      <c r="K10" s="2"/>
      <c r="L10" s="2"/>
      <c r="M10" s="2"/>
      <c r="N10" s="2"/>
      <c r="O10" s="2"/>
      <c r="P10" s="2"/>
      <c r="Q10" s="2"/>
      <c r="R10" s="15"/>
    </row>
    <row r="11" spans="2:32" x14ac:dyDescent="0.45">
      <c r="B11" s="4"/>
      <c r="C11" s="8"/>
      <c r="D11" s="4" t="s">
        <v>60</v>
      </c>
      <c r="E11" s="4" t="s">
        <v>4</v>
      </c>
      <c r="F11" s="4">
        <v>3579</v>
      </c>
      <c r="G11" s="3">
        <v>939.61803067669177</v>
      </c>
      <c r="H11" s="4">
        <v>5582.2</v>
      </c>
      <c r="I11" s="4">
        <f t="shared" si="0"/>
        <v>2003.1999999999998</v>
      </c>
      <c r="J11" s="11">
        <f t="shared" si="1"/>
        <v>5.7142857142856933E-2</v>
      </c>
      <c r="K11" s="4">
        <f t="shared" si="2"/>
        <v>2.1319301403330249</v>
      </c>
      <c r="L11" s="4">
        <f t="shared" si="3"/>
        <v>2.016690673287997</v>
      </c>
      <c r="M11" s="2"/>
      <c r="N11" s="4">
        <v>5</v>
      </c>
      <c r="O11" s="20">
        <v>18.989999999999998</v>
      </c>
      <c r="P11" s="20">
        <v>52.29</v>
      </c>
      <c r="Q11" s="20">
        <v>50.49</v>
      </c>
      <c r="R11" s="12">
        <f>((P11-O11)-(Q11-O11))/(Q11-O11)</f>
        <v>5.7142857142856933E-2</v>
      </c>
      <c r="T11" s="3"/>
      <c r="Z11" s="3"/>
      <c r="AA11" s="3"/>
      <c r="AB11" s="3"/>
      <c r="AC11" s="3"/>
      <c r="AD11" s="3"/>
      <c r="AE11" s="3"/>
      <c r="AF11" s="3"/>
    </row>
    <row r="12" spans="2:32" x14ac:dyDescent="0.45">
      <c r="B12" s="4"/>
      <c r="C12" s="8"/>
      <c r="D12" s="4" t="s">
        <v>60</v>
      </c>
      <c r="E12" s="4" t="s">
        <v>5</v>
      </c>
      <c r="F12" s="4">
        <v>3573.4</v>
      </c>
      <c r="G12" s="3">
        <v>939.61803067669177</v>
      </c>
      <c r="H12" s="4">
        <v>5629.4</v>
      </c>
      <c r="I12" s="4">
        <f t="shared" si="0"/>
        <v>2055.9999999999995</v>
      </c>
      <c r="J12" s="11">
        <f t="shared" si="1"/>
        <v>6.9455103607060725E-2</v>
      </c>
      <c r="K12" s="4">
        <f t="shared" si="2"/>
        <v>2.1881231871628883</v>
      </c>
      <c r="L12" s="4">
        <f t="shared" si="3"/>
        <v>2.0460168732495467</v>
      </c>
      <c r="M12" s="2"/>
      <c r="N12" s="4">
        <v>6</v>
      </c>
      <c r="O12" s="20">
        <v>16.7</v>
      </c>
      <c r="P12" s="20">
        <v>44.57</v>
      </c>
      <c r="Q12" s="20">
        <v>42.76</v>
      </c>
      <c r="R12" s="12">
        <f>((P12-O12)-(Q12-O12))/(Q12-O12)</f>
        <v>6.9455103607060725E-2</v>
      </c>
      <c r="T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2" x14ac:dyDescent="0.45">
      <c r="B13" s="4"/>
      <c r="C13" s="8"/>
      <c r="D13" s="4" t="s">
        <v>60</v>
      </c>
      <c r="E13" s="4" t="s">
        <v>6</v>
      </c>
      <c r="F13" s="4">
        <v>3575.8</v>
      </c>
      <c r="G13" s="3">
        <v>939.61803067669177</v>
      </c>
      <c r="H13" s="4">
        <v>5668</v>
      </c>
      <c r="I13" s="4">
        <f t="shared" si="0"/>
        <v>2092.1999999999998</v>
      </c>
      <c r="J13" s="11">
        <f t="shared" si="1"/>
        <v>9.3951093951094009E-2</v>
      </c>
      <c r="K13" s="4">
        <f t="shared" si="2"/>
        <v>2.2266494806333639</v>
      </c>
      <c r="L13" s="4">
        <f t="shared" si="3"/>
        <v>2.0354195840613221</v>
      </c>
      <c r="M13" s="2"/>
      <c r="N13" s="4">
        <v>7</v>
      </c>
      <c r="O13" s="20">
        <v>17.649999999999999</v>
      </c>
      <c r="P13" s="20">
        <v>51.65</v>
      </c>
      <c r="Q13" s="20">
        <v>48.73</v>
      </c>
      <c r="R13" s="12">
        <f>((P13-O13)-(Q13-O13))/(Q13-O13)</f>
        <v>9.3951093951094009E-2</v>
      </c>
      <c r="T13" s="3"/>
      <c r="Z13" s="3"/>
      <c r="AA13" s="3"/>
      <c r="AB13" s="3"/>
      <c r="AC13" s="3"/>
      <c r="AD13" s="3"/>
      <c r="AE13" s="3"/>
      <c r="AF13" s="3"/>
    </row>
    <row r="14" spans="2:32" x14ac:dyDescent="0.45">
      <c r="B14" s="4"/>
      <c r="C14" s="8"/>
      <c r="D14" s="4" t="s">
        <v>60</v>
      </c>
      <c r="E14" s="4" t="s">
        <v>7</v>
      </c>
      <c r="F14" s="4">
        <v>3981.6</v>
      </c>
      <c r="G14" s="3">
        <v>939.61803067669177</v>
      </c>
      <c r="H14" s="4">
        <v>6126</v>
      </c>
      <c r="I14" s="4">
        <f t="shared" si="0"/>
        <v>2144.4</v>
      </c>
      <c r="J14" s="11">
        <f t="shared" si="1"/>
        <v>0.10994263862332682</v>
      </c>
      <c r="K14" s="4">
        <f t="shared" si="2"/>
        <v>2.2822039701128887</v>
      </c>
      <c r="L14" s="4">
        <f t="shared" si="3"/>
        <v>2.0561458679914573</v>
      </c>
      <c r="M14" s="2"/>
      <c r="N14" s="4">
        <v>8</v>
      </c>
      <c r="O14" s="20">
        <v>18.57</v>
      </c>
      <c r="P14" s="20">
        <v>53.4</v>
      </c>
      <c r="Q14" s="20">
        <v>49.95</v>
      </c>
      <c r="R14" s="12">
        <f>((P14-O14)-(Q14-O14))/(Q14-O14)</f>
        <v>0.10994263862332682</v>
      </c>
      <c r="T14" s="3"/>
      <c r="Z14" s="3"/>
      <c r="AA14" s="3"/>
      <c r="AB14" s="3"/>
      <c r="AC14" s="3"/>
      <c r="AD14" s="3"/>
      <c r="AE14" s="3"/>
      <c r="AF14" s="3"/>
    </row>
    <row r="15" spans="2:32" x14ac:dyDescent="0.45">
      <c r="B15" s="4"/>
      <c r="C15" s="8"/>
      <c r="D15" s="4" t="s">
        <v>17</v>
      </c>
      <c r="E15" s="4" t="s">
        <v>9</v>
      </c>
      <c r="F15" s="4">
        <v>3580.8</v>
      </c>
      <c r="G15" s="3">
        <v>939.61803067669177</v>
      </c>
      <c r="H15" s="4">
        <v>5682</v>
      </c>
      <c r="I15" s="4">
        <f t="shared" ref="I15" si="4">H15-F15</f>
        <v>2101.1999999999998</v>
      </c>
      <c r="J15" s="11">
        <f t="shared" ref="J15" si="5">R15</f>
        <v>0.15466961978589905</v>
      </c>
      <c r="K15" s="4">
        <f t="shared" ref="K15" si="6">I15/G15</f>
        <v>2.2362278408884544</v>
      </c>
      <c r="L15" s="4">
        <f t="shared" ref="L15" si="7">K15/(1+J15)</f>
        <v>1.9366819760124112</v>
      </c>
      <c r="M15" s="2"/>
      <c r="N15" s="4" t="s">
        <v>96</v>
      </c>
      <c r="O15" s="20">
        <v>16.64</v>
      </c>
      <c r="P15" s="20">
        <v>79.2</v>
      </c>
      <c r="Q15" s="20">
        <v>70.819999999999993</v>
      </c>
      <c r="R15" s="10">
        <f>((P15-O15)-(Q15-O15))/(Q15-O15)</f>
        <v>0.15466961978589905</v>
      </c>
    </row>
    <row r="17" spans="2:32" x14ac:dyDescent="0.45">
      <c r="B17" s="4"/>
      <c r="C17" s="8"/>
      <c r="D17" s="4" t="s">
        <v>62</v>
      </c>
      <c r="E17" s="4" t="s">
        <v>4</v>
      </c>
      <c r="F17" s="4">
        <v>3579</v>
      </c>
      <c r="G17" s="3">
        <v>939.61803067669177</v>
      </c>
      <c r="H17" s="4">
        <v>5621</v>
      </c>
      <c r="I17" s="4">
        <f t="shared" si="0"/>
        <v>2042</v>
      </c>
      <c r="J17" s="11">
        <f t="shared" si="1"/>
        <v>4.5409015025041716E-2</v>
      </c>
      <c r="K17" s="4">
        <f t="shared" si="2"/>
        <v>2.1732235156549704</v>
      </c>
      <c r="L17" s="4">
        <f t="shared" si="3"/>
        <v>2.0788260713467381</v>
      </c>
      <c r="N17" s="9" t="s">
        <v>63</v>
      </c>
      <c r="O17" s="4">
        <v>15.98</v>
      </c>
      <c r="P17" s="4">
        <v>47.29</v>
      </c>
      <c r="Q17" s="4">
        <v>45.93</v>
      </c>
      <c r="R17" s="12">
        <f>((P17-O17)-(Q17-O17))/(Q17-O17)</f>
        <v>4.5409015025041716E-2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x14ac:dyDescent="0.45">
      <c r="B18" s="4"/>
      <c r="C18" s="8"/>
      <c r="D18" s="4" t="s">
        <v>62</v>
      </c>
      <c r="E18" s="4" t="s">
        <v>5</v>
      </c>
      <c r="F18" s="4">
        <v>3573.4</v>
      </c>
      <c r="G18" s="3">
        <v>939.61803067669177</v>
      </c>
      <c r="H18" s="4">
        <v>5694.2</v>
      </c>
      <c r="I18" s="4">
        <f t="shared" si="0"/>
        <v>2120.7999999999997</v>
      </c>
      <c r="J18" s="11">
        <f t="shared" si="1"/>
        <v>7.8056951423785534E-2</v>
      </c>
      <c r="K18" s="4">
        <f t="shared" si="2"/>
        <v>2.2570873809995402</v>
      </c>
      <c r="L18" s="4">
        <f t="shared" si="3"/>
        <v>2.0936624711882001</v>
      </c>
      <c r="N18" s="4" t="s">
        <v>64</v>
      </c>
      <c r="O18" s="4">
        <v>23.21</v>
      </c>
      <c r="P18" s="4">
        <v>55.39</v>
      </c>
      <c r="Q18" s="4">
        <v>53.06</v>
      </c>
      <c r="R18" s="12">
        <f t="shared" ref="R18:R20" si="8">((P18-O18)-(Q18-O18))/(Q18-O18)</f>
        <v>7.8056951423785534E-2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2:32" x14ac:dyDescent="0.45">
      <c r="B19" s="4"/>
      <c r="C19" s="8"/>
      <c r="D19" s="4" t="s">
        <v>62</v>
      </c>
      <c r="E19" s="4" t="s">
        <v>6</v>
      </c>
      <c r="F19" s="4">
        <v>3575.8</v>
      </c>
      <c r="G19" s="3">
        <v>939.61803067669177</v>
      </c>
      <c r="H19" s="4">
        <v>5754.4</v>
      </c>
      <c r="I19" s="4">
        <f t="shared" si="0"/>
        <v>2178.5999999999995</v>
      </c>
      <c r="J19" s="11">
        <f t="shared" si="1"/>
        <v>9.9105071262843708E-2</v>
      </c>
      <c r="K19" s="4">
        <f t="shared" si="2"/>
        <v>2.318601739082232</v>
      </c>
      <c r="L19" s="4">
        <f t="shared" si="3"/>
        <v>2.1095360213543715</v>
      </c>
      <c r="N19" s="9" t="s">
        <v>65</v>
      </c>
      <c r="O19" s="4">
        <v>19.21</v>
      </c>
      <c r="P19" s="4">
        <v>52.37</v>
      </c>
      <c r="Q19" s="4">
        <v>49.38</v>
      </c>
      <c r="R19" s="12">
        <f t="shared" si="8"/>
        <v>9.9105071262843708E-2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2:32" x14ac:dyDescent="0.45">
      <c r="B20" s="4"/>
      <c r="C20" s="8"/>
      <c r="D20" s="4" t="s">
        <v>62</v>
      </c>
      <c r="E20" s="4" t="s">
        <v>7</v>
      </c>
      <c r="F20" s="4">
        <v>3981.6</v>
      </c>
      <c r="G20" s="3">
        <v>939.618030676692</v>
      </c>
      <c r="H20" s="4">
        <v>6144.8</v>
      </c>
      <c r="I20" s="4">
        <f t="shared" si="0"/>
        <v>2163.2000000000003</v>
      </c>
      <c r="J20" s="11">
        <f t="shared" si="1"/>
        <v>0.11525518788558609</v>
      </c>
      <c r="K20" s="4">
        <f t="shared" si="2"/>
        <v>2.3022121004235219</v>
      </c>
      <c r="L20" s="4">
        <f t="shared" si="3"/>
        <v>2.0642917651773396</v>
      </c>
      <c r="N20" s="4" t="s">
        <v>66</v>
      </c>
      <c r="O20" s="4">
        <v>19.77</v>
      </c>
      <c r="P20" s="4">
        <v>59.54</v>
      </c>
      <c r="Q20" s="4">
        <v>55.43</v>
      </c>
      <c r="R20" s="12">
        <f t="shared" si="8"/>
        <v>0.11525518788558609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40" spans="17:20" x14ac:dyDescent="0.45">
      <c r="T40" s="1">
        <v>100</v>
      </c>
    </row>
    <row r="41" spans="17:20" x14ac:dyDescent="0.45">
      <c r="Q41" s="1" t="s">
        <v>79</v>
      </c>
      <c r="R41" s="18">
        <v>2.1999999999999999E-2</v>
      </c>
      <c r="T41" s="1">
        <v>120</v>
      </c>
    </row>
    <row r="42" spans="17:20" x14ac:dyDescent="0.45">
      <c r="Q42" s="1" t="s">
        <v>80</v>
      </c>
      <c r="R42" s="16">
        <v>0.12</v>
      </c>
      <c r="T42" s="1">
        <v>200</v>
      </c>
    </row>
    <row r="43" spans="17:20" x14ac:dyDescent="0.45">
      <c r="Q43" s="1" t="s">
        <v>81</v>
      </c>
      <c r="R43" s="1">
        <f>(R42-R41)*2200</f>
        <v>215.6</v>
      </c>
      <c r="T43" s="1">
        <v>280</v>
      </c>
    </row>
    <row r="44" spans="17:20" x14ac:dyDescent="0.45">
      <c r="T44" s="1">
        <v>360</v>
      </c>
    </row>
    <row r="45" spans="17:20" x14ac:dyDescent="0.45">
      <c r="R45" s="1">
        <f>T40*100/2200</f>
        <v>4.5454545454545459</v>
      </c>
    </row>
    <row r="48" spans="17:20" x14ac:dyDescent="0.45">
      <c r="Q48" s="1" t="s">
        <v>83</v>
      </c>
      <c r="R48" s="1" t="s">
        <v>95</v>
      </c>
      <c r="T48" s="1" t="s">
        <v>85</v>
      </c>
    </row>
    <row r="49" spans="17:20" x14ac:dyDescent="0.45">
      <c r="Q49" s="1">
        <v>19.079999999999998</v>
      </c>
      <c r="R49" s="1">
        <v>47.38</v>
      </c>
      <c r="S49" s="1">
        <v>46.8</v>
      </c>
      <c r="T49" s="19">
        <f>(R49-S49)/(S49-Q49)</f>
        <v>2.0923520923521118E-2</v>
      </c>
    </row>
  </sheetData>
  <mergeCells count="3">
    <mergeCell ref="B2:L2"/>
    <mergeCell ref="N2:R2"/>
    <mergeCell ref="T2:A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2D8F-1551-452B-8DFC-26D22F2365B9}">
  <dimension ref="B2:AF45"/>
  <sheetViews>
    <sheetView zoomScale="69" zoomScaleNormal="79" workbookViewId="0">
      <selection activeCell="AA37" sqref="AA37"/>
    </sheetView>
  </sheetViews>
  <sheetFormatPr defaultColWidth="9" defaultRowHeight="14.25" x14ac:dyDescent="0.45"/>
  <cols>
    <col min="1" max="3" width="9" style="1"/>
    <col min="4" max="4" width="10.1328125" style="1" customWidth="1"/>
    <col min="5" max="5" width="9" style="1"/>
    <col min="6" max="7" width="9.1328125" style="1" bestFit="1" customWidth="1"/>
    <col min="8" max="8" width="12.33203125" style="1" customWidth="1"/>
    <col min="9" max="9" width="9" style="1" customWidth="1"/>
    <col min="10" max="10" width="9.1328125" style="1" customWidth="1"/>
    <col min="11" max="12" width="7.1328125" style="1" customWidth="1"/>
    <col min="13" max="13" width="4" style="1" customWidth="1"/>
    <col min="14" max="14" width="6" style="1" customWidth="1"/>
    <col min="15" max="15" width="8.1328125" style="1" customWidth="1"/>
    <col min="16" max="16" width="12.1328125" style="1" customWidth="1"/>
    <col min="17" max="17" width="11.1328125" style="1" customWidth="1"/>
    <col min="18" max="18" width="9.33203125" style="1" bestFit="1" customWidth="1"/>
    <col min="19" max="19" width="9" style="1"/>
    <col min="20" max="20" width="11.33203125" style="1" customWidth="1"/>
    <col min="21" max="16384" width="9" style="1"/>
  </cols>
  <sheetData>
    <row r="2" spans="2:32" x14ac:dyDescent="0.45">
      <c r="B2" s="25" t="s">
        <v>24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"/>
      <c r="N2" s="25" t="s">
        <v>25</v>
      </c>
      <c r="O2" s="25"/>
      <c r="P2" s="25"/>
      <c r="Q2" s="25"/>
      <c r="R2" s="25"/>
      <c r="T2" s="25" t="s">
        <v>49</v>
      </c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2:32" x14ac:dyDescent="0.45">
      <c r="B3" s="6" t="s">
        <v>12</v>
      </c>
      <c r="C3" s="6" t="s">
        <v>28</v>
      </c>
      <c r="D3" s="6" t="s">
        <v>16</v>
      </c>
      <c r="E3" s="6" t="s">
        <v>0</v>
      </c>
      <c r="F3" s="6" t="s">
        <v>29</v>
      </c>
      <c r="G3" s="6" t="s">
        <v>30</v>
      </c>
      <c r="H3" s="6" t="s">
        <v>32</v>
      </c>
      <c r="I3" s="6" t="s">
        <v>33</v>
      </c>
      <c r="J3" s="6" t="s">
        <v>19</v>
      </c>
      <c r="K3" s="7" t="s">
        <v>20</v>
      </c>
      <c r="L3" s="7" t="s">
        <v>21</v>
      </c>
      <c r="M3" s="2"/>
      <c r="N3" s="6" t="s">
        <v>18</v>
      </c>
      <c r="O3" s="6" t="s">
        <v>27</v>
      </c>
      <c r="P3" s="6" t="s">
        <v>34</v>
      </c>
      <c r="Q3" s="6" t="s">
        <v>35</v>
      </c>
      <c r="R3" s="6" t="s">
        <v>19</v>
      </c>
      <c r="T3" s="6" t="s">
        <v>36</v>
      </c>
      <c r="U3" s="6" t="s">
        <v>37</v>
      </c>
      <c r="V3" s="6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45</v>
      </c>
      <c r="AD3" s="6" t="s">
        <v>46</v>
      </c>
      <c r="AE3" s="6" t="s">
        <v>47</v>
      </c>
      <c r="AF3" s="6" t="s">
        <v>48</v>
      </c>
    </row>
    <row r="4" spans="2:32" x14ac:dyDescent="0.45">
      <c r="B4" s="2" t="s">
        <v>22</v>
      </c>
      <c r="C4" s="2" t="s">
        <v>22</v>
      </c>
      <c r="D4" s="2" t="s">
        <v>22</v>
      </c>
      <c r="E4" s="2" t="s">
        <v>22</v>
      </c>
      <c r="F4" s="2" t="s">
        <v>13</v>
      </c>
      <c r="G4" s="2" t="s">
        <v>31</v>
      </c>
      <c r="H4" s="2" t="s">
        <v>13</v>
      </c>
      <c r="I4" s="2" t="s">
        <v>13</v>
      </c>
      <c r="J4" s="2" t="s">
        <v>26</v>
      </c>
      <c r="K4" s="5" t="s">
        <v>23</v>
      </c>
      <c r="L4" s="5" t="s">
        <v>23</v>
      </c>
      <c r="M4" s="2"/>
      <c r="N4" s="2" t="s">
        <v>22</v>
      </c>
      <c r="O4" s="2" t="s">
        <v>13</v>
      </c>
      <c r="P4" s="2" t="s">
        <v>13</v>
      </c>
      <c r="Q4" s="2" t="s">
        <v>13</v>
      </c>
      <c r="R4" s="2" t="s">
        <v>26</v>
      </c>
      <c r="T4" s="2" t="s">
        <v>22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50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</row>
    <row r="5" spans="2:32" x14ac:dyDescent="0.45">
      <c r="B5" s="4"/>
      <c r="C5" s="8"/>
      <c r="D5" s="4" t="s">
        <v>17</v>
      </c>
      <c r="E5" s="4" t="s">
        <v>4</v>
      </c>
      <c r="F5" s="4">
        <v>3579</v>
      </c>
      <c r="G5" s="3">
        <v>939.61803067669177</v>
      </c>
      <c r="H5" s="4">
        <v>5719.4</v>
      </c>
      <c r="I5" s="4">
        <f>H5-F5</f>
        <v>2140.3999999999996</v>
      </c>
      <c r="J5" s="11">
        <f>R5</f>
        <v>0.10614119922630562</v>
      </c>
      <c r="K5" s="4">
        <f>I5/G5</f>
        <v>2.277946921110626</v>
      </c>
      <c r="L5" s="4">
        <f>K5/(1+J5)</f>
        <v>2.0593635990630705</v>
      </c>
      <c r="M5" s="2"/>
      <c r="N5" s="4"/>
      <c r="O5" s="20">
        <v>19.239999999999998</v>
      </c>
      <c r="P5" s="20">
        <v>64.989999999999995</v>
      </c>
      <c r="Q5" s="20">
        <v>60.6</v>
      </c>
      <c r="R5" s="10">
        <f>((P5-O5)-(Q5-O5))/(Q5-O5)</f>
        <v>0.10614119922630562</v>
      </c>
      <c r="T5" s="4"/>
      <c r="Y5" s="4"/>
      <c r="Z5" s="4"/>
      <c r="AA5" s="4"/>
      <c r="AB5" s="4"/>
      <c r="AC5" s="4"/>
      <c r="AD5" s="4"/>
      <c r="AE5" s="4"/>
      <c r="AF5" s="4"/>
    </row>
    <row r="6" spans="2:32" x14ac:dyDescent="0.45">
      <c r="B6" s="4"/>
      <c r="C6" s="8"/>
      <c r="D6" s="4" t="s">
        <v>17</v>
      </c>
      <c r="E6" s="4" t="s">
        <v>5</v>
      </c>
      <c r="F6" s="4">
        <v>3573.4</v>
      </c>
      <c r="G6" s="3">
        <v>939.61803067669177</v>
      </c>
      <c r="H6" s="4">
        <v>5683.8</v>
      </c>
      <c r="I6" s="4">
        <f t="shared" ref="I6:I14" si="0">H6-F6</f>
        <v>2110.4</v>
      </c>
      <c r="J6" s="11">
        <f t="shared" ref="J6:J19" si="1">R6</f>
        <v>0.14467683598050002</v>
      </c>
      <c r="K6" s="4">
        <f t="shared" ref="K6:K19" si="2">I6/G6</f>
        <v>2.2460190535936579</v>
      </c>
      <c r="L6" s="4">
        <f t="shared" ref="L6:L19" si="3">K6/(1+J6)</f>
        <v>1.9621424868528743</v>
      </c>
      <c r="M6" s="2"/>
      <c r="N6" s="4"/>
      <c r="O6" s="20">
        <v>19.04</v>
      </c>
      <c r="P6" s="20">
        <v>91.83</v>
      </c>
      <c r="Q6" s="20">
        <v>82.63</v>
      </c>
      <c r="R6" s="10">
        <f t="shared" ref="R6:R19" si="4">((P6-O6)-(Q6-O6))/(Q6-O6)</f>
        <v>0.14467683598050002</v>
      </c>
      <c r="T6" s="4"/>
      <c r="Y6" s="4"/>
      <c r="Z6" s="4"/>
      <c r="AA6" s="4"/>
      <c r="AB6" s="4"/>
      <c r="AC6" s="4"/>
      <c r="AD6" s="4"/>
      <c r="AE6" s="4"/>
      <c r="AF6" s="4"/>
    </row>
    <row r="7" spans="2:32" x14ac:dyDescent="0.45">
      <c r="B7" s="4"/>
      <c r="C7" s="8"/>
      <c r="D7" s="4" t="s">
        <v>17</v>
      </c>
      <c r="E7" s="4" t="s">
        <v>6</v>
      </c>
      <c r="F7" s="4">
        <v>3575.8</v>
      </c>
      <c r="G7" s="3">
        <v>939.61803067669177</v>
      </c>
      <c r="H7" s="4">
        <v>5505.8</v>
      </c>
      <c r="I7" s="4">
        <f t="shared" si="0"/>
        <v>1930</v>
      </c>
      <c r="J7" s="11">
        <f t="shared" si="1"/>
        <v>6.2609713282621576E-2</v>
      </c>
      <c r="K7" s="4">
        <f t="shared" si="2"/>
        <v>2.0540261435916225</v>
      </c>
      <c r="L7" s="4">
        <f t="shared" si="3"/>
        <v>1.9330014754394726</v>
      </c>
      <c r="M7" s="2"/>
      <c r="N7" s="4"/>
      <c r="O7" s="20">
        <v>18.940000000000001</v>
      </c>
      <c r="P7" s="20">
        <v>73.42</v>
      </c>
      <c r="Q7" s="20">
        <v>70.209999999999994</v>
      </c>
      <c r="R7" s="10">
        <f t="shared" si="4"/>
        <v>6.2609713282621576E-2</v>
      </c>
      <c r="T7" s="4"/>
      <c r="Z7" s="4"/>
      <c r="AA7" s="4"/>
      <c r="AB7" s="4"/>
      <c r="AC7" s="4"/>
      <c r="AD7" s="4"/>
      <c r="AE7" s="4"/>
      <c r="AF7" s="4"/>
    </row>
    <row r="8" spans="2:32" x14ac:dyDescent="0.45">
      <c r="B8" s="4"/>
      <c r="C8" s="8"/>
      <c r="D8" s="4" t="s">
        <v>17</v>
      </c>
      <c r="E8" s="4" t="s">
        <v>7</v>
      </c>
      <c r="F8" s="4">
        <v>3981.6</v>
      </c>
      <c r="G8" s="3">
        <v>939.61803067669177</v>
      </c>
      <c r="H8" s="4">
        <v>6124</v>
      </c>
      <c r="I8" s="4">
        <f>H8-F8</f>
        <v>2142.4</v>
      </c>
      <c r="J8" s="11">
        <f t="shared" si="1"/>
        <v>0.10971223021582741</v>
      </c>
      <c r="K8" s="4">
        <f t="shared" si="2"/>
        <v>2.2800754456117578</v>
      </c>
      <c r="L8" s="4">
        <f t="shared" si="3"/>
        <v>2.0546546965318271</v>
      </c>
      <c r="M8" s="2"/>
      <c r="N8" s="4"/>
      <c r="O8" s="20">
        <v>17.25</v>
      </c>
      <c r="P8" s="20">
        <v>66.61</v>
      </c>
      <c r="Q8" s="20">
        <v>61.73</v>
      </c>
      <c r="R8" s="10">
        <f t="shared" si="4"/>
        <v>0.10971223021582741</v>
      </c>
      <c r="T8" s="3"/>
      <c r="Z8" s="3"/>
      <c r="AA8" s="3"/>
      <c r="AB8" s="3"/>
      <c r="AC8" s="3"/>
      <c r="AD8" s="3"/>
      <c r="AE8" s="3"/>
      <c r="AF8" s="3"/>
    </row>
    <row r="9" spans="2:32" x14ac:dyDescent="0.45">
      <c r="B9" s="4"/>
      <c r="C9" s="8"/>
      <c r="D9" s="4" t="s">
        <v>17</v>
      </c>
      <c r="E9" s="4" t="s">
        <v>10</v>
      </c>
      <c r="F9" s="4">
        <v>3564.6</v>
      </c>
      <c r="G9" s="3">
        <v>939.61803067669177</v>
      </c>
      <c r="H9" s="4">
        <v>5554.8</v>
      </c>
      <c r="I9" s="4">
        <f>H9-F9</f>
        <v>1990.2000000000003</v>
      </c>
      <c r="J9" s="11">
        <f t="shared" ref="J9" si="5">R9</f>
        <v>6.3486674588355274E-2</v>
      </c>
      <c r="K9" s="4">
        <f t="shared" ref="K9" si="6">I9/G9</f>
        <v>2.1180947310756721</v>
      </c>
      <c r="L9" s="4">
        <f t="shared" ref="L9" si="7">K9/(1+J9)</f>
        <v>1.9916514063474513</v>
      </c>
      <c r="M9" s="2"/>
      <c r="N9" s="4" t="s">
        <v>96</v>
      </c>
      <c r="O9" s="20">
        <v>19.05</v>
      </c>
      <c r="P9" s="20">
        <v>81.7</v>
      </c>
      <c r="Q9" s="20">
        <v>77.959999999999994</v>
      </c>
      <c r="R9" s="10">
        <f t="shared" ref="R9" si="8">((P9-O9)-(Q9-O9))/(Q9-O9)</f>
        <v>6.3486674588355274E-2</v>
      </c>
    </row>
    <row r="10" spans="2:32" x14ac:dyDescent="0.45">
      <c r="B10" s="2"/>
      <c r="C10" s="13"/>
      <c r="D10" s="2"/>
      <c r="E10" s="2"/>
      <c r="F10" s="2"/>
      <c r="H10" s="2"/>
      <c r="I10" s="2"/>
      <c r="J10" s="14"/>
      <c r="K10" s="2"/>
      <c r="L10" s="2"/>
      <c r="M10" s="2"/>
      <c r="N10" s="2"/>
      <c r="O10" s="2"/>
      <c r="P10" s="2"/>
      <c r="Q10" s="2"/>
      <c r="R10" s="15"/>
    </row>
    <row r="11" spans="2:32" x14ac:dyDescent="0.45">
      <c r="B11" s="4"/>
      <c r="C11" s="8"/>
      <c r="D11" s="4" t="s">
        <v>60</v>
      </c>
      <c r="E11" s="4" t="s">
        <v>8</v>
      </c>
      <c r="F11" s="4">
        <v>3577</v>
      </c>
      <c r="G11" s="3">
        <v>939.61803067669177</v>
      </c>
      <c r="H11" s="4">
        <v>5665.4</v>
      </c>
      <c r="I11" s="4">
        <f t="shared" si="0"/>
        <v>2088.3999999999996</v>
      </c>
      <c r="J11" s="11">
        <f t="shared" si="1"/>
        <v>4.8944900351699717E-2</v>
      </c>
      <c r="K11" s="4">
        <f t="shared" si="2"/>
        <v>2.2226052840812143</v>
      </c>
      <c r="L11" s="4">
        <f t="shared" si="3"/>
        <v>2.1188961244160671</v>
      </c>
      <c r="M11" s="2"/>
      <c r="N11" s="4">
        <v>5</v>
      </c>
      <c r="O11" s="4">
        <v>19.399999999999999</v>
      </c>
      <c r="P11" s="4">
        <v>55.19</v>
      </c>
      <c r="Q11" s="20">
        <v>53.52</v>
      </c>
      <c r="R11" s="12">
        <f t="shared" si="4"/>
        <v>4.8944900351699717E-2</v>
      </c>
      <c r="T11" s="3"/>
      <c r="Z11" s="3"/>
      <c r="AA11" s="3"/>
      <c r="AB11" s="3"/>
      <c r="AC11" s="3"/>
      <c r="AD11" s="3"/>
      <c r="AE11" s="3"/>
      <c r="AF11" s="3"/>
    </row>
    <row r="12" spans="2:32" x14ac:dyDescent="0.45">
      <c r="B12" s="4"/>
      <c r="C12" s="8"/>
      <c r="D12" s="4" t="s">
        <v>60</v>
      </c>
      <c r="E12" s="4" t="s">
        <v>9</v>
      </c>
      <c r="F12" s="4">
        <v>3580.8</v>
      </c>
      <c r="G12" s="3">
        <v>939.61803067669177</v>
      </c>
      <c r="H12" s="4">
        <v>5733</v>
      </c>
      <c r="I12" s="4">
        <f t="shared" si="0"/>
        <v>2152.1999999999998</v>
      </c>
      <c r="J12" s="11">
        <f t="shared" si="1"/>
        <v>7.4972436604189868E-2</v>
      </c>
      <c r="K12" s="4">
        <f t="shared" si="2"/>
        <v>2.2905052156673</v>
      </c>
      <c r="L12" s="4">
        <f t="shared" si="3"/>
        <v>2.1307571596002468</v>
      </c>
      <c r="M12" s="2"/>
      <c r="N12" s="4">
        <v>6</v>
      </c>
      <c r="O12" s="4">
        <v>18.45</v>
      </c>
      <c r="P12" s="4">
        <v>47.7</v>
      </c>
      <c r="Q12" s="20">
        <v>45.66</v>
      </c>
      <c r="R12" s="12">
        <f t="shared" si="4"/>
        <v>7.4972436604189868E-2</v>
      </c>
      <c r="T12" s="3"/>
      <c r="X12" s="3"/>
      <c r="Y12" s="3"/>
      <c r="Z12" s="3"/>
      <c r="AA12" s="3"/>
      <c r="AB12" s="3"/>
      <c r="AC12" s="3"/>
      <c r="AD12" s="3"/>
      <c r="AE12" s="3"/>
      <c r="AF12" s="3"/>
    </row>
    <row r="13" spans="2:32" x14ac:dyDescent="0.45">
      <c r="B13" s="4"/>
      <c r="C13" s="8"/>
      <c r="D13" s="4" t="s">
        <v>60</v>
      </c>
      <c r="E13" s="4" t="s">
        <v>10</v>
      </c>
      <c r="F13" s="4">
        <v>3564.6</v>
      </c>
      <c r="G13" s="3">
        <v>939.61803067669177</v>
      </c>
      <c r="H13" s="4">
        <v>5793</v>
      </c>
      <c r="I13" s="4">
        <f t="shared" si="0"/>
        <v>2228.4</v>
      </c>
      <c r="J13" s="11">
        <f t="shared" si="1"/>
        <v>0.10350404312668453</v>
      </c>
      <c r="K13" s="4">
        <f t="shared" si="2"/>
        <v>2.3716019991603998</v>
      </c>
      <c r="L13" s="4">
        <f t="shared" si="3"/>
        <v>2.1491556953798447</v>
      </c>
      <c r="M13" s="2"/>
      <c r="N13" s="4">
        <v>7</v>
      </c>
      <c r="O13" s="4">
        <v>16.96</v>
      </c>
      <c r="P13" s="4">
        <v>57.9</v>
      </c>
      <c r="Q13" s="20">
        <v>54.06</v>
      </c>
      <c r="R13" s="12">
        <f t="shared" si="4"/>
        <v>0.10350404312668453</v>
      </c>
      <c r="T13" s="3"/>
      <c r="Z13" s="3"/>
      <c r="AA13" s="3"/>
      <c r="AB13" s="3"/>
      <c r="AC13" s="3"/>
      <c r="AD13" s="3"/>
      <c r="AE13" s="3"/>
      <c r="AF13" s="3"/>
    </row>
    <row r="14" spans="2:32" x14ac:dyDescent="0.45">
      <c r="B14" s="4"/>
      <c r="C14" s="8"/>
      <c r="D14" s="4" t="s">
        <v>60</v>
      </c>
      <c r="E14" s="4" t="s">
        <v>61</v>
      </c>
      <c r="F14" s="4">
        <v>3575.2</v>
      </c>
      <c r="G14" s="3">
        <v>939.61803067669177</v>
      </c>
      <c r="H14" s="4">
        <v>5776</v>
      </c>
      <c r="I14" s="4">
        <f t="shared" si="0"/>
        <v>2200.8000000000002</v>
      </c>
      <c r="J14" s="11">
        <f t="shared" si="1"/>
        <v>0.12465208747514901</v>
      </c>
      <c r="K14" s="4">
        <f t="shared" si="2"/>
        <v>2.3422283610447892</v>
      </c>
      <c r="L14" s="4">
        <f t="shared" si="3"/>
        <v>2.0826248287175693</v>
      </c>
      <c r="M14" s="2"/>
      <c r="N14" s="4">
        <v>8</v>
      </c>
      <c r="O14" s="4">
        <v>18.350000000000001</v>
      </c>
      <c r="P14" s="4">
        <v>74.92</v>
      </c>
      <c r="Q14" s="20">
        <v>68.650000000000006</v>
      </c>
      <c r="R14" s="12">
        <f t="shared" si="4"/>
        <v>0.12465208747514901</v>
      </c>
      <c r="T14" s="3"/>
      <c r="Z14" s="3"/>
      <c r="AA14" s="3"/>
      <c r="AB14" s="3"/>
      <c r="AC14" s="3"/>
      <c r="AD14" s="3"/>
      <c r="AE14" s="3"/>
      <c r="AF14" s="3"/>
    </row>
    <row r="16" spans="2:32" x14ac:dyDescent="0.45">
      <c r="B16" s="4"/>
      <c r="C16" s="8"/>
      <c r="D16" s="4" t="s">
        <v>62</v>
      </c>
      <c r="E16" s="4" t="s">
        <v>4</v>
      </c>
      <c r="F16" s="4">
        <v>3579</v>
      </c>
      <c r="G16" s="3">
        <v>939.61803067669177</v>
      </c>
      <c r="H16" s="4">
        <v>5672.6</v>
      </c>
      <c r="I16" s="4">
        <f>H16-F16</f>
        <v>2093.6000000000004</v>
      </c>
      <c r="J16" s="11">
        <f>R16</f>
        <v>5.3619965406473978E-2</v>
      </c>
      <c r="K16" s="4">
        <f t="shared" si="2"/>
        <v>2.2281394477841561</v>
      </c>
      <c r="L16" s="4">
        <f>K16/(1+J16)</f>
        <v>2.1147467976506751</v>
      </c>
      <c r="N16" s="9" t="s">
        <v>63</v>
      </c>
      <c r="O16" s="20">
        <v>17.77</v>
      </c>
      <c r="P16" s="20">
        <v>60.41</v>
      </c>
      <c r="Q16" s="20">
        <v>58.24</v>
      </c>
      <c r="R16" s="12">
        <f>((P16-O16)-(Q16-O16))/(Q16-O16)</f>
        <v>5.3619965406473978E-2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2:32" x14ac:dyDescent="0.45">
      <c r="B17" s="4"/>
      <c r="C17" s="8"/>
      <c r="D17" s="4" t="s">
        <v>62</v>
      </c>
      <c r="E17" s="4" t="s">
        <v>5</v>
      </c>
      <c r="F17" s="4">
        <v>3573.4</v>
      </c>
      <c r="G17" s="3">
        <v>939.61803067669177</v>
      </c>
      <c r="H17" s="4">
        <v>5620.8</v>
      </c>
      <c r="I17" s="4">
        <f>H17-F17</f>
        <v>2047.4</v>
      </c>
      <c r="J17" s="11">
        <f t="shared" si="1"/>
        <v>7.8940856223706946E-2</v>
      </c>
      <c r="K17" s="4">
        <f t="shared" si="2"/>
        <v>2.1789705318080248</v>
      </c>
      <c r="L17" s="4">
        <f t="shared" si="3"/>
        <v>2.0195458529899608</v>
      </c>
      <c r="N17" s="4" t="s">
        <v>64</v>
      </c>
      <c r="O17" s="20">
        <v>18.18</v>
      </c>
      <c r="P17" s="20">
        <v>61.78</v>
      </c>
      <c r="Q17" s="20">
        <v>58.59</v>
      </c>
      <c r="R17" s="12">
        <f t="shared" si="4"/>
        <v>7.8940856223706946E-2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x14ac:dyDescent="0.45">
      <c r="B18" s="4"/>
      <c r="C18" s="8"/>
      <c r="D18" s="4" t="s">
        <v>62</v>
      </c>
      <c r="E18" s="4" t="s">
        <v>6</v>
      </c>
      <c r="F18" s="4">
        <v>3575.8</v>
      </c>
      <c r="G18" s="3">
        <v>939.61803067669177</v>
      </c>
      <c r="H18" s="4">
        <v>5638.8</v>
      </c>
      <c r="I18" s="4">
        <f>H18-F18</f>
        <v>2063</v>
      </c>
      <c r="J18" s="11">
        <f t="shared" si="1"/>
        <v>9.3951849677040455E-2</v>
      </c>
      <c r="K18" s="4">
        <f t="shared" si="2"/>
        <v>2.1955730229168484</v>
      </c>
      <c r="L18" s="4">
        <f t="shared" si="3"/>
        <v>2.0070106591666095</v>
      </c>
      <c r="N18" s="9" t="s">
        <v>65</v>
      </c>
      <c r="O18" s="20">
        <v>19.309999999999999</v>
      </c>
      <c r="P18" s="20">
        <v>75.2</v>
      </c>
      <c r="Q18" s="20">
        <v>70.400000000000006</v>
      </c>
      <c r="R18" s="12">
        <f t="shared" si="4"/>
        <v>9.3951849677040455E-2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2:32" x14ac:dyDescent="0.45">
      <c r="B19" s="4"/>
      <c r="C19" s="8"/>
      <c r="D19" s="4" t="s">
        <v>62</v>
      </c>
      <c r="E19" s="4" t="s">
        <v>7</v>
      </c>
      <c r="F19" s="4">
        <v>3981.6</v>
      </c>
      <c r="G19" s="3">
        <v>939.618030676692</v>
      </c>
      <c r="H19" s="4">
        <v>6166.6</v>
      </c>
      <c r="I19" s="4">
        <f>H19-F19</f>
        <v>2185.0000000000005</v>
      </c>
      <c r="J19" s="11">
        <f t="shared" si="1"/>
        <v>9.908861741322475E-2</v>
      </c>
      <c r="K19" s="4">
        <f t="shared" si="2"/>
        <v>2.3254130174858521</v>
      </c>
      <c r="L19" s="4">
        <f t="shared" si="3"/>
        <v>2.1157648078995304</v>
      </c>
      <c r="N19" s="4" t="s">
        <v>66</v>
      </c>
      <c r="O19" s="20">
        <v>18.95</v>
      </c>
      <c r="P19" s="20">
        <v>75.63</v>
      </c>
      <c r="Q19" s="20">
        <v>70.52</v>
      </c>
      <c r="R19" s="12">
        <f t="shared" si="4"/>
        <v>9.908861741322475E-2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2:32" x14ac:dyDescent="0.45">
      <c r="B20" s="4"/>
      <c r="C20" s="8"/>
      <c r="D20" s="4" t="s">
        <v>60</v>
      </c>
      <c r="E20" s="4" t="s">
        <v>61</v>
      </c>
      <c r="F20" s="4">
        <v>3575.2</v>
      </c>
      <c r="G20" s="3">
        <v>939.61803067669177</v>
      </c>
      <c r="H20" s="4">
        <v>5800.8</v>
      </c>
      <c r="I20" s="4">
        <f t="shared" ref="I20" si="9">H20-F20</f>
        <v>2225.6000000000004</v>
      </c>
      <c r="J20" s="11">
        <f t="shared" ref="J20" si="10">R20</f>
        <v>7.5044883303410997E-2</v>
      </c>
      <c r="K20" s="4">
        <f t="shared" ref="K20" si="11">I20/G20</f>
        <v>2.3686220648588163</v>
      </c>
      <c r="L20" s="4">
        <f t="shared" ref="L20" si="12">K20/(1+J20)</f>
        <v>2.203277371620509</v>
      </c>
      <c r="M20" s="2"/>
      <c r="N20" s="4" t="s">
        <v>96</v>
      </c>
      <c r="O20" s="4">
        <v>18.54</v>
      </c>
      <c r="P20" s="4">
        <v>48.48</v>
      </c>
      <c r="Q20" s="20">
        <v>46.39</v>
      </c>
      <c r="R20" s="12">
        <f t="shared" ref="R20" si="13">((P20-O20)-(Q20-O20))/(Q20-O20)</f>
        <v>7.5044883303410997E-2</v>
      </c>
    </row>
    <row r="40" spans="17:20" x14ac:dyDescent="0.45">
      <c r="T40" s="1">
        <v>100</v>
      </c>
    </row>
    <row r="41" spans="17:20" x14ac:dyDescent="0.45">
      <c r="Q41" s="1" t="s">
        <v>79</v>
      </c>
      <c r="R41" s="16">
        <v>0.02</v>
      </c>
      <c r="T41" s="1">
        <v>120</v>
      </c>
    </row>
    <row r="42" spans="17:20" x14ac:dyDescent="0.45">
      <c r="Q42" s="1" t="s">
        <v>80</v>
      </c>
      <c r="R42" s="16">
        <v>0.09</v>
      </c>
      <c r="T42" s="1">
        <v>200</v>
      </c>
    </row>
    <row r="43" spans="17:20" x14ac:dyDescent="0.45">
      <c r="Q43" s="1" t="s">
        <v>81</v>
      </c>
      <c r="R43" s="1">
        <f>(R42-R41)*2200</f>
        <v>153.99999999999997</v>
      </c>
      <c r="T43" s="1">
        <v>280</v>
      </c>
    </row>
    <row r="44" spans="17:20" x14ac:dyDescent="0.45">
      <c r="T44" s="1">
        <v>360</v>
      </c>
    </row>
    <row r="45" spans="17:20" x14ac:dyDescent="0.45">
      <c r="R45" s="1">
        <f>T40*100/2200</f>
        <v>4.5454545454545459</v>
      </c>
    </row>
  </sheetData>
  <mergeCells count="3">
    <mergeCell ref="B2:L2"/>
    <mergeCell ref="N2:R2"/>
    <mergeCell ref="T2:A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7A4A-7D14-405B-A6FD-E261CF80E2C3}">
  <dimension ref="B2:AF44"/>
  <sheetViews>
    <sheetView topLeftCell="A3" zoomScale="87" zoomScaleNormal="200" workbookViewId="0">
      <selection activeCell="H23" sqref="H23"/>
    </sheetView>
  </sheetViews>
  <sheetFormatPr defaultColWidth="9" defaultRowHeight="14.25" x14ac:dyDescent="0.45"/>
  <cols>
    <col min="1" max="3" width="9" style="1"/>
    <col min="4" max="4" width="10.1328125" style="1" customWidth="1"/>
    <col min="5" max="5" width="9" style="1"/>
    <col min="6" max="7" width="9.1328125" style="1" bestFit="1" customWidth="1"/>
    <col min="8" max="8" width="12.33203125" style="1" customWidth="1"/>
    <col min="9" max="9" width="9" style="1" customWidth="1"/>
    <col min="10" max="10" width="9.1328125" style="1" customWidth="1"/>
    <col min="11" max="12" width="7.1328125" style="1" customWidth="1"/>
    <col min="13" max="13" width="4" style="1" customWidth="1"/>
    <col min="14" max="14" width="6" style="1" customWidth="1"/>
    <col min="15" max="15" width="8.1328125" style="1" customWidth="1"/>
    <col min="16" max="16" width="12.1328125" style="1" customWidth="1"/>
    <col min="17" max="17" width="11.1328125" style="1" customWidth="1"/>
    <col min="18" max="18" width="9.33203125" style="1" bestFit="1" customWidth="1"/>
    <col min="19" max="19" width="9" style="1"/>
    <col min="20" max="20" width="11.33203125" style="1" customWidth="1"/>
    <col min="21" max="16384" width="9" style="1"/>
  </cols>
  <sheetData>
    <row r="2" spans="2:32" x14ac:dyDescent="0.45">
      <c r="B2" s="25" t="s">
        <v>24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"/>
      <c r="N2" s="25" t="s">
        <v>25</v>
      </c>
      <c r="O2" s="25"/>
      <c r="P2" s="25"/>
      <c r="Q2" s="25"/>
      <c r="R2" s="25"/>
      <c r="T2" s="25" t="s">
        <v>49</v>
      </c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2:32" x14ac:dyDescent="0.45">
      <c r="B3" s="6" t="s">
        <v>12</v>
      </c>
      <c r="C3" s="6" t="s">
        <v>28</v>
      </c>
      <c r="D3" s="6" t="s">
        <v>16</v>
      </c>
      <c r="E3" s="6" t="s">
        <v>0</v>
      </c>
      <c r="F3" s="6" t="s">
        <v>29</v>
      </c>
      <c r="G3" s="6" t="s">
        <v>30</v>
      </c>
      <c r="H3" s="6" t="s">
        <v>32</v>
      </c>
      <c r="I3" s="6" t="s">
        <v>33</v>
      </c>
      <c r="J3" s="6" t="s">
        <v>19</v>
      </c>
      <c r="K3" s="7" t="s">
        <v>20</v>
      </c>
      <c r="L3" s="7" t="s">
        <v>21</v>
      </c>
      <c r="M3" s="2"/>
      <c r="N3" s="6" t="s">
        <v>18</v>
      </c>
      <c r="O3" s="6" t="s">
        <v>27</v>
      </c>
      <c r="P3" s="6" t="s">
        <v>34</v>
      </c>
      <c r="Q3" s="6" t="s">
        <v>35</v>
      </c>
      <c r="R3" s="6" t="s">
        <v>19</v>
      </c>
      <c r="T3" s="6" t="s">
        <v>36</v>
      </c>
      <c r="U3" s="6" t="s">
        <v>37</v>
      </c>
      <c r="V3" s="6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45</v>
      </c>
      <c r="AD3" s="6" t="s">
        <v>46</v>
      </c>
      <c r="AE3" s="6" t="s">
        <v>47</v>
      </c>
      <c r="AF3" s="6" t="s">
        <v>48</v>
      </c>
    </row>
    <row r="4" spans="2:32" x14ac:dyDescent="0.45">
      <c r="B4" s="2" t="s">
        <v>22</v>
      </c>
      <c r="C4" s="2" t="s">
        <v>22</v>
      </c>
      <c r="D4" s="2" t="s">
        <v>22</v>
      </c>
      <c r="E4" s="2" t="s">
        <v>22</v>
      </c>
      <c r="F4" s="2" t="s">
        <v>13</v>
      </c>
      <c r="G4" s="2" t="s">
        <v>31</v>
      </c>
      <c r="H4" s="2" t="s">
        <v>13</v>
      </c>
      <c r="I4" s="2" t="s">
        <v>13</v>
      </c>
      <c r="J4" s="2" t="s">
        <v>26</v>
      </c>
      <c r="K4" s="5" t="s">
        <v>23</v>
      </c>
      <c r="L4" s="5" t="s">
        <v>23</v>
      </c>
      <c r="M4" s="2"/>
      <c r="N4" s="2" t="s">
        <v>22</v>
      </c>
      <c r="O4" s="2" t="s">
        <v>13</v>
      </c>
      <c r="P4" s="2" t="s">
        <v>13</v>
      </c>
      <c r="Q4" s="2" t="s">
        <v>13</v>
      </c>
      <c r="R4" s="2" t="s">
        <v>26</v>
      </c>
      <c r="T4" s="2" t="s">
        <v>22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50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</row>
    <row r="5" spans="2:32" x14ac:dyDescent="0.45">
      <c r="B5" s="4" t="s">
        <v>67</v>
      </c>
      <c r="C5" s="8"/>
      <c r="D5" s="4" t="s">
        <v>17</v>
      </c>
      <c r="E5" s="4" t="s">
        <v>4</v>
      </c>
      <c r="F5" s="4">
        <v>3579</v>
      </c>
      <c r="G5" s="3">
        <v>939.61803067669177</v>
      </c>
      <c r="H5" s="4">
        <v>5392.4</v>
      </c>
      <c r="I5" s="4">
        <f>H5-F5</f>
        <v>1813.3999999999996</v>
      </c>
      <c r="J5" s="11">
        <f>R5</f>
        <v>0.1622203098106714</v>
      </c>
      <c r="K5" s="4">
        <f>I5/G5</f>
        <v>1.9299331651756721</v>
      </c>
      <c r="L5" s="4">
        <f>K5/(1+J5)</f>
        <v>1.6605570810323071</v>
      </c>
      <c r="M5" s="2"/>
      <c r="N5" s="4" t="s">
        <v>71</v>
      </c>
      <c r="O5" s="4">
        <v>18.260000000000002</v>
      </c>
      <c r="P5" s="4">
        <v>45.27</v>
      </c>
      <c r="Q5" s="4">
        <v>41.5</v>
      </c>
      <c r="R5" s="10">
        <f>((P5-O5)-(Q5-O5))/(Q5-O5)</f>
        <v>0.1622203098106714</v>
      </c>
      <c r="S5">
        <v>108.36070861023813</v>
      </c>
      <c r="T5" s="4"/>
      <c r="Y5" s="4"/>
      <c r="Z5" s="4"/>
      <c r="AA5" s="4"/>
      <c r="AB5" s="4"/>
      <c r="AC5" s="4"/>
      <c r="AD5" s="4"/>
      <c r="AE5" s="4"/>
      <c r="AF5" s="4"/>
    </row>
    <row r="6" spans="2:32" x14ac:dyDescent="0.45">
      <c r="B6" s="4" t="s">
        <v>68</v>
      </c>
      <c r="C6" s="8"/>
      <c r="D6" s="4" t="s">
        <v>17</v>
      </c>
      <c r="E6" s="4" t="s">
        <v>5</v>
      </c>
      <c r="F6" s="4">
        <v>3573.4</v>
      </c>
      <c r="G6" s="3">
        <v>939.61803067669177</v>
      </c>
      <c r="H6" s="4">
        <v>5446.6</v>
      </c>
      <c r="I6" s="4">
        <f t="shared" ref="I6:I19" si="0">H6-F6</f>
        <v>1873.2000000000003</v>
      </c>
      <c r="J6" s="11">
        <f t="shared" ref="J6:J19" si="1">R6</f>
        <v>0.19980314960629944</v>
      </c>
      <c r="K6" s="4">
        <f t="shared" ref="K6:K19" si="2">I6/G6</f>
        <v>1.9935760477594962</v>
      </c>
      <c r="L6" s="4">
        <f t="shared" ref="L6:L19" si="3">K6/(1+J6)</f>
        <v>1.6615859430054534</v>
      </c>
      <c r="M6" s="2"/>
      <c r="N6" s="4" t="s">
        <v>72</v>
      </c>
      <c r="O6" s="4">
        <v>17.77</v>
      </c>
      <c r="P6" s="4">
        <v>54.34</v>
      </c>
      <c r="Q6" s="4">
        <v>48.25</v>
      </c>
      <c r="R6" s="10">
        <f t="shared" ref="R6:R19" si="4">((P6-O6)-(Q6-O6))/(Q6-O6)</f>
        <v>0.19980314960629944</v>
      </c>
      <c r="S6">
        <v>0.82071492685540737</v>
      </c>
      <c r="T6" s="4"/>
      <c r="Y6" s="4"/>
      <c r="Z6" s="4"/>
      <c r="AA6" s="4"/>
      <c r="AB6" s="4"/>
      <c r="AC6" s="4"/>
      <c r="AD6" s="4"/>
      <c r="AE6" s="4"/>
      <c r="AF6" s="4"/>
    </row>
    <row r="7" spans="2:32" x14ac:dyDescent="0.45">
      <c r="B7" s="4" t="s">
        <v>69</v>
      </c>
      <c r="C7" s="8"/>
      <c r="D7" s="4" t="s">
        <v>17</v>
      </c>
      <c r="E7" s="4" t="s">
        <v>6</v>
      </c>
      <c r="F7" s="4">
        <v>3575.8</v>
      </c>
      <c r="G7" s="3">
        <v>939.61803067669177</v>
      </c>
      <c r="H7" s="4">
        <v>5369.6</v>
      </c>
      <c r="I7" s="4">
        <f t="shared" si="0"/>
        <v>1793.8000000000002</v>
      </c>
      <c r="J7" s="11">
        <f t="shared" si="1"/>
        <v>0.26691858467880425</v>
      </c>
      <c r="K7" s="4">
        <f t="shared" si="2"/>
        <v>1.909073625064587</v>
      </c>
      <c r="L7" s="4">
        <f t="shared" si="3"/>
        <v>1.5068636991765223</v>
      </c>
      <c r="M7" s="2"/>
      <c r="N7" s="4" t="s">
        <v>73</v>
      </c>
      <c r="O7" s="4">
        <v>19.059999999999999</v>
      </c>
      <c r="P7" s="4">
        <v>55.94</v>
      </c>
      <c r="Q7" s="4">
        <v>48.17</v>
      </c>
      <c r="R7" s="10">
        <f t="shared" si="4"/>
        <v>0.26691858467880425</v>
      </c>
      <c r="S7">
        <v>0.19951014058138081</v>
      </c>
      <c r="T7" s="4"/>
      <c r="Z7" s="4"/>
      <c r="AA7" s="4"/>
      <c r="AB7" s="4"/>
      <c r="AC7" s="4"/>
      <c r="AD7" s="4"/>
      <c r="AE7" s="4"/>
      <c r="AF7" s="4"/>
    </row>
    <row r="8" spans="2:32" x14ac:dyDescent="0.45">
      <c r="B8" s="4" t="s">
        <v>70</v>
      </c>
      <c r="C8" s="8"/>
      <c r="D8" s="4" t="s">
        <v>17</v>
      </c>
      <c r="E8" s="4" t="s">
        <v>7</v>
      </c>
      <c r="F8" s="4">
        <v>3981.6</v>
      </c>
      <c r="G8" s="3">
        <v>939.61803067669177</v>
      </c>
      <c r="H8" s="4">
        <v>5634.4</v>
      </c>
      <c r="I8" s="4">
        <f>H8-F8</f>
        <v>1652.7999999999997</v>
      </c>
      <c r="J8" s="11">
        <f t="shared" si="1"/>
        <v>0.11699064074874009</v>
      </c>
      <c r="K8" s="4">
        <f t="shared" si="2"/>
        <v>1.7590126477348358</v>
      </c>
      <c r="L8" s="4">
        <f t="shared" si="3"/>
        <v>1.5747783227223249</v>
      </c>
      <c r="M8" s="2"/>
      <c r="N8" s="4" t="s">
        <v>74</v>
      </c>
      <c r="O8" s="4">
        <v>18.47</v>
      </c>
      <c r="P8" s="4">
        <v>49.5</v>
      </c>
      <c r="Q8" s="4">
        <v>46.25</v>
      </c>
      <c r="R8" s="10">
        <f t="shared" si="4"/>
        <v>0.11699064074874009</v>
      </c>
      <c r="S8">
        <v>75.808844439980092</v>
      </c>
      <c r="T8" s="3"/>
      <c r="Z8" s="3"/>
      <c r="AA8" s="3"/>
      <c r="AB8" s="3"/>
      <c r="AC8" s="3"/>
      <c r="AD8" s="3"/>
      <c r="AE8" s="3"/>
      <c r="AF8" s="3"/>
    </row>
    <row r="9" spans="2:32" x14ac:dyDescent="0.45">
      <c r="B9" s="2"/>
      <c r="C9" s="13"/>
      <c r="D9" s="2"/>
      <c r="E9" s="2"/>
      <c r="F9" s="2"/>
      <c r="H9" s="2"/>
      <c r="I9" s="2"/>
      <c r="J9" s="14"/>
      <c r="K9" s="2"/>
      <c r="L9" s="2"/>
      <c r="M9" s="2"/>
      <c r="N9" s="2"/>
      <c r="O9" s="2"/>
      <c r="P9" s="2"/>
      <c r="Q9" s="2"/>
      <c r="R9" s="15"/>
    </row>
    <row r="10" spans="2:32" x14ac:dyDescent="0.45">
      <c r="B10" s="4" t="s">
        <v>75</v>
      </c>
      <c r="C10" s="8"/>
      <c r="D10" s="4" t="s">
        <v>60</v>
      </c>
      <c r="E10" s="4" t="s">
        <v>8</v>
      </c>
      <c r="F10" s="4">
        <v>3577</v>
      </c>
      <c r="G10" s="3">
        <v>939.61803067669177</v>
      </c>
      <c r="H10" s="4">
        <v>5367.4</v>
      </c>
      <c r="I10" s="4">
        <f t="shared" si="0"/>
        <v>1790.3999999999996</v>
      </c>
      <c r="J10" s="11">
        <f t="shared" si="1"/>
        <v>0.10631793478260841</v>
      </c>
      <c r="K10" s="4">
        <f t="shared" si="2"/>
        <v>1.9054551334126633</v>
      </c>
      <c r="L10" s="4">
        <f t="shared" si="3"/>
        <v>1.7223395495139338</v>
      </c>
      <c r="M10" s="2"/>
      <c r="N10" s="4">
        <v>5</v>
      </c>
      <c r="O10" s="4">
        <v>18.84</v>
      </c>
      <c r="P10" s="4">
        <v>51.41</v>
      </c>
      <c r="Q10" s="4">
        <v>48.28</v>
      </c>
      <c r="R10" s="12">
        <f t="shared" si="4"/>
        <v>0.10631793478260841</v>
      </c>
      <c r="T10" s="3"/>
      <c r="Z10" s="3"/>
      <c r="AA10" s="3"/>
      <c r="AB10" s="3"/>
      <c r="AC10" s="3"/>
      <c r="AD10" s="3"/>
      <c r="AE10" s="3"/>
      <c r="AF10" s="3"/>
    </row>
    <row r="11" spans="2:32" x14ac:dyDescent="0.45">
      <c r="B11" s="4" t="s">
        <v>76</v>
      </c>
      <c r="C11" s="8"/>
      <c r="D11" s="4" t="s">
        <v>60</v>
      </c>
      <c r="E11" s="4" t="s">
        <v>9</v>
      </c>
      <c r="F11" s="4">
        <v>3580.8</v>
      </c>
      <c r="G11" s="3">
        <v>939.61803067669177</v>
      </c>
      <c r="H11" s="4">
        <v>5506.4</v>
      </c>
      <c r="I11" s="4">
        <f t="shared" si="0"/>
        <v>1925.5999999999995</v>
      </c>
      <c r="J11" s="11">
        <f t="shared" si="1"/>
        <v>0.14524886877828025</v>
      </c>
      <c r="K11" s="4">
        <f t="shared" si="2"/>
        <v>2.0493433896891333</v>
      </c>
      <c r="L11" s="4">
        <f t="shared" si="3"/>
        <v>1.7894306168364227</v>
      </c>
      <c r="M11" s="2"/>
      <c r="N11" s="4">
        <v>6</v>
      </c>
      <c r="O11" s="4">
        <v>14.74</v>
      </c>
      <c r="P11" s="4">
        <v>40.049999999999997</v>
      </c>
      <c r="Q11" s="4">
        <v>36.840000000000003</v>
      </c>
      <c r="R11" s="12">
        <f t="shared" si="4"/>
        <v>0.14524886877828025</v>
      </c>
      <c r="T11" s="3"/>
      <c r="X11" s="3"/>
      <c r="Y11" s="3"/>
      <c r="Z11" s="3"/>
      <c r="AA11" s="3"/>
      <c r="AB11" s="3"/>
      <c r="AC11" s="3"/>
      <c r="AD11" s="3"/>
      <c r="AE11" s="3"/>
      <c r="AF11" s="3"/>
    </row>
    <row r="12" spans="2:32" x14ac:dyDescent="0.45">
      <c r="B12" s="4" t="s">
        <v>77</v>
      </c>
      <c r="C12" s="8"/>
      <c r="D12" s="4" t="s">
        <v>60</v>
      </c>
      <c r="E12" s="4" t="s">
        <v>10</v>
      </c>
      <c r="F12" s="4">
        <v>3564.6</v>
      </c>
      <c r="G12" s="3">
        <v>939.61803067669177</v>
      </c>
      <c r="H12" s="4">
        <v>5571.6</v>
      </c>
      <c r="I12" s="4">
        <f t="shared" si="0"/>
        <v>2007.0000000000005</v>
      </c>
      <c r="J12" s="11">
        <f t="shared" si="1"/>
        <v>0.16490566037735838</v>
      </c>
      <c r="K12" s="4">
        <f t="shared" si="2"/>
        <v>2.1359743368851749</v>
      </c>
      <c r="L12" s="4">
        <f t="shared" si="3"/>
        <v>1.8336028483141282</v>
      </c>
      <c r="M12" s="2"/>
      <c r="N12" s="4">
        <v>7</v>
      </c>
      <c r="O12" s="4">
        <v>19.059999999999999</v>
      </c>
      <c r="P12" s="4">
        <v>49.93</v>
      </c>
      <c r="Q12" s="4">
        <v>45.56</v>
      </c>
      <c r="R12" s="12">
        <f t="shared" si="4"/>
        <v>0.16490566037735838</v>
      </c>
      <c r="T12" s="3"/>
      <c r="Z12" s="3"/>
      <c r="AA12" s="3"/>
      <c r="AB12" s="3"/>
      <c r="AC12" s="3"/>
      <c r="AD12" s="3"/>
      <c r="AE12" s="3"/>
      <c r="AF12" s="3"/>
    </row>
    <row r="13" spans="2:32" x14ac:dyDescent="0.45">
      <c r="B13" s="4" t="s">
        <v>78</v>
      </c>
      <c r="C13" s="8"/>
      <c r="D13" s="4" t="s">
        <v>60</v>
      </c>
      <c r="E13" s="4" t="s">
        <v>61</v>
      </c>
      <c r="F13" s="4">
        <v>3575.2</v>
      </c>
      <c r="G13" s="3">
        <v>939.61803067669177</v>
      </c>
      <c r="H13" s="4">
        <v>5317</v>
      </c>
      <c r="I13" s="4">
        <f t="shared" si="0"/>
        <v>1741.8000000000002</v>
      </c>
      <c r="J13" s="11">
        <f t="shared" si="1"/>
        <v>7.9882740930743851E-2</v>
      </c>
      <c r="K13" s="4">
        <f t="shared" si="2"/>
        <v>1.8537319880351752</v>
      </c>
      <c r="L13" s="4">
        <f t="shared" si="3"/>
        <v>1.7166048847465196</v>
      </c>
      <c r="M13" s="2"/>
      <c r="N13" s="4">
        <v>8</v>
      </c>
      <c r="O13" s="4">
        <v>19.02</v>
      </c>
      <c r="P13" s="4">
        <v>48.49</v>
      </c>
      <c r="Q13" s="4">
        <v>46.31</v>
      </c>
      <c r="R13" s="12">
        <f t="shared" si="4"/>
        <v>7.9882740930743851E-2</v>
      </c>
      <c r="T13" s="3"/>
      <c r="Z13" s="3"/>
      <c r="AA13" s="3"/>
      <c r="AB13" s="3"/>
      <c r="AC13" s="3"/>
      <c r="AD13" s="3"/>
      <c r="AE13" s="3"/>
      <c r="AF13" s="3"/>
    </row>
    <row r="14" spans="2:32" x14ac:dyDescent="0.45">
      <c r="B14" s="4" t="s">
        <v>78</v>
      </c>
      <c r="C14" s="8"/>
      <c r="D14" s="4" t="s">
        <v>60</v>
      </c>
      <c r="E14" s="4" t="s">
        <v>61</v>
      </c>
      <c r="F14" s="4">
        <v>3575.2</v>
      </c>
      <c r="G14" s="3">
        <v>939.61803067669177</v>
      </c>
      <c r="H14" s="4">
        <v>5409.4</v>
      </c>
      <c r="I14" s="4">
        <f t="shared" ref="I14" si="5">H14-F14</f>
        <v>1834.1999999999998</v>
      </c>
      <c r="J14" s="11">
        <f t="shared" ref="J14" si="6">R14</f>
        <v>0.22849968612680469</v>
      </c>
      <c r="K14" s="4">
        <f t="shared" ref="K14" si="7">I14/G14</f>
        <v>1.9520698199874371</v>
      </c>
      <c r="L14" s="4">
        <f t="shared" ref="L14" si="8">K14/(1+J14)</f>
        <v>1.588986828431266</v>
      </c>
      <c r="M14" s="2"/>
      <c r="N14" s="4">
        <v>9</v>
      </c>
      <c r="O14" s="4">
        <v>19.559999999999999</v>
      </c>
      <c r="P14" s="4">
        <v>58.7</v>
      </c>
      <c r="Q14" s="4">
        <v>51.42</v>
      </c>
      <c r="R14" s="12">
        <f t="shared" ref="R14" si="9">((P14-O14)-(Q14-O14))/(Q14-O14)</f>
        <v>0.22849968612680469</v>
      </c>
    </row>
    <row r="16" spans="2:32" x14ac:dyDescent="0.45">
      <c r="B16" s="4" t="s">
        <v>90</v>
      </c>
      <c r="C16" s="8"/>
      <c r="D16" s="4" t="s">
        <v>62</v>
      </c>
      <c r="E16" s="4" t="s">
        <v>4</v>
      </c>
      <c r="F16" s="4">
        <v>3579</v>
      </c>
      <c r="G16" s="3">
        <v>939.61803067669177</v>
      </c>
      <c r="H16" s="4">
        <v>5397</v>
      </c>
      <c r="I16" s="4">
        <f t="shared" si="0"/>
        <v>1818</v>
      </c>
      <c r="J16" s="11">
        <f t="shared" si="1"/>
        <v>9.0436590436590164E-2</v>
      </c>
      <c r="K16" s="4">
        <f t="shared" si="2"/>
        <v>1.9348287715282744</v>
      </c>
      <c r="L16" s="4">
        <f t="shared" si="3"/>
        <v>1.7743615616875121</v>
      </c>
      <c r="N16" s="9" t="s">
        <v>63</v>
      </c>
      <c r="O16" s="4">
        <v>18.39</v>
      </c>
      <c r="P16" s="4">
        <v>39.369999999999997</v>
      </c>
      <c r="Q16" s="4">
        <v>37.630000000000003</v>
      </c>
      <c r="R16" s="12">
        <f>((P16-O16)-(Q16-O16))/(Q16-O16)</f>
        <v>9.0436590436590164E-2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2:32" x14ac:dyDescent="0.45">
      <c r="B17" s="4" t="s">
        <v>91</v>
      </c>
      <c r="C17" s="8"/>
      <c r="D17" s="4" t="s">
        <v>62</v>
      </c>
      <c r="E17" s="4" t="s">
        <v>5</v>
      </c>
      <c r="F17" s="4">
        <v>3573.4</v>
      </c>
      <c r="G17" s="3">
        <v>939.61803067669177</v>
      </c>
      <c r="H17" s="4">
        <v>5541.8</v>
      </c>
      <c r="I17" s="4">
        <f t="shared" si="0"/>
        <v>1968.4</v>
      </c>
      <c r="J17" s="11">
        <f t="shared" si="1"/>
        <v>0.1508515815085158</v>
      </c>
      <c r="K17" s="4">
        <f t="shared" si="2"/>
        <v>2.094893814013342</v>
      </c>
      <c r="L17" s="4">
        <f t="shared" si="3"/>
        <v>1.8202988531912971</v>
      </c>
      <c r="N17" s="4" t="s">
        <v>64</v>
      </c>
      <c r="O17" s="4">
        <v>19.03</v>
      </c>
      <c r="P17" s="4">
        <v>47.41</v>
      </c>
      <c r="Q17" s="4">
        <v>43.69</v>
      </c>
      <c r="R17" s="12">
        <f t="shared" si="4"/>
        <v>0.1508515815085158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2" x14ac:dyDescent="0.45">
      <c r="B18" s="4" t="s">
        <v>92</v>
      </c>
      <c r="C18" s="8"/>
      <c r="D18" s="4" t="s">
        <v>62</v>
      </c>
      <c r="E18" s="4" t="s">
        <v>6</v>
      </c>
      <c r="F18" s="4">
        <v>3575.8</v>
      </c>
      <c r="G18" s="3">
        <v>939.61803067669177</v>
      </c>
      <c r="H18" s="4">
        <v>5540.4</v>
      </c>
      <c r="I18" s="4">
        <f t="shared" si="0"/>
        <v>1964.5999999999995</v>
      </c>
      <c r="J18" s="11">
        <f t="shared" si="1"/>
        <v>0.18550811785929003</v>
      </c>
      <c r="K18" s="4">
        <f t="shared" si="2"/>
        <v>2.0908496174611919</v>
      </c>
      <c r="L18" s="4">
        <f t="shared" si="3"/>
        <v>1.7636738086928547</v>
      </c>
      <c r="N18" s="9" t="s">
        <v>65</v>
      </c>
      <c r="O18" s="4">
        <v>18.98</v>
      </c>
      <c r="P18" s="4">
        <v>58.41</v>
      </c>
      <c r="Q18" s="4">
        <v>52.24</v>
      </c>
      <c r="R18" s="12">
        <f t="shared" si="4"/>
        <v>0.18550811785929003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2:32" x14ac:dyDescent="0.45">
      <c r="B19" s="4" t="s">
        <v>93</v>
      </c>
      <c r="C19" s="8"/>
      <c r="D19" s="4" t="s">
        <v>62</v>
      </c>
      <c r="E19" s="4" t="s">
        <v>7</v>
      </c>
      <c r="F19" s="4">
        <v>3981.6</v>
      </c>
      <c r="G19" s="3">
        <v>939.618030676692</v>
      </c>
      <c r="H19" s="4">
        <v>5872.2</v>
      </c>
      <c r="I19" s="4">
        <f t="shared" si="0"/>
        <v>1890.6</v>
      </c>
      <c r="J19" s="11">
        <f t="shared" si="1"/>
        <v>0.22477693891557984</v>
      </c>
      <c r="K19" s="4">
        <f t="shared" si="2"/>
        <v>2.0120942109193369</v>
      </c>
      <c r="L19" s="4">
        <f t="shared" si="3"/>
        <v>1.642825029593429</v>
      </c>
      <c r="N19" s="4" t="s">
        <v>66</v>
      </c>
      <c r="O19" s="4">
        <v>19.18</v>
      </c>
      <c r="P19" s="4">
        <v>54.87</v>
      </c>
      <c r="Q19" s="4">
        <v>48.32</v>
      </c>
      <c r="R19" s="12">
        <f t="shared" si="4"/>
        <v>0.22477693891557984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39" spans="17:20" x14ac:dyDescent="0.45">
      <c r="T39" s="1">
        <v>100</v>
      </c>
    </row>
    <row r="40" spans="17:20" x14ac:dyDescent="0.45">
      <c r="Q40" s="1" t="s">
        <v>79</v>
      </c>
      <c r="R40" s="16">
        <v>0.02</v>
      </c>
      <c r="T40" s="1">
        <v>120</v>
      </c>
    </row>
    <row r="41" spans="17:20" x14ac:dyDescent="0.45">
      <c r="Q41" s="1" t="s">
        <v>80</v>
      </c>
      <c r="R41" s="16">
        <v>0.09</v>
      </c>
      <c r="T41" s="1">
        <v>200</v>
      </c>
    </row>
    <row r="42" spans="17:20" x14ac:dyDescent="0.45">
      <c r="Q42" s="1" t="s">
        <v>81</v>
      </c>
      <c r="R42" s="1">
        <f>(R41-R40)*2200</f>
        <v>153.99999999999997</v>
      </c>
      <c r="T42" s="1">
        <v>280</v>
      </c>
    </row>
    <row r="43" spans="17:20" x14ac:dyDescent="0.45">
      <c r="T43" s="1">
        <v>360</v>
      </c>
    </row>
    <row r="44" spans="17:20" x14ac:dyDescent="0.45">
      <c r="R44" s="1">
        <f>T39*100/2200</f>
        <v>4.5454545454545459</v>
      </c>
    </row>
  </sheetData>
  <mergeCells count="3">
    <mergeCell ref="B2:L2"/>
    <mergeCell ref="N2:R2"/>
    <mergeCell ref="T2:AF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3272-A650-401E-8B43-681B2EF1EDC7}">
  <dimension ref="B2:AE54"/>
  <sheetViews>
    <sheetView tabSelected="1" zoomScale="85" zoomScaleNormal="85" workbookViewId="0">
      <selection activeCell="L14" sqref="L14"/>
    </sheetView>
  </sheetViews>
  <sheetFormatPr defaultColWidth="9" defaultRowHeight="14.25" x14ac:dyDescent="0.45"/>
  <cols>
    <col min="1" max="3" width="9" style="1"/>
    <col min="4" max="4" width="10.1328125" style="1" customWidth="1"/>
    <col min="5" max="7" width="9" style="1"/>
    <col min="8" max="8" width="12.33203125" style="1" customWidth="1"/>
    <col min="9" max="9" width="9" style="1" customWidth="1"/>
    <col min="10" max="10" width="9.1328125" style="1" customWidth="1"/>
    <col min="11" max="12" width="7.1328125" style="1" customWidth="1"/>
    <col min="13" max="13" width="4" style="1" customWidth="1"/>
    <col min="14" max="14" width="6" style="1" customWidth="1"/>
    <col min="15" max="15" width="8.1328125" style="1" customWidth="1"/>
    <col min="16" max="16" width="12.1328125" style="1" customWidth="1"/>
    <col min="17" max="17" width="11.1328125" style="1" customWidth="1"/>
    <col min="18" max="16384" width="9" style="1"/>
  </cols>
  <sheetData>
    <row r="2" spans="2:31" x14ac:dyDescent="0.45">
      <c r="B2" s="25" t="s">
        <v>24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"/>
      <c r="N2" s="25" t="s">
        <v>25</v>
      </c>
      <c r="O2" s="25"/>
      <c r="P2" s="25"/>
      <c r="Q2" s="25"/>
      <c r="R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</row>
    <row r="3" spans="2:31" x14ac:dyDescent="0.45">
      <c r="B3" s="6" t="s">
        <v>12</v>
      </c>
      <c r="C3" s="6" t="s">
        <v>28</v>
      </c>
      <c r="D3" s="6" t="s">
        <v>16</v>
      </c>
      <c r="E3" s="6" t="s">
        <v>0</v>
      </c>
      <c r="F3" s="6" t="s">
        <v>29</v>
      </c>
      <c r="G3" s="6" t="s">
        <v>30</v>
      </c>
      <c r="H3" s="6" t="s">
        <v>32</v>
      </c>
      <c r="I3" s="6" t="s">
        <v>33</v>
      </c>
      <c r="J3" s="6" t="s">
        <v>19</v>
      </c>
      <c r="K3" s="7" t="s">
        <v>20</v>
      </c>
      <c r="L3" s="7" t="s">
        <v>21</v>
      </c>
      <c r="M3" s="2"/>
      <c r="N3" s="6" t="s">
        <v>18</v>
      </c>
      <c r="O3" s="6" t="s">
        <v>27</v>
      </c>
      <c r="P3" s="6" t="s">
        <v>34</v>
      </c>
      <c r="Q3" s="6" t="s">
        <v>35</v>
      </c>
      <c r="R3" s="6" t="s">
        <v>19</v>
      </c>
      <c r="T3" s="6" t="s">
        <v>37</v>
      </c>
      <c r="U3" s="6" t="s">
        <v>38</v>
      </c>
      <c r="V3" s="6" t="s">
        <v>39</v>
      </c>
      <c r="W3" s="6" t="s">
        <v>40</v>
      </c>
      <c r="X3" s="6" t="s">
        <v>41</v>
      </c>
      <c r="Y3" s="6" t="s">
        <v>42</v>
      </c>
      <c r="Z3" s="6" t="s">
        <v>43</v>
      </c>
      <c r="AA3" s="6" t="s">
        <v>44</v>
      </c>
      <c r="AB3" s="6" t="s">
        <v>45</v>
      </c>
      <c r="AC3" s="6" t="s">
        <v>46</v>
      </c>
      <c r="AD3" s="6" t="s">
        <v>47</v>
      </c>
      <c r="AE3" s="6" t="s">
        <v>48</v>
      </c>
    </row>
    <row r="4" spans="2:31" x14ac:dyDescent="0.45">
      <c r="B4" s="2" t="s">
        <v>22</v>
      </c>
      <c r="C4" s="2" t="s">
        <v>22</v>
      </c>
      <c r="D4" s="2" t="s">
        <v>22</v>
      </c>
      <c r="E4" s="2" t="s">
        <v>22</v>
      </c>
      <c r="F4" s="2" t="s">
        <v>13</v>
      </c>
      <c r="G4" s="2" t="s">
        <v>31</v>
      </c>
      <c r="H4" s="2" t="s">
        <v>13</v>
      </c>
      <c r="I4" s="2" t="s">
        <v>13</v>
      </c>
      <c r="J4" s="2" t="s">
        <v>26</v>
      </c>
      <c r="K4" s="5" t="s">
        <v>23</v>
      </c>
      <c r="L4" s="5" t="s">
        <v>23</v>
      </c>
      <c r="M4" s="2"/>
      <c r="N4" s="2" t="s">
        <v>22</v>
      </c>
      <c r="O4" s="2" t="s">
        <v>13</v>
      </c>
      <c r="P4" s="2" t="s">
        <v>13</v>
      </c>
      <c r="Q4" s="2" t="s">
        <v>13</v>
      </c>
      <c r="R4" s="2" t="s">
        <v>26</v>
      </c>
      <c r="T4" s="2" t="s">
        <v>50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51</v>
      </c>
      <c r="AA4" s="2" t="s">
        <v>51</v>
      </c>
      <c r="AB4" s="2" t="s">
        <v>51</v>
      </c>
      <c r="AC4" s="2" t="s">
        <v>51</v>
      </c>
      <c r="AD4" s="2" t="s">
        <v>51</v>
      </c>
      <c r="AE4" s="2" t="s">
        <v>51</v>
      </c>
    </row>
    <row r="5" spans="2:31" x14ac:dyDescent="0.45">
      <c r="B5" s="4" t="s">
        <v>52</v>
      </c>
      <c r="C5" s="8">
        <v>45384</v>
      </c>
      <c r="D5" s="4" t="s">
        <v>17</v>
      </c>
      <c r="E5" s="4" t="s">
        <v>4</v>
      </c>
      <c r="F5" s="4">
        <v>3579</v>
      </c>
      <c r="G5" s="3">
        <v>939.61803067669177</v>
      </c>
      <c r="H5" s="4">
        <v>5013.2</v>
      </c>
      <c r="I5" s="4">
        <f>H5-F5</f>
        <v>1434.1999999999998</v>
      </c>
      <c r="J5" s="11">
        <f>R5</f>
        <v>0.11302982731554165</v>
      </c>
      <c r="K5" s="4">
        <f>I5/G5</f>
        <v>1.5263649197611941</v>
      </c>
      <c r="L5" s="4">
        <f>K5/(1+J5)</f>
        <v>1.371360301675431</v>
      </c>
      <c r="M5" s="2"/>
      <c r="N5" s="4">
        <v>1</v>
      </c>
      <c r="O5" s="4">
        <v>18.79</v>
      </c>
      <c r="P5" s="4">
        <v>54.24</v>
      </c>
      <c r="Q5" s="4">
        <v>50.64</v>
      </c>
      <c r="R5" s="10">
        <f>((P5-O5)-(Q5-O5))/(Q5-O5)</f>
        <v>0.11302982731554165</v>
      </c>
      <c r="T5" s="24">
        <v>1.9531631477178735E-3</v>
      </c>
      <c r="U5" s="24">
        <v>1.7578468329517705E-3</v>
      </c>
      <c r="V5" s="24">
        <v>1.7773784644248281E-3</v>
      </c>
      <c r="W5" s="24">
        <v>1.7383152014787129E-3</v>
      </c>
      <c r="X5" s="24">
        <v>1.718783569984339E-3</v>
      </c>
      <c r="Y5" s="26">
        <f>T5</f>
        <v>1.9531631477178735E-3</v>
      </c>
      <c r="Z5" s="24">
        <v>21.145288662774892</v>
      </c>
      <c r="AA5" s="24">
        <v>42.927050674464454</v>
      </c>
      <c r="AB5" s="24">
        <v>39.992569462463315</v>
      </c>
      <c r="AC5" s="24">
        <v>46.076851384545712</v>
      </c>
      <c r="AD5" s="24">
        <v>49.4577708069869</v>
      </c>
      <c r="AE5" s="26">
        <f>Z5</f>
        <v>21.145288662774892</v>
      </c>
    </row>
    <row r="6" spans="2:31" x14ac:dyDescent="0.45">
      <c r="B6" s="4" t="s">
        <v>53</v>
      </c>
      <c r="C6" s="8">
        <v>45384</v>
      </c>
      <c r="D6" s="4" t="s">
        <v>17</v>
      </c>
      <c r="E6" s="4" t="s">
        <v>5</v>
      </c>
      <c r="F6" s="4">
        <v>3573.4</v>
      </c>
      <c r="G6" s="3">
        <v>939.61803067669177</v>
      </c>
      <c r="H6" s="4">
        <v>5134.2</v>
      </c>
      <c r="I6" s="4">
        <f t="shared" ref="I6:I19" si="0">H6-F6</f>
        <v>1560.7999999999997</v>
      </c>
      <c r="J6" s="11">
        <f t="shared" ref="J6:J19" si="1">R6</f>
        <v>0.14261363636363625</v>
      </c>
      <c r="K6" s="4">
        <f t="shared" ref="K6:K19" si="2">I6/G6</f>
        <v>1.6611005206827998</v>
      </c>
      <c r="L6" s="4">
        <f t="shared" ref="L6:L19" si="3">K6/(1+J6)</f>
        <v>1.4537727083051852</v>
      </c>
      <c r="M6" s="2"/>
      <c r="N6" s="4">
        <v>2</v>
      </c>
      <c r="O6" s="4">
        <v>18.329999999999998</v>
      </c>
      <c r="P6" s="4">
        <v>38.44</v>
      </c>
      <c r="Q6" s="4">
        <v>35.93</v>
      </c>
      <c r="R6" s="10">
        <f t="shared" ref="R6:R19" si="4">((P6-O6)-(Q6-O6))/(Q6-O6)</f>
        <v>0.14261363636363625</v>
      </c>
      <c r="T6" s="24">
        <v>1.796910095899662E-3</v>
      </c>
      <c r="U6" s="24">
        <v>1.7773784644248281E-3</v>
      </c>
      <c r="V6" s="24">
        <v>1.6015937811246772E-3</v>
      </c>
      <c r="W6" s="24">
        <v>1.6211254125977348E-3</v>
      </c>
      <c r="X6" s="24">
        <v>1.5625305181714566E-3</v>
      </c>
      <c r="Y6" s="26">
        <f>U6</f>
        <v>1.7773784644248281E-3</v>
      </c>
      <c r="Z6" s="24">
        <v>37.258688567464844</v>
      </c>
      <c r="AA6" s="24">
        <v>39.992569462463315</v>
      </c>
      <c r="AB6" s="24">
        <v>75.638863945462035</v>
      </c>
      <c r="AC6" s="24">
        <v>70.468212301390324</v>
      </c>
      <c r="AD6" s="24">
        <v>87.146205903871547</v>
      </c>
      <c r="AE6" s="26">
        <f>AA6</f>
        <v>39.992569462463315</v>
      </c>
    </row>
    <row r="7" spans="2:31" x14ac:dyDescent="0.45">
      <c r="B7" s="4" t="s">
        <v>54</v>
      </c>
      <c r="C7" s="8">
        <v>45384</v>
      </c>
      <c r="D7" s="4" t="s">
        <v>17</v>
      </c>
      <c r="E7" s="4" t="s">
        <v>6</v>
      </c>
      <c r="F7" s="4">
        <f>3575.8-50</f>
        <v>3525.8</v>
      </c>
      <c r="G7" s="3">
        <v>939.61803067669177</v>
      </c>
      <c r="H7" s="4">
        <v>5224</v>
      </c>
      <c r="I7" s="4">
        <f t="shared" si="0"/>
        <v>1698.1999999999998</v>
      </c>
      <c r="J7" s="11">
        <f t="shared" si="1"/>
        <v>0.19204244031830223</v>
      </c>
      <c r="K7" s="4">
        <f t="shared" si="2"/>
        <v>1.8073301539105144</v>
      </c>
      <c r="L7" s="4">
        <f t="shared" si="3"/>
        <v>1.5161625901741522</v>
      </c>
      <c r="M7" s="2"/>
      <c r="N7" s="4">
        <v>3</v>
      </c>
      <c r="O7" s="4">
        <v>18.71</v>
      </c>
      <c r="P7" s="4">
        <v>41.18</v>
      </c>
      <c r="Q7" s="4">
        <v>37.56</v>
      </c>
      <c r="R7" s="10">
        <f t="shared" si="4"/>
        <v>0.19204244031830223</v>
      </c>
      <c r="T7" s="24">
        <v>1.8555049903321574E-3</v>
      </c>
      <c r="U7" s="24">
        <v>1.7969100958978856E-3</v>
      </c>
      <c r="V7" s="24">
        <v>1.6992519385183869E-3</v>
      </c>
      <c r="W7" s="24">
        <v>1.8359733588511062E-3</v>
      </c>
      <c r="X7" s="24">
        <v>1.6601886755722717E-3</v>
      </c>
      <c r="Y7" s="26">
        <f>X7</f>
        <v>1.6601886755722717E-3</v>
      </c>
      <c r="Z7" s="24">
        <v>30.128140964398337</v>
      </c>
      <c r="AA7" s="24">
        <v>37.258688567704787</v>
      </c>
      <c r="AB7" s="24">
        <v>53.08676742102292</v>
      </c>
      <c r="AC7" s="24">
        <v>32.33881321772796</v>
      </c>
      <c r="AD7" s="24">
        <v>61.163139198652331</v>
      </c>
      <c r="AE7" s="26">
        <f>AD7</f>
        <v>61.163139198652331</v>
      </c>
    </row>
    <row r="8" spans="2:31" x14ac:dyDescent="0.45">
      <c r="B8" s="4" t="s">
        <v>55</v>
      </c>
      <c r="C8" s="8">
        <v>45384</v>
      </c>
      <c r="D8" s="4" t="s">
        <v>17</v>
      </c>
      <c r="E8" s="4" t="s">
        <v>7</v>
      </c>
      <c r="F8" s="4">
        <v>3981.6</v>
      </c>
      <c r="G8" s="3">
        <v>939.61803067669177</v>
      </c>
      <c r="H8" s="4">
        <v>5768.8</v>
      </c>
      <c r="I8" s="4">
        <f>H8-F8</f>
        <v>1787.2000000000003</v>
      </c>
      <c r="J8" s="11">
        <f t="shared" si="1"/>
        <v>0.24606215410813118</v>
      </c>
      <c r="K8" s="4">
        <f t="shared" si="2"/>
        <v>1.9020494942108539</v>
      </c>
      <c r="L8" s="4">
        <f t="shared" si="3"/>
        <v>1.5264483299970262</v>
      </c>
      <c r="M8" s="2"/>
      <c r="N8" s="4">
        <v>4</v>
      </c>
      <c r="O8" s="4">
        <v>18.87</v>
      </c>
      <c r="P8" s="4">
        <v>48.14</v>
      </c>
      <c r="Q8" s="4">
        <v>42.36</v>
      </c>
      <c r="R8" s="10">
        <f t="shared" si="4"/>
        <v>0.24606215410813118</v>
      </c>
      <c r="T8" s="24">
        <v>2.7344284068036018E-3</v>
      </c>
      <c r="U8" s="24">
        <v>2.5391120920339461E-3</v>
      </c>
      <c r="V8" s="24">
        <v>2.7148967753305442E-3</v>
      </c>
      <c r="W8" s="24">
        <v>2.6367702494169976E-3</v>
      </c>
      <c r="X8" s="24">
        <v>2.6563018808900551E-3</v>
      </c>
      <c r="Y8" s="26">
        <f t="shared" ref="Y6:Y9" si="5">AVERAGE(T8:X8)</f>
        <v>2.656301880895029E-3</v>
      </c>
      <c r="Z8" s="24">
        <v>1.244927002563309</v>
      </c>
      <c r="AA8" s="24">
        <v>2.5273263173660405</v>
      </c>
      <c r="AB8" s="24">
        <v>1.3362743440429286</v>
      </c>
      <c r="AC8" s="24">
        <v>1.7737916385016614</v>
      </c>
      <c r="AD8" s="24">
        <v>1.6525357367938758</v>
      </c>
      <c r="AE8" s="26">
        <f t="shared" ref="AE6:AE9" si="6">AVERAGE(Z8:AD8)</f>
        <v>1.7069710078535631</v>
      </c>
    </row>
    <row r="9" spans="2:31" x14ac:dyDescent="0.45">
      <c r="B9" s="4" t="s">
        <v>94</v>
      </c>
      <c r="C9" s="8">
        <v>45385</v>
      </c>
      <c r="D9" s="4" t="s">
        <v>17</v>
      </c>
      <c r="E9" s="4" t="s">
        <v>8</v>
      </c>
      <c r="F9" s="4">
        <v>3577</v>
      </c>
      <c r="G9" s="3">
        <v>939.61803067669177</v>
      </c>
      <c r="H9" s="4">
        <v>5247</v>
      </c>
      <c r="I9" s="4">
        <f>H9-F9</f>
        <v>1670</v>
      </c>
      <c r="J9" s="11">
        <f t="shared" ref="J9" si="7">R9</f>
        <v>0.29512735326688799</v>
      </c>
      <c r="K9" s="4">
        <f t="shared" ref="K9" si="8">I9/G9</f>
        <v>1.7773179584445644</v>
      </c>
      <c r="L9" s="4">
        <f t="shared" ref="L9" si="9">K9/(1+J9)</f>
        <v>1.3723113437156407</v>
      </c>
      <c r="M9" s="2"/>
      <c r="N9" s="4">
        <v>5</v>
      </c>
      <c r="O9" s="4">
        <v>17.87</v>
      </c>
      <c r="P9" s="4">
        <v>64.650000000000006</v>
      </c>
      <c r="Q9" s="4">
        <v>53.99</v>
      </c>
      <c r="R9" s="10">
        <f t="shared" ref="R9" si="10">((P9-O9)-(Q9-O9))/(Q9-O9)</f>
        <v>0.29512735326688799</v>
      </c>
      <c r="T9" s="24">
        <v>3.3008457196430641E-3</v>
      </c>
      <c r="U9" s="24">
        <v>2.8711498271434266E-3</v>
      </c>
      <c r="V9" s="24">
        <v>3.1250610363500186E-3</v>
      </c>
      <c r="W9" s="24">
        <v>3.1055294048769611E-3</v>
      </c>
      <c r="X9" s="24">
        <v>3.066466141916635E-3</v>
      </c>
      <c r="Y9" s="26">
        <f t="shared" si="5"/>
        <v>3.093810425986021E-3</v>
      </c>
      <c r="Z9" s="24">
        <v>0.15971412690665307</v>
      </c>
      <c r="AA9" s="24">
        <v>0.75837094176920583</v>
      </c>
      <c r="AB9" s="24">
        <v>0.30207099161978357</v>
      </c>
      <c r="AC9" s="24">
        <v>0.3242356502429517</v>
      </c>
      <c r="AD9" s="24">
        <v>0.37356334117536427</v>
      </c>
      <c r="AE9" s="26">
        <f t="shared" si="6"/>
        <v>0.38359101034279169</v>
      </c>
    </row>
    <row r="10" spans="2:31" x14ac:dyDescent="0.45">
      <c r="B10" s="2"/>
      <c r="C10" s="13"/>
      <c r="D10" s="2"/>
      <c r="E10" s="2"/>
      <c r="F10" s="2"/>
      <c r="H10" s="2"/>
      <c r="I10" s="2"/>
      <c r="J10" s="14"/>
      <c r="K10" s="2"/>
      <c r="L10" s="2"/>
      <c r="M10" s="2"/>
      <c r="N10" s="2"/>
      <c r="O10" s="2"/>
      <c r="P10" s="2"/>
      <c r="Q10" s="4"/>
      <c r="R10" s="15"/>
    </row>
    <row r="11" spans="2:31" x14ac:dyDescent="0.45">
      <c r="B11" s="4" t="s">
        <v>56</v>
      </c>
      <c r="C11" s="8">
        <v>45384</v>
      </c>
      <c r="D11" s="4" t="s">
        <v>60</v>
      </c>
      <c r="E11" s="4" t="s">
        <v>8</v>
      </c>
      <c r="F11" s="4">
        <v>3577</v>
      </c>
      <c r="G11" s="3">
        <v>939.61803067669177</v>
      </c>
      <c r="H11" s="4">
        <v>5207.3999999999996</v>
      </c>
      <c r="I11" s="4">
        <f t="shared" si="0"/>
        <v>1630.3999999999996</v>
      </c>
      <c r="J11" s="11">
        <f t="shared" si="1"/>
        <v>0.11079723791588189</v>
      </c>
      <c r="K11" s="4">
        <f t="shared" si="2"/>
        <v>1.735173173322166</v>
      </c>
      <c r="L11" s="4">
        <f t="shared" si="3"/>
        <v>1.5620971263646288</v>
      </c>
      <c r="M11" s="2"/>
      <c r="N11" s="4">
        <v>5</v>
      </c>
      <c r="O11" s="4">
        <v>18.989999999999998</v>
      </c>
      <c r="P11" s="4">
        <v>54.38</v>
      </c>
      <c r="Q11" s="4">
        <v>50.85</v>
      </c>
      <c r="R11" s="12">
        <f t="shared" si="4"/>
        <v>0.11079723791588189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2:31" x14ac:dyDescent="0.45">
      <c r="B12" s="4" t="s">
        <v>57</v>
      </c>
      <c r="C12" s="8">
        <v>45384</v>
      </c>
      <c r="D12" s="4" t="s">
        <v>60</v>
      </c>
      <c r="E12" s="4" t="s">
        <v>9</v>
      </c>
      <c r="F12" s="4">
        <v>3580.8</v>
      </c>
      <c r="G12" s="3">
        <v>939.61803067669177</v>
      </c>
      <c r="H12" s="4">
        <v>5382.6</v>
      </c>
      <c r="I12" s="4">
        <f t="shared" si="0"/>
        <v>1801.8000000000002</v>
      </c>
      <c r="J12" s="11">
        <f t="shared" si="1"/>
        <v>0.16014588859416429</v>
      </c>
      <c r="K12" s="4">
        <f t="shared" si="2"/>
        <v>1.9175877230691118</v>
      </c>
      <c r="L12" s="4">
        <f t="shared" si="3"/>
        <v>1.6528849879326786</v>
      </c>
      <c r="M12" s="2"/>
      <c r="N12" s="4">
        <v>6</v>
      </c>
      <c r="O12" s="4">
        <v>19.2</v>
      </c>
      <c r="P12" s="4">
        <v>54.19</v>
      </c>
      <c r="Q12" s="4">
        <v>49.36</v>
      </c>
      <c r="R12" s="12">
        <f t="shared" si="4"/>
        <v>0.16014588859416429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2:31" x14ac:dyDescent="0.45">
      <c r="B13" s="4" t="s">
        <v>58</v>
      </c>
      <c r="C13" s="8">
        <v>45384</v>
      </c>
      <c r="D13" s="4" t="s">
        <v>60</v>
      </c>
      <c r="E13" s="4" t="s">
        <v>10</v>
      </c>
      <c r="F13" s="4">
        <v>3564.6</v>
      </c>
      <c r="G13" s="3">
        <v>939.61803067669177</v>
      </c>
      <c r="H13" s="4">
        <v>5453.6</v>
      </c>
      <c r="I13" s="4">
        <f t="shared" si="0"/>
        <v>1889.0000000000005</v>
      </c>
      <c r="J13" s="11">
        <f t="shared" si="1"/>
        <v>0.18882395909422914</v>
      </c>
      <c r="K13" s="4">
        <f t="shared" si="2"/>
        <v>2.010391391318433</v>
      </c>
      <c r="L13" s="4">
        <f t="shared" si="3"/>
        <v>1.6910757694100986</v>
      </c>
      <c r="M13" s="2"/>
      <c r="N13" s="4">
        <v>7</v>
      </c>
      <c r="O13" s="4">
        <v>18.39</v>
      </c>
      <c r="P13" s="4">
        <v>50.94</v>
      </c>
      <c r="Q13" s="4">
        <v>45.77</v>
      </c>
      <c r="R13" s="12">
        <f t="shared" si="4"/>
        <v>0.18882395909422914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2:31" x14ac:dyDescent="0.45">
      <c r="B14" s="4" t="s">
        <v>59</v>
      </c>
      <c r="C14" s="8">
        <v>45384</v>
      </c>
      <c r="D14" s="4" t="s">
        <v>60</v>
      </c>
      <c r="E14" s="4" t="s">
        <v>61</v>
      </c>
      <c r="F14" s="4">
        <v>3575.2</v>
      </c>
      <c r="G14" s="3">
        <v>939.61803067669177</v>
      </c>
      <c r="H14" s="4">
        <v>5344.2</v>
      </c>
      <c r="I14" s="4">
        <f t="shared" si="0"/>
        <v>1769</v>
      </c>
      <c r="J14" s="11">
        <f t="shared" si="1"/>
        <v>0.24161849710982658</v>
      </c>
      <c r="K14" s="4">
        <f t="shared" si="2"/>
        <v>1.8826799212505596</v>
      </c>
      <c r="L14" s="4">
        <f t="shared" si="3"/>
        <v>1.516311109759529</v>
      </c>
      <c r="M14" s="2"/>
      <c r="N14" s="4">
        <v>8</v>
      </c>
      <c r="O14" s="4">
        <v>14.66</v>
      </c>
      <c r="P14" s="4">
        <v>46.88</v>
      </c>
      <c r="Q14" s="4">
        <v>40.61</v>
      </c>
      <c r="R14" s="12">
        <f t="shared" si="4"/>
        <v>0.24161849710982658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6" spans="2:31" x14ac:dyDescent="0.45">
      <c r="B16" s="4" t="s">
        <v>52</v>
      </c>
      <c r="C16" s="8">
        <v>45384</v>
      </c>
      <c r="D16" s="4" t="s">
        <v>62</v>
      </c>
      <c r="E16" s="4" t="s">
        <v>4</v>
      </c>
      <c r="F16" s="4">
        <v>3579</v>
      </c>
      <c r="G16" s="3">
        <v>939.61803067669177</v>
      </c>
      <c r="H16" s="4">
        <v>5415</v>
      </c>
      <c r="I16" s="4">
        <f t="shared" si="0"/>
        <v>1836</v>
      </c>
      <c r="J16" s="11">
        <f t="shared" si="1"/>
        <v>0.13227722772277212</v>
      </c>
      <c r="K16" s="4">
        <f t="shared" si="2"/>
        <v>1.9539854920384554</v>
      </c>
      <c r="L16" s="4">
        <f t="shared" si="3"/>
        <v>1.7257129651616301</v>
      </c>
      <c r="N16" s="9" t="s">
        <v>63</v>
      </c>
      <c r="O16" s="4">
        <v>18.88</v>
      </c>
      <c r="P16" s="4">
        <v>47.47</v>
      </c>
      <c r="Q16" s="4">
        <v>44.13</v>
      </c>
      <c r="R16" s="12">
        <f>((P16-O16)-(Q16-O16))/(Q16-O16)</f>
        <v>0.13227722772277212</v>
      </c>
      <c r="T16" s="24"/>
      <c r="U16" s="24"/>
      <c r="V16" s="24"/>
      <c r="W16" s="24"/>
      <c r="X16" s="24"/>
      <c r="Y16" s="4"/>
      <c r="Z16" s="24"/>
      <c r="AA16" s="24"/>
      <c r="AB16" s="24"/>
      <c r="AC16" s="24"/>
      <c r="AD16" s="24"/>
      <c r="AE16" s="4"/>
    </row>
    <row r="17" spans="2:31" x14ac:dyDescent="0.45">
      <c r="B17" s="4" t="s">
        <v>53</v>
      </c>
      <c r="C17" s="8">
        <v>45384</v>
      </c>
      <c r="D17" s="4" t="s">
        <v>62</v>
      </c>
      <c r="E17" s="4" t="s">
        <v>5</v>
      </c>
      <c r="F17" s="4">
        <v>3573.4</v>
      </c>
      <c r="G17" s="3">
        <v>939.61803067669177</v>
      </c>
      <c r="H17" s="4">
        <v>5490.4</v>
      </c>
      <c r="I17" s="4">
        <f t="shared" si="0"/>
        <v>1916.9999999999995</v>
      </c>
      <c r="J17" s="11">
        <f t="shared" si="1"/>
        <v>0.15978994748687164</v>
      </c>
      <c r="K17" s="4">
        <f t="shared" si="2"/>
        <v>2.0401907343342689</v>
      </c>
      <c r="L17" s="4">
        <f t="shared" si="3"/>
        <v>1.7591036538600133</v>
      </c>
      <c r="N17" s="4" t="s">
        <v>64</v>
      </c>
      <c r="O17" s="4">
        <v>18.559999999999999</v>
      </c>
      <c r="P17" s="4">
        <v>49.48</v>
      </c>
      <c r="Q17" s="4">
        <v>45.22</v>
      </c>
      <c r="R17" s="12">
        <f t="shared" si="4"/>
        <v>0.15978994748687164</v>
      </c>
      <c r="T17"/>
      <c r="U17"/>
      <c r="V17"/>
      <c r="W17"/>
      <c r="X17"/>
      <c r="Y17" s="3"/>
      <c r="Z17"/>
      <c r="AA17"/>
      <c r="AB17"/>
      <c r="AC17"/>
      <c r="AD17"/>
      <c r="AE17" s="3"/>
    </row>
    <row r="18" spans="2:31" x14ac:dyDescent="0.45">
      <c r="B18" s="4" t="s">
        <v>54</v>
      </c>
      <c r="C18" s="8">
        <v>45384</v>
      </c>
      <c r="D18" s="4" t="s">
        <v>62</v>
      </c>
      <c r="E18" s="4" t="s">
        <v>6</v>
      </c>
      <c r="F18" s="4">
        <v>3575.8</v>
      </c>
      <c r="G18" s="3">
        <v>939.61803067669177</v>
      </c>
      <c r="H18" s="4">
        <v>5483.8</v>
      </c>
      <c r="I18" s="4">
        <f t="shared" si="0"/>
        <v>1908</v>
      </c>
      <c r="J18" s="11">
        <f t="shared" si="1"/>
        <v>0.18811394891944982</v>
      </c>
      <c r="K18" s="4">
        <f t="shared" si="2"/>
        <v>2.0306123740791793</v>
      </c>
      <c r="L18" s="4">
        <f t="shared" si="3"/>
        <v>1.7091057435408057</v>
      </c>
      <c r="N18" s="9" t="s">
        <v>65</v>
      </c>
      <c r="O18" s="4">
        <v>18.43</v>
      </c>
      <c r="P18" s="4">
        <v>42.62</v>
      </c>
      <c r="Q18" s="4">
        <v>38.79</v>
      </c>
      <c r="R18" s="12">
        <f t="shared" si="4"/>
        <v>0.18811394891944982</v>
      </c>
      <c r="T18"/>
      <c r="U18"/>
      <c r="V18"/>
      <c r="W18"/>
      <c r="X18"/>
      <c r="Y18" s="3"/>
      <c r="Z18"/>
      <c r="AA18"/>
      <c r="AB18"/>
      <c r="AC18"/>
      <c r="AD18"/>
      <c r="AE18" s="3"/>
    </row>
    <row r="19" spans="2:31" x14ac:dyDescent="0.45">
      <c r="B19" s="4" t="s">
        <v>55</v>
      </c>
      <c r="C19" s="8">
        <v>45384</v>
      </c>
      <c r="D19" s="4" t="s">
        <v>62</v>
      </c>
      <c r="E19" s="4" t="s">
        <v>7</v>
      </c>
      <c r="F19" s="4">
        <v>3981.6</v>
      </c>
      <c r="G19" s="3">
        <v>939.618030676692</v>
      </c>
      <c r="H19" s="4">
        <v>5770.8</v>
      </c>
      <c r="I19" s="4">
        <f t="shared" si="0"/>
        <v>1789.2000000000003</v>
      </c>
      <c r="J19" s="11">
        <f t="shared" si="1"/>
        <v>0.22389937106918242</v>
      </c>
      <c r="K19" s="4">
        <f t="shared" si="2"/>
        <v>1.9041780187119848</v>
      </c>
      <c r="L19" s="4">
        <f t="shared" si="3"/>
        <v>1.5558289053196588</v>
      </c>
      <c r="N19" s="4" t="s">
        <v>66</v>
      </c>
      <c r="O19" s="4">
        <v>19.02</v>
      </c>
      <c r="P19" s="4">
        <v>57.94</v>
      </c>
      <c r="Q19" s="4">
        <v>50.82</v>
      </c>
      <c r="R19" s="12">
        <f t="shared" si="4"/>
        <v>0.22389937106918242</v>
      </c>
      <c r="T19"/>
      <c r="U19"/>
      <c r="V19"/>
      <c r="W19"/>
      <c r="X19"/>
      <c r="Y19" s="3"/>
      <c r="Z19"/>
      <c r="AA19"/>
      <c r="AB19"/>
      <c r="AC19"/>
      <c r="AD19"/>
      <c r="AE19" s="3"/>
    </row>
    <row r="40" spans="18:22" x14ac:dyDescent="0.45">
      <c r="R40" s="1" t="s">
        <v>82</v>
      </c>
    </row>
    <row r="41" spans="18:22" x14ac:dyDescent="0.45">
      <c r="R41" s="1">
        <v>18.38</v>
      </c>
      <c r="S41" s="1">
        <v>42.77</v>
      </c>
      <c r="T41" s="17" t="e">
        <f>(S41-#REF!)/(#REF!-R41)</f>
        <v>#REF!</v>
      </c>
      <c r="V41" s="16"/>
    </row>
    <row r="42" spans="18:22" x14ac:dyDescent="0.45">
      <c r="R42" s="1" t="s">
        <v>83</v>
      </c>
      <c r="S42" s="1" t="s">
        <v>84</v>
      </c>
      <c r="T42" s="1" t="s">
        <v>85</v>
      </c>
    </row>
    <row r="45" spans="18:22" x14ac:dyDescent="0.45">
      <c r="R45" s="1" t="s">
        <v>86</v>
      </c>
      <c r="S45" s="1" t="s">
        <v>87</v>
      </c>
    </row>
    <row r="46" spans="18:22" x14ac:dyDescent="0.45">
      <c r="R46" s="1">
        <v>310</v>
      </c>
      <c r="S46" s="17">
        <f>R46/2200</f>
        <v>0.1409090909090909</v>
      </c>
      <c r="T46" s="18" t="e">
        <f>S46+T41</f>
        <v>#REF!</v>
      </c>
    </row>
    <row r="48" spans="18:22" x14ac:dyDescent="0.45">
      <c r="R48" s="1" t="s">
        <v>88</v>
      </c>
      <c r="S48" s="1">
        <v>2204</v>
      </c>
    </row>
    <row r="49" spans="18:20" x14ac:dyDescent="0.45">
      <c r="R49" s="1">
        <v>20</v>
      </c>
      <c r="S49" s="1" t="e">
        <f>S48*T41</f>
        <v>#REF!</v>
      </c>
      <c r="T49" s="17" t="e">
        <f>#REF!/(S48-#REF!)</f>
        <v>#REF!</v>
      </c>
    </row>
    <row r="52" spans="18:20" x14ac:dyDescent="0.45">
      <c r="R52" s="1" t="s">
        <v>89</v>
      </c>
    </row>
    <row r="53" spans="18:20" x14ac:dyDescent="0.45">
      <c r="R53" s="1">
        <v>18.09</v>
      </c>
      <c r="S53" s="1">
        <v>65.650000000000006</v>
      </c>
      <c r="T53" s="17" t="e">
        <f>(S53-#REF!)/(#REF!-R53)</f>
        <v>#REF!</v>
      </c>
    </row>
    <row r="54" spans="18:20" x14ac:dyDescent="0.45">
      <c r="R54" s="1" t="s">
        <v>83</v>
      </c>
      <c r="S54" s="1" t="s">
        <v>84</v>
      </c>
      <c r="T54" s="1" t="s">
        <v>85</v>
      </c>
    </row>
  </sheetData>
  <mergeCells count="3">
    <mergeCell ref="B2:L2"/>
    <mergeCell ref="N2:R2"/>
    <mergeCell ref="T2:AE2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44BD-64D0-4444-BFA1-58BFDAD78F5A}">
  <dimension ref="B2:H19"/>
  <sheetViews>
    <sheetView workbookViewId="0">
      <selection activeCell="D18" sqref="D18"/>
    </sheetView>
  </sheetViews>
  <sheetFormatPr defaultColWidth="9" defaultRowHeight="14.25" x14ac:dyDescent="0.45"/>
  <cols>
    <col min="1" max="2" width="9" style="1"/>
    <col min="3" max="3" width="16.265625" style="1" customWidth="1"/>
    <col min="4" max="4" width="11.33203125" style="1" customWidth="1"/>
    <col min="5" max="16384" width="9" style="1"/>
  </cols>
  <sheetData>
    <row r="2" spans="2:8" x14ac:dyDescent="0.45">
      <c r="B2" s="6" t="s">
        <v>0</v>
      </c>
      <c r="C2" s="6" t="s">
        <v>1</v>
      </c>
      <c r="D2" s="6" t="s">
        <v>2</v>
      </c>
      <c r="E2" s="6" t="s">
        <v>3</v>
      </c>
      <c r="F2" s="6" t="s">
        <v>11</v>
      </c>
      <c r="H2" s="4">
        <f>(((E4/2)^2)*PI()*D4)/1000</f>
        <v>939.73915509267158</v>
      </c>
    </row>
    <row r="3" spans="2:8" x14ac:dyDescent="0.45">
      <c r="B3" s="2" t="s">
        <v>22</v>
      </c>
      <c r="C3" s="2" t="s">
        <v>13</v>
      </c>
      <c r="D3" s="2" t="s">
        <v>14</v>
      </c>
      <c r="E3" s="2" t="s">
        <v>14</v>
      </c>
      <c r="F3" s="2" t="s">
        <v>15</v>
      </c>
      <c r="H3" s="4">
        <f>(((E5/2)^2)*PI()*D5)/1000</f>
        <v>946.93493693740368</v>
      </c>
    </row>
    <row r="4" spans="2:8" x14ac:dyDescent="0.45">
      <c r="B4" s="4" t="s">
        <v>4</v>
      </c>
      <c r="C4" s="4">
        <v>3579</v>
      </c>
      <c r="D4" s="4">
        <v>116.6</v>
      </c>
      <c r="E4" s="4">
        <v>101.3</v>
      </c>
      <c r="F4" s="3">
        <f>AVERAGE(H2:H4)</f>
        <v>939.61803067669177</v>
      </c>
      <c r="H4" s="1">
        <f>932.18</f>
        <v>932.18</v>
      </c>
    </row>
    <row r="5" spans="2:8" x14ac:dyDescent="0.45">
      <c r="B5" s="4" t="s">
        <v>5</v>
      </c>
      <c r="C5" s="4">
        <v>3573.4</v>
      </c>
      <c r="D5" s="4">
        <v>116.8</v>
      </c>
      <c r="E5" s="4">
        <v>101.6</v>
      </c>
      <c r="F5" s="3">
        <v>939.61803067669177</v>
      </c>
    </row>
    <row r="6" spans="2:8" x14ac:dyDescent="0.45">
      <c r="B6" s="4" t="s">
        <v>6</v>
      </c>
      <c r="C6" s="4">
        <v>3575.8</v>
      </c>
      <c r="D6" s="4"/>
      <c r="E6" s="4"/>
      <c r="F6" s="3">
        <v>939.61803067669177</v>
      </c>
    </row>
    <row r="7" spans="2:8" x14ac:dyDescent="0.45">
      <c r="B7" s="4" t="s">
        <v>7</v>
      </c>
      <c r="C7" s="4">
        <v>3981.6</v>
      </c>
      <c r="D7" s="1">
        <v>117.3</v>
      </c>
      <c r="E7" s="4">
        <v>101.6</v>
      </c>
      <c r="F7" s="3">
        <v>939.61803067669177</v>
      </c>
    </row>
    <row r="8" spans="2:8" x14ac:dyDescent="0.45">
      <c r="B8" s="4" t="s">
        <v>8</v>
      </c>
      <c r="C8" s="4">
        <v>3577</v>
      </c>
      <c r="D8" s="4"/>
      <c r="E8" s="4"/>
      <c r="F8" s="3">
        <v>939.61803067669177</v>
      </c>
    </row>
    <row r="9" spans="2:8" x14ac:dyDescent="0.45">
      <c r="B9" s="4" t="s">
        <v>9</v>
      </c>
      <c r="C9" s="4">
        <v>3580.8</v>
      </c>
      <c r="D9" s="4"/>
      <c r="E9" s="4"/>
      <c r="F9" s="3">
        <v>939.61803067669177</v>
      </c>
    </row>
    <row r="10" spans="2:8" x14ac:dyDescent="0.45">
      <c r="B10" s="4" t="s">
        <v>10</v>
      </c>
      <c r="C10" s="4">
        <v>3564.6</v>
      </c>
      <c r="D10" s="4"/>
      <c r="E10" s="4"/>
      <c r="F10" s="3">
        <v>939.61803067669177</v>
      </c>
    </row>
    <row r="11" spans="2:8" x14ac:dyDescent="0.45">
      <c r="B11" s="4" t="s">
        <v>61</v>
      </c>
      <c r="C11" s="4">
        <v>3575.2</v>
      </c>
      <c r="D11" s="4"/>
      <c r="E11" s="4"/>
      <c r="F11" s="3">
        <v>939.61803067669177</v>
      </c>
    </row>
    <row r="15" spans="2:8" ht="42.75" x14ac:dyDescent="0.45">
      <c r="B15" s="21" t="s">
        <v>97</v>
      </c>
      <c r="C15" s="21" t="s">
        <v>98</v>
      </c>
      <c r="D15" s="21" t="s">
        <v>99</v>
      </c>
    </row>
    <row r="16" spans="2:8" ht="28.5" x14ac:dyDescent="0.45">
      <c r="B16" s="23" t="s">
        <v>100</v>
      </c>
      <c r="C16" s="22" t="s">
        <v>101</v>
      </c>
      <c r="D16" s="22" t="s">
        <v>102</v>
      </c>
    </row>
    <row r="17" spans="2:4" ht="28.5" x14ac:dyDescent="0.45">
      <c r="B17" s="23" t="s">
        <v>103</v>
      </c>
      <c r="C17" s="22" t="s">
        <v>104</v>
      </c>
      <c r="D17" s="22" t="s">
        <v>105</v>
      </c>
    </row>
    <row r="18" spans="2:4" ht="28.5" x14ac:dyDescent="0.45">
      <c r="B18" s="23" t="s">
        <v>106</v>
      </c>
      <c r="C18" s="22" t="s">
        <v>107</v>
      </c>
      <c r="D18" s="22" t="s">
        <v>108</v>
      </c>
    </row>
    <row r="19" spans="2:4" ht="28.5" x14ac:dyDescent="0.45">
      <c r="B19" s="23" t="s">
        <v>109</v>
      </c>
      <c r="C19" s="22" t="s">
        <v>104</v>
      </c>
      <c r="D19" s="22" t="s">
        <v>105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Arena</vt:lpstr>
      <vt:lpstr>Base</vt:lpstr>
      <vt:lpstr>Caolin</vt:lpstr>
      <vt:lpstr>Limo-Arenoso</vt:lpstr>
      <vt:lpstr>Datos Moldes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2025-04-02T16:45:04Z</dcterms:created>
  <dcterms:modified xsi:type="dcterms:W3CDTF">2025-04-14T17:48:03Z</dcterms:modified>
</cp:coreProperties>
</file>