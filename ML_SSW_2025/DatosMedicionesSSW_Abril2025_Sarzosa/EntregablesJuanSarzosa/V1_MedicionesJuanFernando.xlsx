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\Desktop\DatosMedicionesSSW_Abril2025\EntregablesJuanSarzosa\"/>
    </mc:Choice>
  </mc:AlternateContent>
  <xr:revisionPtr revIDLastSave="0" documentId="13_ncr:1_{C1D7F253-E5A2-483C-AC4A-1A3AB7B0F871}" xr6:coauthVersionLast="47" xr6:coauthVersionMax="47" xr10:uidLastSave="{00000000-0000-0000-0000-000000000000}"/>
  <bookViews>
    <workbookView xWindow="-98" yWindow="-98" windowWidth="21795" windowHeight="12975" xr2:uid="{4959F82E-6D8C-417F-AFCD-C39AFDB3CEB5}"/>
  </bookViews>
  <sheets>
    <sheet name="Arena" sheetId="5" r:id="rId1"/>
    <sheet name="Base" sheetId="4" r:id="rId2"/>
    <sheet name="Caolin" sheetId="3" r:id="rId3"/>
    <sheet name="Limo-Arenoso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8" i="5" l="1"/>
  <c r="V19" i="5"/>
  <c r="V20" i="5"/>
  <c r="V17" i="5"/>
  <c r="Z20" i="5"/>
  <c r="V12" i="5"/>
  <c r="V13" i="5"/>
  <c r="V14" i="5"/>
  <c r="V15" i="5"/>
  <c r="Z15" i="5" s="1"/>
  <c r="V11" i="5"/>
  <c r="V6" i="5"/>
  <c r="V7" i="5"/>
  <c r="V8" i="5"/>
  <c r="V9" i="5"/>
  <c r="Z9" i="5" s="1"/>
  <c r="V5" i="5"/>
  <c r="G8" i="5" l="1"/>
  <c r="I8" i="5" s="1"/>
  <c r="G6" i="5"/>
  <c r="I6" i="5" s="1"/>
  <c r="V17" i="4"/>
  <c r="Z17" i="4" s="1"/>
  <c r="V18" i="4"/>
  <c r="Z18" i="4" s="1"/>
  <c r="V19" i="4"/>
  <c r="Z19" i="4" s="1"/>
  <c r="V20" i="4"/>
  <c r="Z20" i="4" s="1"/>
  <c r="V16" i="4"/>
  <c r="Z16" i="4" s="1"/>
  <c r="G11" i="4"/>
  <c r="I11" i="4" s="1"/>
  <c r="G12" i="4"/>
  <c r="I12" i="4" s="1"/>
  <c r="V12" i="4"/>
  <c r="V13" i="4"/>
  <c r="Z13" i="4" s="1"/>
  <c r="V14" i="4"/>
  <c r="Z14" i="4" s="1"/>
  <c r="V11" i="4"/>
  <c r="G7" i="4"/>
  <c r="I7" i="4" s="1"/>
  <c r="Z11" i="4"/>
  <c r="V6" i="4"/>
  <c r="Z6" i="4" s="1"/>
  <c r="V7" i="4"/>
  <c r="Z7" i="4" s="1"/>
  <c r="V5" i="4"/>
  <c r="Z5" i="4" s="1"/>
  <c r="V9" i="4"/>
  <c r="Z9" i="4" s="1"/>
  <c r="V8" i="4"/>
  <c r="Z8" i="4" s="1"/>
  <c r="Z19" i="5"/>
  <c r="Z18" i="5"/>
  <c r="Z17" i="5"/>
  <c r="Y17" i="5"/>
  <c r="Z14" i="5"/>
  <c r="Z13" i="5"/>
  <c r="Z12" i="5"/>
  <c r="Z11" i="5"/>
  <c r="Z8" i="5"/>
  <c r="Y8" i="5"/>
  <c r="Z7" i="5"/>
  <c r="Z6" i="5"/>
  <c r="Z5" i="5"/>
  <c r="Z12" i="4"/>
  <c r="V13" i="3"/>
  <c r="Z13" i="3" s="1"/>
  <c r="V10" i="3"/>
  <c r="Z10" i="3" s="1"/>
  <c r="V19" i="3"/>
  <c r="Z19" i="3" s="1"/>
  <c r="V18" i="3"/>
  <c r="Z18" i="3" s="1"/>
  <c r="V17" i="3"/>
  <c r="Z17" i="3" s="1"/>
  <c r="V16" i="3"/>
  <c r="Z16" i="3" s="1"/>
  <c r="V14" i="3"/>
  <c r="Z14" i="3" s="1"/>
  <c r="V12" i="3"/>
  <c r="Z12" i="3" s="1"/>
  <c r="V11" i="3"/>
  <c r="Z11" i="3" s="1"/>
  <c r="D14" i="3"/>
  <c r="G14" i="3" s="1"/>
  <c r="I14" i="3" s="1"/>
  <c r="Y10" i="3"/>
  <c r="V5" i="3"/>
  <c r="Z5" i="3" s="1"/>
  <c r="V6" i="3"/>
  <c r="Z6" i="3" s="1"/>
  <c r="V7" i="3"/>
  <c r="Z7" i="3" s="1"/>
  <c r="V8" i="3"/>
  <c r="Z8" i="3" s="1"/>
  <c r="D13" i="3"/>
  <c r="G13" i="3" s="1"/>
  <c r="I13" i="3" s="1"/>
  <c r="D12" i="3"/>
  <c r="G12" i="3" s="1"/>
  <c r="I12" i="3" s="1"/>
  <c r="D10" i="3"/>
  <c r="G10" i="3" s="1"/>
  <c r="I10" i="3" s="1"/>
  <c r="Z17" i="1"/>
  <c r="Z16" i="1"/>
  <c r="Z14" i="1"/>
  <c r="V11" i="1"/>
  <c r="Z11" i="1" s="1"/>
  <c r="V12" i="1"/>
  <c r="Z12" i="1" s="1"/>
  <c r="Z8" i="1"/>
  <c r="D13" i="1"/>
  <c r="D7" i="1"/>
  <c r="V6" i="1"/>
  <c r="Z6" i="1" s="1"/>
  <c r="V7" i="1"/>
  <c r="Z7" i="1" s="1"/>
  <c r="V5" i="1"/>
  <c r="Z5" i="1" s="1"/>
  <c r="V14" i="1"/>
  <c r="V13" i="1"/>
  <c r="Z13" i="1" s="1"/>
  <c r="V19" i="1"/>
  <c r="Z19" i="1" s="1"/>
  <c r="V18" i="1"/>
  <c r="Z18" i="1" s="1"/>
  <c r="V17" i="1"/>
  <c r="V16" i="1"/>
  <c r="V8" i="1"/>
  <c r="V9" i="1"/>
  <c r="Z9" i="1" s="1"/>
  <c r="O15" i="5"/>
  <c r="G15" i="5"/>
  <c r="I15" i="5" s="1"/>
  <c r="O9" i="5"/>
  <c r="G9" i="5"/>
  <c r="I9" i="5" s="1"/>
  <c r="O20" i="4"/>
  <c r="H20" i="4" s="1"/>
  <c r="G20" i="4"/>
  <c r="I20" i="4" s="1"/>
  <c r="O9" i="4"/>
  <c r="H9" i="4" s="1"/>
  <c r="G9" i="4"/>
  <c r="I9" i="4" s="1"/>
  <c r="G19" i="4"/>
  <c r="I19" i="4" s="1"/>
  <c r="G18" i="4"/>
  <c r="I18" i="4" s="1"/>
  <c r="G17" i="4"/>
  <c r="I17" i="4" s="1"/>
  <c r="G16" i="4"/>
  <c r="I16" i="4" s="1"/>
  <c r="O16" i="4"/>
  <c r="H16" i="4" s="1"/>
  <c r="O8" i="5"/>
  <c r="H8" i="5" s="1"/>
  <c r="O5" i="5"/>
  <c r="H5" i="5" s="1"/>
  <c r="O6" i="5"/>
  <c r="H6" i="5" s="1"/>
  <c r="O7" i="5"/>
  <c r="H7" i="5" s="1"/>
  <c r="O19" i="4"/>
  <c r="H19" i="4" s="1"/>
  <c r="O20" i="5"/>
  <c r="G20" i="5"/>
  <c r="I20" i="5" s="1"/>
  <c r="O19" i="5"/>
  <c r="H19" i="5" s="1"/>
  <c r="G19" i="5"/>
  <c r="I19" i="5" s="1"/>
  <c r="O18" i="5"/>
  <c r="H18" i="5" s="1"/>
  <c r="G18" i="5"/>
  <c r="I18" i="5" s="1"/>
  <c r="O17" i="5"/>
  <c r="H17" i="5" s="1"/>
  <c r="G17" i="5"/>
  <c r="I17" i="5" s="1"/>
  <c r="O14" i="5"/>
  <c r="H14" i="5" s="1"/>
  <c r="G14" i="5"/>
  <c r="I14" i="5" s="1"/>
  <c r="O13" i="5"/>
  <c r="H13" i="5" s="1"/>
  <c r="G13" i="5"/>
  <c r="I13" i="5" s="1"/>
  <c r="O12" i="5"/>
  <c r="H12" i="5" s="1"/>
  <c r="G12" i="5"/>
  <c r="I12" i="5" s="1"/>
  <c r="O11" i="5"/>
  <c r="H11" i="5" s="1"/>
  <c r="G11" i="5"/>
  <c r="I11" i="5" s="1"/>
  <c r="G7" i="5"/>
  <c r="I7" i="5" s="1"/>
  <c r="G5" i="5"/>
  <c r="I5" i="5" s="1"/>
  <c r="O18" i="4"/>
  <c r="H18" i="4" s="1"/>
  <c r="O17" i="4"/>
  <c r="H17" i="4" s="1"/>
  <c r="O14" i="4"/>
  <c r="H14" i="4" s="1"/>
  <c r="G14" i="4"/>
  <c r="I14" i="4" s="1"/>
  <c r="O13" i="4"/>
  <c r="H13" i="4" s="1"/>
  <c r="G13" i="4"/>
  <c r="I13" i="4" s="1"/>
  <c r="O12" i="4"/>
  <c r="Y12" i="4" s="1"/>
  <c r="H12" i="4"/>
  <c r="O11" i="4"/>
  <c r="H11" i="4" s="1"/>
  <c r="O8" i="4"/>
  <c r="H8" i="4" s="1"/>
  <c r="G8" i="4"/>
  <c r="I8" i="4" s="1"/>
  <c r="O7" i="4"/>
  <c r="H7" i="4" s="1"/>
  <c r="O6" i="4"/>
  <c r="H6" i="4" s="1"/>
  <c r="G6" i="4"/>
  <c r="I6" i="4" s="1"/>
  <c r="O5" i="4"/>
  <c r="H5" i="4" s="1"/>
  <c r="G5" i="4"/>
  <c r="I5" i="4" s="1"/>
  <c r="O9" i="1"/>
  <c r="H9" i="1" s="1"/>
  <c r="G9" i="1"/>
  <c r="I9" i="1" s="1"/>
  <c r="O14" i="3"/>
  <c r="H14" i="3" s="1"/>
  <c r="O44" i="3"/>
  <c r="O42" i="3"/>
  <c r="O19" i="3"/>
  <c r="H19" i="3" s="1"/>
  <c r="G19" i="3"/>
  <c r="I19" i="3" s="1"/>
  <c r="O18" i="3"/>
  <c r="H18" i="3" s="1"/>
  <c r="G18" i="3"/>
  <c r="I18" i="3" s="1"/>
  <c r="O17" i="3"/>
  <c r="H17" i="3" s="1"/>
  <c r="G17" i="3"/>
  <c r="I17" i="3" s="1"/>
  <c r="O16" i="3"/>
  <c r="H16" i="3" s="1"/>
  <c r="G16" i="3"/>
  <c r="I16" i="3" s="1"/>
  <c r="O13" i="3"/>
  <c r="H13" i="3" s="1"/>
  <c r="O12" i="3"/>
  <c r="H12" i="3" s="1"/>
  <c r="O11" i="3"/>
  <c r="H11" i="3" s="1"/>
  <c r="G11" i="3"/>
  <c r="I11" i="3" s="1"/>
  <c r="O10" i="3"/>
  <c r="H10" i="3" s="1"/>
  <c r="O8" i="3"/>
  <c r="H8" i="3" s="1"/>
  <c r="G8" i="3"/>
  <c r="I8" i="3" s="1"/>
  <c r="O7" i="3"/>
  <c r="Y7" i="3" s="1"/>
  <c r="H7" i="3"/>
  <c r="G7" i="3"/>
  <c r="I7" i="3" s="1"/>
  <c r="O6" i="3"/>
  <c r="H6" i="3" s="1"/>
  <c r="G6" i="3"/>
  <c r="I6" i="3" s="1"/>
  <c r="O5" i="3"/>
  <c r="H5" i="3" s="1"/>
  <c r="G5" i="3"/>
  <c r="I5" i="3" s="1"/>
  <c r="Y9" i="1" l="1"/>
  <c r="Y6" i="3"/>
  <c r="J7" i="3"/>
  <c r="X7" i="3" s="1"/>
  <c r="J12" i="4"/>
  <c r="X12" i="4" s="1"/>
  <c r="Y8" i="4"/>
  <c r="Y13" i="4"/>
  <c r="Y14" i="4"/>
  <c r="Y11" i="4"/>
  <c r="Y16" i="4"/>
  <c r="Y20" i="4"/>
  <c r="Y19" i="4"/>
  <c r="Y6" i="4"/>
  <c r="Y7" i="4"/>
  <c r="Y18" i="5"/>
  <c r="H15" i="5"/>
  <c r="Y15" i="5"/>
  <c r="Y6" i="5"/>
  <c r="H9" i="5"/>
  <c r="Y9" i="5"/>
  <c r="H20" i="5"/>
  <c r="J20" i="5" s="1"/>
  <c r="X20" i="5" s="1"/>
  <c r="Y20" i="5"/>
  <c r="Y19" i="5"/>
  <c r="Y7" i="5"/>
  <c r="Y11" i="5"/>
  <c r="Y12" i="5"/>
  <c r="Y13" i="5"/>
  <c r="Y5" i="5"/>
  <c r="Y14" i="5"/>
  <c r="Y18" i="4"/>
  <c r="Y17" i="4"/>
  <c r="Y5" i="4"/>
  <c r="Y9" i="4"/>
  <c r="J17" i="4"/>
  <c r="X17" i="4" s="1"/>
  <c r="Y12" i="3"/>
  <c r="Y19" i="3"/>
  <c r="Y5" i="3"/>
  <c r="Y14" i="3"/>
  <c r="J19" i="3"/>
  <c r="X19" i="3" s="1"/>
  <c r="Y8" i="3"/>
  <c r="Y17" i="3"/>
  <c r="Y18" i="3"/>
  <c r="Y13" i="3"/>
  <c r="Y16" i="3"/>
  <c r="Y11" i="3"/>
  <c r="J9" i="5"/>
  <c r="X9" i="5" s="1"/>
  <c r="J15" i="5"/>
  <c r="X15" i="5" s="1"/>
  <c r="J16" i="4"/>
  <c r="X16" i="4" s="1"/>
  <c r="J17" i="5"/>
  <c r="X17" i="5" s="1"/>
  <c r="J20" i="4"/>
  <c r="X20" i="4" s="1"/>
  <c r="J9" i="4"/>
  <c r="X9" i="4" s="1"/>
  <c r="J18" i="5"/>
  <c r="X18" i="5" s="1"/>
  <c r="J14" i="5"/>
  <c r="X14" i="5" s="1"/>
  <c r="J18" i="4"/>
  <c r="X18" i="4" s="1"/>
  <c r="J11" i="5"/>
  <c r="X11" i="5" s="1"/>
  <c r="J7" i="5"/>
  <c r="X7" i="5" s="1"/>
  <c r="J12" i="5"/>
  <c r="X12" i="5" s="1"/>
  <c r="J13" i="5"/>
  <c r="X13" i="5" s="1"/>
  <c r="J8" i="5"/>
  <c r="X8" i="5" s="1"/>
  <c r="J5" i="5"/>
  <c r="X5" i="5" s="1"/>
  <c r="J6" i="5"/>
  <c r="X6" i="5" s="1"/>
  <c r="J19" i="5"/>
  <c r="X19" i="5" s="1"/>
  <c r="J11" i="4"/>
  <c r="X11" i="4" s="1"/>
  <c r="J5" i="4"/>
  <c r="X5" i="4" s="1"/>
  <c r="J7" i="4"/>
  <c r="X7" i="4" s="1"/>
  <c r="J6" i="4"/>
  <c r="X6" i="4" s="1"/>
  <c r="J14" i="4"/>
  <c r="X14" i="4" s="1"/>
  <c r="J19" i="4"/>
  <c r="X19" i="4" s="1"/>
  <c r="J13" i="4"/>
  <c r="X13" i="4" s="1"/>
  <c r="J8" i="4"/>
  <c r="X8" i="4" s="1"/>
  <c r="J9" i="1"/>
  <c r="X9" i="1" s="1"/>
  <c r="J14" i="3"/>
  <c r="X14" i="3" s="1"/>
  <c r="J16" i="3"/>
  <c r="X16" i="3" s="1"/>
  <c r="J18" i="3"/>
  <c r="X18" i="3" s="1"/>
  <c r="J17" i="3"/>
  <c r="X17" i="3" s="1"/>
  <c r="J13" i="3"/>
  <c r="X13" i="3" s="1"/>
  <c r="J12" i="3"/>
  <c r="X12" i="3" s="1"/>
  <c r="J10" i="3"/>
  <c r="X10" i="3" s="1"/>
  <c r="J8" i="3"/>
  <c r="X8" i="3" s="1"/>
  <c r="J6" i="3"/>
  <c r="X6" i="3" s="1"/>
  <c r="J5" i="3"/>
  <c r="X5" i="3" s="1"/>
  <c r="J11" i="3"/>
  <c r="X11" i="3" s="1"/>
  <c r="O8" i="1"/>
  <c r="G8" i="1"/>
  <c r="I8" i="1" s="1"/>
  <c r="O16" i="1"/>
  <c r="O17" i="1"/>
  <c r="O18" i="1"/>
  <c r="O19" i="1"/>
  <c r="O12" i="1"/>
  <c r="O13" i="1"/>
  <c r="O14" i="1"/>
  <c r="O11" i="1"/>
  <c r="O6" i="1"/>
  <c r="O7" i="1"/>
  <c r="O5" i="1"/>
  <c r="G17" i="1"/>
  <c r="I17" i="1" s="1"/>
  <c r="G18" i="1"/>
  <c r="I18" i="1" s="1"/>
  <c r="G19" i="1"/>
  <c r="I19" i="1" s="1"/>
  <c r="G16" i="1"/>
  <c r="I16" i="1" s="1"/>
  <c r="G6" i="1"/>
  <c r="I6" i="1" s="1"/>
  <c r="G7" i="1"/>
  <c r="I7" i="1" s="1"/>
  <c r="G11" i="1"/>
  <c r="I11" i="1" s="1"/>
  <c r="G12" i="1"/>
  <c r="I12" i="1" s="1"/>
  <c r="G13" i="1"/>
  <c r="I13" i="1" s="1"/>
  <c r="G14" i="1"/>
  <c r="I14" i="1" s="1"/>
  <c r="G5" i="1"/>
  <c r="I5" i="1" s="1"/>
  <c r="H5" i="1" l="1"/>
  <c r="Y5" i="1"/>
  <c r="H7" i="1"/>
  <c r="J7" i="1" s="1"/>
  <c r="X7" i="1" s="1"/>
  <c r="Y7" i="1"/>
  <c r="H6" i="1"/>
  <c r="J6" i="1" s="1"/>
  <c r="X6" i="1" s="1"/>
  <c r="Y6" i="1"/>
  <c r="H11" i="1"/>
  <c r="Y11" i="1"/>
  <c r="H14" i="1"/>
  <c r="J14" i="1" s="1"/>
  <c r="X14" i="1" s="1"/>
  <c r="Y14" i="1"/>
  <c r="H13" i="1"/>
  <c r="J13" i="1" s="1"/>
  <c r="X13" i="1" s="1"/>
  <c r="Y13" i="1"/>
  <c r="H12" i="1"/>
  <c r="J12" i="1" s="1"/>
  <c r="X12" i="1" s="1"/>
  <c r="Y12" i="1"/>
  <c r="H19" i="1"/>
  <c r="J19" i="1" s="1"/>
  <c r="X19" i="1" s="1"/>
  <c r="Y19" i="1"/>
  <c r="H18" i="1"/>
  <c r="J18" i="1" s="1"/>
  <c r="X18" i="1" s="1"/>
  <c r="Y18" i="1"/>
  <c r="H17" i="1"/>
  <c r="J17" i="1" s="1"/>
  <c r="X17" i="1" s="1"/>
  <c r="Y17" i="1"/>
  <c r="H16" i="1"/>
  <c r="Y16" i="1"/>
  <c r="H8" i="1"/>
  <c r="Y8" i="1"/>
  <c r="J8" i="1"/>
  <c r="X8" i="1" s="1"/>
  <c r="J5" i="1"/>
  <c r="X5" i="1" s="1"/>
  <c r="J11" i="1"/>
  <c r="X11" i="1" s="1"/>
  <c r="J16" i="1"/>
  <c r="X16" i="1" s="1"/>
</calcChain>
</file>

<file path=xl/sharedStrings.xml><?xml version="1.0" encoding="utf-8"?>
<sst xmlns="http://schemas.openxmlformats.org/spreadsheetml/2006/main" count="298" uniqueCount="45">
  <si>
    <t>Molde</t>
  </si>
  <si>
    <t>M1</t>
  </si>
  <si>
    <t>M2</t>
  </si>
  <si>
    <t>M3</t>
  </si>
  <si>
    <t>M4</t>
  </si>
  <si>
    <t>M5</t>
  </si>
  <si>
    <t>M6</t>
  </si>
  <si>
    <t>M7</t>
  </si>
  <si>
    <t>[g]</t>
  </si>
  <si>
    <t>Proctor</t>
  </si>
  <si>
    <t>Estandar</t>
  </si>
  <si>
    <t>Humedad</t>
  </si>
  <si>
    <t>ρ_hum</t>
  </si>
  <si>
    <t>ρ_dry</t>
  </si>
  <si>
    <t>[-]</t>
  </si>
  <si>
    <t>[g/cm3]</t>
  </si>
  <si>
    <t>Resultados Proctor</t>
  </si>
  <si>
    <t>[%]</t>
  </si>
  <si>
    <t>M_t</t>
  </si>
  <si>
    <t>M_m</t>
  </si>
  <si>
    <t>V_m</t>
  </si>
  <si>
    <t>[cm3]</t>
  </si>
  <si>
    <t>M_m+M_s_h</t>
  </si>
  <si>
    <t>M_s_h</t>
  </si>
  <si>
    <t>M__t+M_s_h</t>
  </si>
  <si>
    <t>M__t+M_s_d</t>
  </si>
  <si>
    <t>TOF1</t>
  </si>
  <si>
    <t>TOF2</t>
  </si>
  <si>
    <t>TOF3</t>
  </si>
  <si>
    <t>TOF4</t>
  </si>
  <si>
    <t>TOF5</t>
  </si>
  <si>
    <t>TOF_Prom</t>
  </si>
  <si>
    <t>[s]</t>
  </si>
  <si>
    <t>Modificado</t>
  </si>
  <si>
    <t>M8</t>
  </si>
  <si>
    <t>MOD 56</t>
  </si>
  <si>
    <t xml:space="preserve">Inicial </t>
  </si>
  <si>
    <t>Objetivo</t>
  </si>
  <si>
    <t>Agua</t>
  </si>
  <si>
    <t>Mediciones TOF</t>
  </si>
  <si>
    <t>RESULTADOS LIMO</t>
  </si>
  <si>
    <t>RESULTADOS CAOLIN</t>
  </si>
  <si>
    <t>RESULTADOS BASE</t>
  </si>
  <si>
    <t>RESULTADOS ARENA</t>
  </si>
  <si>
    <t>Analisis SSW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</si>
</sst>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00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0" fontId="0" fillId="2" borderId="0" xfId="0" applyNumberFormat="1" applyFill="1" applyAlignment="1">
      <alignment horizontal="center"/>
    </xf>
    <xf numFmtId="10" fontId="0" fillId="2" borderId="0" xfId="1" applyNumberFormat="1" applyFont="1" applyFill="1" applyBorder="1" applyAlignment="1">
      <alignment horizontal="center"/>
    </xf>
    <xf numFmtId="9" fontId="0" fillId="2" borderId="0" xfId="0" applyNumberFormat="1" applyFill="1"/>
    <xf numFmtId="10" fontId="0" fillId="2" borderId="0" xfId="1" applyNumberFormat="1" applyFont="1" applyFill="1"/>
    <xf numFmtId="10" fontId="0" fillId="2" borderId="0" xfId="0" applyNumberFormat="1" applyFill="1"/>
    <xf numFmtId="0" fontId="0" fillId="0" borderId="1" xfId="0" applyBorder="1"/>
    <xf numFmtId="0" fontId="5" fillId="2" borderId="1" xfId="0" applyFont="1" applyFill="1" applyBorder="1" applyAlignment="1">
      <alignment horizontal="center"/>
    </xf>
    <xf numFmtId="10" fontId="0" fillId="2" borderId="1" xfId="0" applyNumberFormat="1" applyFill="1" applyBorder="1"/>
    <xf numFmtId="165" fontId="5" fillId="2" borderId="1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2" borderId="1" xfId="0" applyFont="1" applyFill="1" applyBorder="1"/>
    <xf numFmtId="165" fontId="5" fillId="2" borderId="1" xfId="0" applyNumberFormat="1" applyFont="1" applyFill="1" applyBorder="1"/>
    <xf numFmtId="0" fontId="1" fillId="3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Arena!$O$5:$O$9</c:f>
              <c:numCache>
                <c:formatCode>0.00%</c:formatCode>
                <c:ptCount val="5"/>
                <c:pt idx="0">
                  <c:v>7.6316350458324425E-2</c:v>
                </c:pt>
                <c:pt idx="1">
                  <c:v>9.6030729833546741E-2</c:v>
                </c:pt>
                <c:pt idx="2">
                  <c:v>0.11954206602768888</c:v>
                </c:pt>
                <c:pt idx="3">
                  <c:v>0.13162271323354713</c:v>
                </c:pt>
                <c:pt idx="4">
                  <c:v>0.14385679414157856</c:v>
                </c:pt>
              </c:numCache>
            </c:numRef>
          </c:xVal>
          <c:yVal>
            <c:numRef>
              <c:f>Arena!$J$5:$J$9</c:f>
              <c:numCache>
                <c:formatCode>General</c:formatCode>
                <c:ptCount val="5"/>
                <c:pt idx="0">
                  <c:v>1.8947397051669903</c:v>
                </c:pt>
                <c:pt idx="1">
                  <c:v>1.9348444370707474</c:v>
                </c:pt>
                <c:pt idx="2">
                  <c:v>1.9660781433873795</c:v>
                </c:pt>
                <c:pt idx="3">
                  <c:v>1.9576916183018995</c:v>
                </c:pt>
                <c:pt idx="4">
                  <c:v>1.8960009900803738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41-44BA-A91A-31737C2A4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6.000000000000001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Arena!$O$11:$O$15</c:f>
              <c:numCache>
                <c:formatCode>0.000%</c:formatCode>
                <c:ptCount val="5"/>
                <c:pt idx="0">
                  <c:v>5.7142857142856933E-2</c:v>
                </c:pt>
                <c:pt idx="1">
                  <c:v>6.9455103607060725E-2</c:v>
                </c:pt>
                <c:pt idx="2">
                  <c:v>9.3951093951094009E-2</c:v>
                </c:pt>
                <c:pt idx="3">
                  <c:v>0.10994263862332682</c:v>
                </c:pt>
                <c:pt idx="4" formatCode="0.00%">
                  <c:v>0.15466961978589905</c:v>
                </c:pt>
              </c:numCache>
            </c:numRef>
          </c:xVal>
          <c:yVal>
            <c:numRef>
              <c:f>Arena!$J$11:$J$15</c:f>
              <c:numCache>
                <c:formatCode>General</c:formatCode>
                <c:ptCount val="5"/>
                <c:pt idx="0">
                  <c:v>2.016690673287997</c:v>
                </c:pt>
                <c:pt idx="1">
                  <c:v>2.0460168732495467</c:v>
                </c:pt>
                <c:pt idx="2">
                  <c:v>2.054876802148133</c:v>
                </c:pt>
                <c:pt idx="3">
                  <c:v>2.0561458679914573</c:v>
                </c:pt>
                <c:pt idx="4">
                  <c:v>1.9366819760124112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BB-49A0-AE3A-20A70B45F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6B8ACC2C-A4AF-45BB-95BC-97A8F555AF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0DB-4038-A5A9-8F57769B7A1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5B8C15E-E645-48AC-99F8-589E2D5B3F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0DB-4038-A5A9-8F57769B7A1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11E4A0A-8CAE-4D71-A8BD-39EB34FC7B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0DB-4038-A5A9-8F57769B7A1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DE89A71-80E3-4F02-AC79-8D5C60BC86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0DB-4038-A5A9-8F57769B7A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Arena!$O$17:$O$20</c:f>
              <c:numCache>
                <c:formatCode>0.000%</c:formatCode>
                <c:ptCount val="4"/>
                <c:pt idx="0">
                  <c:v>4.5409015025041716E-2</c:v>
                </c:pt>
                <c:pt idx="1">
                  <c:v>7.8056951423785534E-2</c:v>
                </c:pt>
                <c:pt idx="2">
                  <c:v>9.9105071262843708E-2</c:v>
                </c:pt>
                <c:pt idx="3">
                  <c:v>0.12471719457013565</c:v>
                </c:pt>
              </c:numCache>
            </c:numRef>
          </c:xVal>
          <c:yVal>
            <c:numRef>
              <c:f>Arena!$J$17:$J$20</c:f>
              <c:numCache>
                <c:formatCode>General</c:formatCode>
                <c:ptCount val="4"/>
                <c:pt idx="0">
                  <c:v>2.0788260713467381</c:v>
                </c:pt>
                <c:pt idx="1">
                  <c:v>2.1232785944132311</c:v>
                </c:pt>
                <c:pt idx="2">
                  <c:v>2.1289019997015148</c:v>
                </c:pt>
                <c:pt idx="3">
                  <c:v>2.0469253173491508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Arena!$Z$17:$Z$20</c15:f>
                <c15:dlblRangeCache>
                  <c:ptCount val="4"/>
                  <c:pt idx="0">
                    <c:v>0.002191449</c:v>
                  </c:pt>
                  <c:pt idx="1">
                    <c:v>0.001546905</c:v>
                  </c:pt>
                  <c:pt idx="2">
                    <c:v>0.001507842</c:v>
                  </c:pt>
                  <c:pt idx="3">
                    <c:v>0.002261763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442D-42C7-A0BE-E4E271BF7EB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Densidad VS TOF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Arena!$X$5:$X$20</c:f>
              <c:numCache>
                <c:formatCode>General</c:formatCode>
                <c:ptCount val="16"/>
                <c:pt idx="0">
                  <c:v>1.8947397051669903</c:v>
                </c:pt>
                <c:pt idx="1">
                  <c:v>1.9348444370707474</c:v>
                </c:pt>
                <c:pt idx="2">
                  <c:v>1.9660781433873795</c:v>
                </c:pt>
                <c:pt idx="3">
                  <c:v>1.9576916183018995</c:v>
                </c:pt>
                <c:pt idx="4">
                  <c:v>1.8960009900803738</c:v>
                </c:pt>
                <c:pt idx="6">
                  <c:v>2.016690673287997</c:v>
                </c:pt>
                <c:pt idx="7">
                  <c:v>2.0460168732495467</c:v>
                </c:pt>
                <c:pt idx="8">
                  <c:v>2.054876802148133</c:v>
                </c:pt>
                <c:pt idx="9">
                  <c:v>2.0561458679914573</c:v>
                </c:pt>
                <c:pt idx="10">
                  <c:v>1.9366819760124112</c:v>
                </c:pt>
                <c:pt idx="12">
                  <c:v>2.0788260713467381</c:v>
                </c:pt>
                <c:pt idx="13">
                  <c:v>2.1232785944132311</c:v>
                </c:pt>
                <c:pt idx="14">
                  <c:v>2.1289019997015148</c:v>
                </c:pt>
                <c:pt idx="15">
                  <c:v>2.0469253173491508</c:v>
                </c:pt>
              </c:numCache>
            </c:numRef>
          </c:xVal>
          <c:yVal>
            <c:numRef>
              <c:f>Arena!$Z$5:$Z$20</c:f>
              <c:numCache>
                <c:formatCode>General</c:formatCode>
                <c:ptCount val="16"/>
                <c:pt idx="0">
                  <c:v>2.5312994394433019E-3</c:v>
                </c:pt>
                <c:pt idx="1">
                  <c:v>1.9180062110610407E-3</c:v>
                </c:pt>
                <c:pt idx="2">
                  <c:v>2.1328541573080173E-3</c:v>
                </c:pt>
                <c:pt idx="3">
                  <c:v>2.6328639231230967E-3</c:v>
                </c:pt>
                <c:pt idx="4">
                  <c:v>2.0547276313990894E-3</c:v>
                </c:pt>
                <c:pt idx="6">
                  <c:v>1.6094064337182524E-3</c:v>
                </c:pt>
                <c:pt idx="7">
                  <c:v>1.3515888982202461E-3</c:v>
                </c:pt>
                <c:pt idx="8">
                  <c:v>1.3125256352669369E-3</c:v>
                </c:pt>
                <c:pt idx="9">
                  <c:v>2.2891072091269392E-3</c:v>
                </c:pt>
                <c:pt idx="10">
                  <c:v>2.7227094279185238E-3</c:v>
                </c:pt>
                <c:pt idx="12">
                  <c:v>2.1914490517382034E-3</c:v>
                </c:pt>
                <c:pt idx="13">
                  <c:v>1.5469052129907014E-3</c:v>
                </c:pt>
                <c:pt idx="14">
                  <c:v>1.5078419500383689E-3</c:v>
                </c:pt>
                <c:pt idx="15">
                  <c:v>2.2617629250589744E-3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E3-4446-9642-1F1323C72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821472"/>
        <c:axId val="198838752"/>
      </c:scatterChart>
      <c:valAx>
        <c:axId val="198821472"/>
        <c:scaling>
          <c:orientation val="minMax"/>
          <c:min val="1.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ρ_</a:t>
                </a:r>
                <a:r>
                  <a:rPr lang="en-US"/>
                  <a:t>dry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38752"/>
        <c:crosses val="autoZero"/>
        <c:crossBetween val="midCat"/>
      </c:valAx>
      <c:valAx>
        <c:axId val="19883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21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Base!$O$5:$O$9</c:f>
              <c:numCache>
                <c:formatCode>0.00%</c:formatCode>
                <c:ptCount val="5"/>
                <c:pt idx="0">
                  <c:v>0.10614119922630562</c:v>
                </c:pt>
                <c:pt idx="1">
                  <c:v>0.14467683598050002</c:v>
                </c:pt>
                <c:pt idx="2">
                  <c:v>6.2609713282621576E-2</c:v>
                </c:pt>
                <c:pt idx="3">
                  <c:v>0.10971223021582741</c:v>
                </c:pt>
                <c:pt idx="4">
                  <c:v>6.8930216686572371E-2</c:v>
                </c:pt>
              </c:numCache>
            </c:numRef>
          </c:xVal>
          <c:yVal>
            <c:numRef>
              <c:f>Base!$J$5:$J$9</c:f>
              <c:numCache>
                <c:formatCode>General</c:formatCode>
                <c:ptCount val="5"/>
                <c:pt idx="0">
                  <c:v>2.0593635990630705</c:v>
                </c:pt>
                <c:pt idx="1">
                  <c:v>1.9621424868528743</c:v>
                </c:pt>
                <c:pt idx="2">
                  <c:v>1.9530325788119023</c:v>
                </c:pt>
                <c:pt idx="3">
                  <c:v>2.0546546965318271</c:v>
                </c:pt>
                <c:pt idx="4">
                  <c:v>1.9815088936687171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05-4CAA-AA04-FF79A42C2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Base!$O$11:$O$14</c:f>
              <c:numCache>
                <c:formatCode>0.000%</c:formatCode>
                <c:ptCount val="4"/>
                <c:pt idx="0">
                  <c:v>4.8944900351699717E-2</c:v>
                </c:pt>
                <c:pt idx="1">
                  <c:v>7.4972436604189868E-2</c:v>
                </c:pt>
                <c:pt idx="2">
                  <c:v>0.10350404312668453</c:v>
                </c:pt>
                <c:pt idx="3">
                  <c:v>0.12465208747514901</c:v>
                </c:pt>
              </c:numCache>
            </c:numRef>
          </c:xVal>
          <c:yVal>
            <c:numRef>
              <c:f>Base!$J$11:$J$14</c:f>
              <c:numCache>
                <c:formatCode>General</c:formatCode>
                <c:ptCount val="4"/>
                <c:pt idx="0">
                  <c:v>2.0986040718934076</c:v>
                </c:pt>
                <c:pt idx="1">
                  <c:v>2.1505578952158984</c:v>
                </c:pt>
                <c:pt idx="2">
                  <c:v>2.1491556953798447</c:v>
                </c:pt>
                <c:pt idx="3">
                  <c:v>2.0826248287175693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83-43CB-9205-DC249FB8D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Base!$O$16:$O$20</c:f>
              <c:numCache>
                <c:formatCode>0.000%</c:formatCode>
                <c:ptCount val="5"/>
                <c:pt idx="0">
                  <c:v>5.3619965406473978E-2</c:v>
                </c:pt>
                <c:pt idx="1">
                  <c:v>5.0349313418453466E-2</c:v>
                </c:pt>
                <c:pt idx="2">
                  <c:v>0.10695187165775413</c:v>
                </c:pt>
                <c:pt idx="3">
                  <c:v>9.908861741322475E-2</c:v>
                </c:pt>
                <c:pt idx="4">
                  <c:v>7.5044883303410997E-2</c:v>
                </c:pt>
              </c:numCache>
            </c:numRef>
          </c:xVal>
          <c:yVal>
            <c:numRef>
              <c:f>Base!$J$16:$J$20</c:f>
              <c:numCache>
                <c:formatCode>General</c:formatCode>
                <c:ptCount val="5"/>
                <c:pt idx="0">
                  <c:v>2.1147467976506751</c:v>
                </c:pt>
                <c:pt idx="1">
                  <c:v>2.0745198801686033</c:v>
                </c:pt>
                <c:pt idx="2">
                  <c:v>2.0026690632974198</c:v>
                </c:pt>
                <c:pt idx="3">
                  <c:v>2.1157648078995304</c:v>
                </c:pt>
                <c:pt idx="4">
                  <c:v>2.203277371620509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26-489C-851E-3FFC03FBC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Densidad VS TOF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Base!$X$5:$X$20</c:f>
              <c:numCache>
                <c:formatCode>General</c:formatCode>
                <c:ptCount val="16"/>
                <c:pt idx="0">
                  <c:v>2.0593635990630705</c:v>
                </c:pt>
                <c:pt idx="1">
                  <c:v>1.9621424868528743</c:v>
                </c:pt>
                <c:pt idx="2">
                  <c:v>1.9530325788119023</c:v>
                </c:pt>
                <c:pt idx="3">
                  <c:v>2.0546546965318271</c:v>
                </c:pt>
                <c:pt idx="4">
                  <c:v>1.9815088936687171</c:v>
                </c:pt>
                <c:pt idx="6">
                  <c:v>2.0986040718934076</c:v>
                </c:pt>
                <c:pt idx="7">
                  <c:v>2.1505578952158984</c:v>
                </c:pt>
                <c:pt idx="8">
                  <c:v>2.1491556953798447</c:v>
                </c:pt>
                <c:pt idx="9">
                  <c:v>2.0826248287175693</c:v>
                </c:pt>
                <c:pt idx="11">
                  <c:v>2.1147467976506751</c:v>
                </c:pt>
                <c:pt idx="12">
                  <c:v>2.0745198801686033</c:v>
                </c:pt>
                <c:pt idx="13">
                  <c:v>2.0026690632974198</c:v>
                </c:pt>
                <c:pt idx="14">
                  <c:v>2.1157648078995304</c:v>
                </c:pt>
                <c:pt idx="15">
                  <c:v>2.203277371620509</c:v>
                </c:pt>
              </c:numCache>
            </c:numRef>
          </c:xVal>
          <c:yVal>
            <c:numRef>
              <c:f>Base!$Z$5:$Z$20</c:f>
              <c:numCache>
                <c:formatCode>General</c:formatCode>
                <c:ptCount val="16"/>
                <c:pt idx="0">
                  <c:v>2.0547276313969574E-3</c:v>
                </c:pt>
                <c:pt idx="1">
                  <c:v>3.5703822340265035E-3</c:v>
                </c:pt>
                <c:pt idx="2">
                  <c:v>1.9414441688326179E-3</c:v>
                </c:pt>
                <c:pt idx="3">
                  <c:v>2.4805171976019836E-3</c:v>
                </c:pt>
                <c:pt idx="4">
                  <c:v>1.7734721381273745E-3</c:v>
                </c:pt>
                <c:pt idx="6">
                  <c:v>8.9845504794894282E-4</c:v>
                </c:pt>
                <c:pt idx="7">
                  <c:v>1.0273638156998999E-3</c:v>
                </c:pt>
                <c:pt idx="8">
                  <c:v>1.9375378425359635E-3</c:v>
                </c:pt>
                <c:pt idx="9">
                  <c:v>3.3203773511200295E-3</c:v>
                </c:pt>
                <c:pt idx="11">
                  <c:v>1.2343991093587193E-3</c:v>
                </c:pt>
                <c:pt idx="12">
                  <c:v>2.3242641457867919E-3</c:v>
                </c:pt>
                <c:pt idx="13">
                  <c:v>3.0977167522804549E-3</c:v>
                </c:pt>
                <c:pt idx="14">
                  <c:v>3.3828785718469589E-3</c:v>
                </c:pt>
                <c:pt idx="15">
                  <c:v>1.0840055469838461E-3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C7-426F-A07D-FD87CB0EB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821472"/>
        <c:axId val="198838752"/>
      </c:scatterChart>
      <c:valAx>
        <c:axId val="198821472"/>
        <c:scaling>
          <c:orientation val="minMax"/>
          <c:min val="1.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ρ_</a:t>
                </a:r>
                <a:r>
                  <a:rPr lang="en-US"/>
                  <a:t>dry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38752"/>
        <c:crosses val="autoZero"/>
        <c:crossBetween val="midCat"/>
      </c:valAx>
      <c:valAx>
        <c:axId val="19883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21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Caolin Proctor Estandar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Caolin!$O$5:$O$8</c:f>
              <c:numCache>
                <c:formatCode>0.00%</c:formatCode>
                <c:ptCount val="4"/>
                <c:pt idx="0">
                  <c:v>0.1622203098106714</c:v>
                </c:pt>
                <c:pt idx="1">
                  <c:v>0.19980314960629944</c:v>
                </c:pt>
                <c:pt idx="2">
                  <c:v>0.26691858467880425</c:v>
                </c:pt>
                <c:pt idx="3">
                  <c:v>0.11699064074874009</c:v>
                </c:pt>
              </c:numCache>
            </c:numRef>
          </c:xVal>
          <c:yVal>
            <c:numRef>
              <c:f>Caolin!$J$5:$J$8</c:f>
              <c:numCache>
                <c:formatCode>General</c:formatCode>
                <c:ptCount val="4"/>
                <c:pt idx="0">
                  <c:v>1.6605570810323071</c:v>
                </c:pt>
                <c:pt idx="1">
                  <c:v>1.6615859430054534</c:v>
                </c:pt>
                <c:pt idx="2">
                  <c:v>1.5068636991765223</c:v>
                </c:pt>
                <c:pt idx="3">
                  <c:v>1.5747783227223249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64-498F-B893-767DB7FE7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Caolin Proctor Modificado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Caolin!$O$10:$O$14</c:f>
              <c:numCache>
                <c:formatCode>0.000%</c:formatCode>
                <c:ptCount val="5"/>
                <c:pt idx="0">
                  <c:v>0.10631793478260841</c:v>
                </c:pt>
                <c:pt idx="1">
                  <c:v>0.14524886877828025</c:v>
                </c:pt>
                <c:pt idx="2">
                  <c:v>0.16490566037735838</c:v>
                </c:pt>
                <c:pt idx="3">
                  <c:v>7.9882740930743851E-2</c:v>
                </c:pt>
                <c:pt idx="4">
                  <c:v>0.22849968612680469</c:v>
                </c:pt>
              </c:numCache>
            </c:numRef>
          </c:xVal>
          <c:yVal>
            <c:numRef>
              <c:f>Caolin!$J$10:$J$14</c:f>
              <c:numCache>
                <c:formatCode>General</c:formatCode>
                <c:ptCount val="5"/>
                <c:pt idx="0">
                  <c:v>1.741579267448629</c:v>
                </c:pt>
                <c:pt idx="1">
                  <c:v>1.7894306168364227</c:v>
                </c:pt>
                <c:pt idx="2">
                  <c:v>1.8061947339895521</c:v>
                </c:pt>
                <c:pt idx="3">
                  <c:v>1.6673281341222654</c:v>
                </c:pt>
                <c:pt idx="4">
                  <c:v>1.5456713004509131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8F-456B-987C-0F46C2EBC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Caolin Proctor Modificado 56 Golpes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Caolin!$O$16:$O$19</c:f>
              <c:numCache>
                <c:formatCode>0.000%</c:formatCode>
                <c:ptCount val="4"/>
                <c:pt idx="0">
                  <c:v>9.0436590436590164E-2</c:v>
                </c:pt>
                <c:pt idx="1">
                  <c:v>0.1508515815085158</c:v>
                </c:pt>
                <c:pt idx="2">
                  <c:v>0.18550811785929003</c:v>
                </c:pt>
                <c:pt idx="3">
                  <c:v>0.22477693891557984</c:v>
                </c:pt>
              </c:numCache>
            </c:numRef>
          </c:xVal>
          <c:yVal>
            <c:numRef>
              <c:f>Caolin!$J$16:$J$19</c:f>
              <c:numCache>
                <c:formatCode>General</c:formatCode>
                <c:ptCount val="4"/>
                <c:pt idx="0">
                  <c:v>1.7743615616875121</c:v>
                </c:pt>
                <c:pt idx="1">
                  <c:v>1.8202988531912971</c:v>
                </c:pt>
                <c:pt idx="2">
                  <c:v>1.7636738086928547</c:v>
                </c:pt>
                <c:pt idx="3">
                  <c:v>1.642825029593429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F4-4BDB-A04F-C03B30966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Caolin Proctor Estandar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Estandar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Caolin!$O$5:$O$8</c:f>
              <c:numCache>
                <c:formatCode>0.00%</c:formatCode>
                <c:ptCount val="4"/>
                <c:pt idx="0">
                  <c:v>0.1622203098106714</c:v>
                </c:pt>
                <c:pt idx="1">
                  <c:v>0.19980314960629944</c:v>
                </c:pt>
                <c:pt idx="2">
                  <c:v>0.26691858467880425</c:v>
                </c:pt>
                <c:pt idx="3">
                  <c:v>0.11699064074874009</c:v>
                </c:pt>
              </c:numCache>
            </c:numRef>
          </c:xVal>
          <c:yVal>
            <c:numRef>
              <c:f>Caolin!$J$5:$J$8</c:f>
              <c:numCache>
                <c:formatCode>General</c:formatCode>
                <c:ptCount val="4"/>
                <c:pt idx="0">
                  <c:v>1.6605570810323071</c:v>
                </c:pt>
                <c:pt idx="1">
                  <c:v>1.6615859430054534</c:v>
                </c:pt>
                <c:pt idx="2">
                  <c:v>1.5068636991765223</c:v>
                </c:pt>
                <c:pt idx="3">
                  <c:v>1.5747783227223249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22-41EB-8579-D532D19C6624}"/>
            </c:ext>
          </c:extLst>
        </c:ser>
        <c:ser>
          <c:idx val="1"/>
          <c:order val="1"/>
          <c:tx>
            <c:v>Modificado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Caolin!$O$10:$O$13</c:f>
              <c:numCache>
                <c:formatCode>0.000%</c:formatCode>
                <c:ptCount val="4"/>
                <c:pt idx="0">
                  <c:v>0.10631793478260841</c:v>
                </c:pt>
                <c:pt idx="1">
                  <c:v>0.14524886877828025</c:v>
                </c:pt>
                <c:pt idx="2">
                  <c:v>0.16490566037735838</c:v>
                </c:pt>
                <c:pt idx="3">
                  <c:v>7.9882740930743851E-2</c:v>
                </c:pt>
              </c:numCache>
            </c:numRef>
          </c:xVal>
          <c:yVal>
            <c:numRef>
              <c:f>Caolin!$J$10:$J$13</c:f>
              <c:numCache>
                <c:formatCode>General</c:formatCode>
                <c:ptCount val="4"/>
                <c:pt idx="0">
                  <c:v>1.741579267448629</c:v>
                </c:pt>
                <c:pt idx="1">
                  <c:v>1.7894306168364227</c:v>
                </c:pt>
                <c:pt idx="2">
                  <c:v>1.8061947339895521</c:v>
                </c:pt>
                <c:pt idx="3">
                  <c:v>1.6673281341222654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22-41EB-8579-D532D19C6624}"/>
            </c:ext>
          </c:extLst>
        </c:ser>
        <c:ser>
          <c:idx val="2"/>
          <c:order val="2"/>
          <c:tx>
            <c:v>56 Golpes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Caolin!$O$16:$O$19</c:f>
              <c:numCache>
                <c:formatCode>0.000%</c:formatCode>
                <c:ptCount val="4"/>
                <c:pt idx="0">
                  <c:v>9.0436590436590164E-2</c:v>
                </c:pt>
                <c:pt idx="1">
                  <c:v>0.1508515815085158</c:v>
                </c:pt>
                <c:pt idx="2">
                  <c:v>0.18550811785929003</c:v>
                </c:pt>
                <c:pt idx="3">
                  <c:v>0.22477693891557984</c:v>
                </c:pt>
              </c:numCache>
            </c:numRef>
          </c:xVal>
          <c:yVal>
            <c:numRef>
              <c:f>Caolin!$J$16:$J$19</c:f>
              <c:numCache>
                <c:formatCode>General</c:formatCode>
                <c:ptCount val="4"/>
                <c:pt idx="0">
                  <c:v>1.7743615616875121</c:v>
                </c:pt>
                <c:pt idx="1">
                  <c:v>1.8202988531912971</c:v>
                </c:pt>
                <c:pt idx="2">
                  <c:v>1.7636738086928547</c:v>
                </c:pt>
                <c:pt idx="3">
                  <c:v>1.642825029593429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22-41EB-8579-D532D19C6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  <c:min val="1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Densidad VS TOF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Caolin!$X$5:$X$19</c:f>
              <c:numCache>
                <c:formatCode>General</c:formatCode>
                <c:ptCount val="15"/>
                <c:pt idx="0">
                  <c:v>1.6605570810323071</c:v>
                </c:pt>
                <c:pt idx="1">
                  <c:v>1.6615859430054534</c:v>
                </c:pt>
                <c:pt idx="2">
                  <c:v>1.5068636991765223</c:v>
                </c:pt>
                <c:pt idx="3">
                  <c:v>1.5747783227223249</c:v>
                </c:pt>
                <c:pt idx="5">
                  <c:v>1.741579267448629</c:v>
                </c:pt>
                <c:pt idx="6">
                  <c:v>1.7894306168364227</c:v>
                </c:pt>
                <c:pt idx="7">
                  <c:v>1.8061947339895521</c:v>
                </c:pt>
                <c:pt idx="8">
                  <c:v>1.6673281341222654</c:v>
                </c:pt>
                <c:pt idx="9">
                  <c:v>1.5456713004509131</c:v>
                </c:pt>
                <c:pt idx="11">
                  <c:v>1.7743615616875121</c:v>
                </c:pt>
                <c:pt idx="12">
                  <c:v>1.8202988531912971</c:v>
                </c:pt>
                <c:pt idx="13">
                  <c:v>1.7636738086928547</c:v>
                </c:pt>
                <c:pt idx="14">
                  <c:v>1.642825029593429</c:v>
                </c:pt>
              </c:numCache>
            </c:numRef>
          </c:xVal>
          <c:yVal>
            <c:numRef>
              <c:f>Caolin!$Z$5:$Z$19</c:f>
              <c:numCache>
                <c:formatCode>General</c:formatCode>
                <c:ptCount val="15"/>
                <c:pt idx="0">
                  <c:v>1.5273735815121369E-3</c:v>
                </c:pt>
                <c:pt idx="1">
                  <c:v>2.890681458621547E-3</c:v>
                </c:pt>
                <c:pt idx="2">
                  <c:v>3.125061036351795E-3</c:v>
                </c:pt>
                <c:pt idx="3">
                  <c:v>1.6015937811292957E-3</c:v>
                </c:pt>
                <c:pt idx="5">
                  <c:v>1.2695560460160848E-3</c:v>
                </c:pt>
                <c:pt idx="6">
                  <c:v>1.2549073224095153E-3</c:v>
                </c:pt>
                <c:pt idx="7">
                  <c:v>1.464872360793379E-3</c:v>
                </c:pt>
                <c:pt idx="8">
                  <c:v>1.2988534932323326E-3</c:v>
                </c:pt>
                <c:pt idx="9">
                  <c:v>1.7773784644233182E-3</c:v>
                </c:pt>
                <c:pt idx="11">
                  <c:v>1.2070548252893331E-3</c:v>
                </c:pt>
                <c:pt idx="12">
                  <c:v>1.101584015313506E-3</c:v>
                </c:pt>
                <c:pt idx="13">
                  <c:v>1.3984648137657985E-3</c:v>
                </c:pt>
                <c:pt idx="14">
                  <c:v>2.3008261880093526E-3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2F-4164-A3AE-21A30E1DA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821472"/>
        <c:axId val="198838752"/>
      </c:scatterChart>
      <c:valAx>
        <c:axId val="198821472"/>
        <c:scaling>
          <c:orientation val="minMax"/>
          <c:min val="1.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ρ_</a:t>
                </a:r>
                <a:r>
                  <a:rPr lang="en-US"/>
                  <a:t>dry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38752"/>
        <c:crosses val="autoZero"/>
        <c:crossBetween val="midCat"/>
      </c:valAx>
      <c:valAx>
        <c:axId val="19883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21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Limo</a:t>
            </a:r>
            <a:r>
              <a:rPr lang="en-US" baseline="0"/>
              <a:t> Proctor Estandar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'Limo-Arenoso'!$O$5:$O$9</c:f>
              <c:numCache>
                <c:formatCode>0.00%</c:formatCode>
                <c:ptCount val="5"/>
                <c:pt idx="0">
                  <c:v>0.11302982731554165</c:v>
                </c:pt>
                <c:pt idx="1">
                  <c:v>0.14261363636363625</c:v>
                </c:pt>
                <c:pt idx="2">
                  <c:v>0.19204244031830223</c:v>
                </c:pt>
                <c:pt idx="3">
                  <c:v>0.24606215410813118</c:v>
                </c:pt>
                <c:pt idx="4">
                  <c:v>0.29512735326688799</c:v>
                </c:pt>
              </c:numCache>
            </c:numRef>
          </c:xVal>
          <c:yVal>
            <c:numRef>
              <c:f>'Limo-Arenoso'!$J$5:$J$9</c:f>
              <c:numCache>
                <c:formatCode>General</c:formatCode>
                <c:ptCount val="5"/>
                <c:pt idx="0">
                  <c:v>1.371360301675431</c:v>
                </c:pt>
                <c:pt idx="1">
                  <c:v>1.4537727083051852</c:v>
                </c:pt>
                <c:pt idx="2">
                  <c:v>1.5161625901741522</c:v>
                </c:pt>
                <c:pt idx="3">
                  <c:v>1.5264483299970262</c:v>
                </c:pt>
                <c:pt idx="4">
                  <c:v>1.3723113437156407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919-4505-849A-ED2C2FCDB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Limo</a:t>
            </a:r>
            <a:r>
              <a:rPr lang="en-US" baseline="0"/>
              <a:t> Proctor Modificado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'Limo-Arenoso'!$O$11:$O$14</c:f>
              <c:numCache>
                <c:formatCode>0.000%</c:formatCode>
                <c:ptCount val="4"/>
                <c:pt idx="0">
                  <c:v>0.11079723791588189</c:v>
                </c:pt>
                <c:pt idx="1">
                  <c:v>0.16014588859416429</c:v>
                </c:pt>
                <c:pt idx="2">
                  <c:v>0.18882395909422914</c:v>
                </c:pt>
                <c:pt idx="3">
                  <c:v>0.24161849710982658</c:v>
                </c:pt>
              </c:numCache>
            </c:numRef>
          </c:xVal>
          <c:yVal>
            <c:numRef>
              <c:f>'Limo-Arenoso'!$J$11:$J$14</c:f>
              <c:numCache>
                <c:formatCode>General</c:formatCode>
                <c:ptCount val="4"/>
                <c:pt idx="0">
                  <c:v>1.5620971263646288</c:v>
                </c:pt>
                <c:pt idx="1">
                  <c:v>1.6528849879326786</c:v>
                </c:pt>
                <c:pt idx="2">
                  <c:v>1.6642190869949036</c:v>
                </c:pt>
                <c:pt idx="3">
                  <c:v>1.516311109759529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B2-4CD8-A819-085732372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Limo</a:t>
            </a:r>
            <a:r>
              <a:rPr lang="en-US" baseline="0"/>
              <a:t> Proctor Modificado 56 Golpes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'Limo-Arenoso'!$O$16:$O$19</c:f>
              <c:numCache>
                <c:formatCode>0.000%</c:formatCode>
                <c:ptCount val="4"/>
                <c:pt idx="0">
                  <c:v>0.13227722772277212</c:v>
                </c:pt>
                <c:pt idx="1">
                  <c:v>0.15978994748687164</c:v>
                </c:pt>
                <c:pt idx="2">
                  <c:v>0.18811394891944982</c:v>
                </c:pt>
                <c:pt idx="3">
                  <c:v>0.22389937106918242</c:v>
                </c:pt>
              </c:numCache>
            </c:numRef>
          </c:xVal>
          <c:yVal>
            <c:numRef>
              <c:f>'Limo-Arenoso'!$J$16:$J$19</c:f>
              <c:numCache>
                <c:formatCode>General</c:formatCode>
                <c:ptCount val="4"/>
                <c:pt idx="0">
                  <c:v>1.7257129651616301</c:v>
                </c:pt>
                <c:pt idx="1">
                  <c:v>1.7591036538600133</c:v>
                </c:pt>
                <c:pt idx="2">
                  <c:v>1.7091057435408057</c:v>
                </c:pt>
                <c:pt idx="3">
                  <c:v>1.5558289053196588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25-47E5-BE19-D63943686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Limo</a:t>
            </a:r>
            <a:r>
              <a:rPr lang="en-US" baseline="0"/>
              <a:t> Proctor Estandar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'Limo-Arenoso'!$O$5:$O$9</c:f>
              <c:numCache>
                <c:formatCode>0.00%</c:formatCode>
                <c:ptCount val="5"/>
                <c:pt idx="0">
                  <c:v>0.11302982731554165</c:v>
                </c:pt>
                <c:pt idx="1">
                  <c:v>0.14261363636363625</c:v>
                </c:pt>
                <c:pt idx="2">
                  <c:v>0.19204244031830223</c:v>
                </c:pt>
                <c:pt idx="3">
                  <c:v>0.24606215410813118</c:v>
                </c:pt>
                <c:pt idx="4">
                  <c:v>0.29512735326688799</c:v>
                </c:pt>
              </c:numCache>
            </c:numRef>
          </c:xVal>
          <c:yVal>
            <c:numRef>
              <c:f>'Limo-Arenoso'!$J$5:$J$9</c:f>
              <c:numCache>
                <c:formatCode>General</c:formatCode>
                <c:ptCount val="5"/>
                <c:pt idx="0">
                  <c:v>1.371360301675431</c:v>
                </c:pt>
                <c:pt idx="1">
                  <c:v>1.4537727083051852</c:v>
                </c:pt>
                <c:pt idx="2">
                  <c:v>1.5161625901741522</c:v>
                </c:pt>
                <c:pt idx="3">
                  <c:v>1.5264483299970262</c:v>
                </c:pt>
                <c:pt idx="4">
                  <c:v>1.3723113437156407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F9-4FCA-BD6E-1773FAA3CEAD}"/>
            </c:ext>
          </c:extLst>
        </c:ser>
        <c:ser>
          <c:idx val="1"/>
          <c:order val="1"/>
          <c:tx>
            <c:v>Modificado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'Limo-Arenoso'!$O$11:$O$14</c:f>
              <c:numCache>
                <c:formatCode>0.000%</c:formatCode>
                <c:ptCount val="4"/>
                <c:pt idx="0">
                  <c:v>0.11079723791588189</c:v>
                </c:pt>
                <c:pt idx="1">
                  <c:v>0.16014588859416429</c:v>
                </c:pt>
                <c:pt idx="2">
                  <c:v>0.18882395909422914</c:v>
                </c:pt>
                <c:pt idx="3">
                  <c:v>0.24161849710982658</c:v>
                </c:pt>
              </c:numCache>
            </c:numRef>
          </c:xVal>
          <c:yVal>
            <c:numRef>
              <c:f>'Limo-Arenoso'!$J$11:$J$14</c:f>
              <c:numCache>
                <c:formatCode>General</c:formatCode>
                <c:ptCount val="4"/>
                <c:pt idx="0">
                  <c:v>1.5620971263646288</c:v>
                </c:pt>
                <c:pt idx="1">
                  <c:v>1.6528849879326786</c:v>
                </c:pt>
                <c:pt idx="2">
                  <c:v>1.6642190869949036</c:v>
                </c:pt>
                <c:pt idx="3">
                  <c:v>1.516311109759529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3F9-4FCA-BD6E-1773FAA3CEAD}"/>
            </c:ext>
          </c:extLst>
        </c:ser>
        <c:ser>
          <c:idx val="2"/>
          <c:order val="2"/>
          <c:tx>
            <c:v>56 Golpes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'Limo-Arenoso'!$O$16:$O$19</c:f>
              <c:numCache>
                <c:formatCode>0.000%</c:formatCode>
                <c:ptCount val="4"/>
                <c:pt idx="0">
                  <c:v>0.13227722772277212</c:v>
                </c:pt>
                <c:pt idx="1">
                  <c:v>0.15978994748687164</c:v>
                </c:pt>
                <c:pt idx="2">
                  <c:v>0.18811394891944982</c:v>
                </c:pt>
                <c:pt idx="3">
                  <c:v>0.22389937106918242</c:v>
                </c:pt>
              </c:numCache>
            </c:numRef>
          </c:xVal>
          <c:yVal>
            <c:numRef>
              <c:f>'Limo-Arenoso'!$J$16:$J$19</c:f>
              <c:numCache>
                <c:formatCode>General</c:formatCode>
                <c:ptCount val="4"/>
                <c:pt idx="0">
                  <c:v>1.7257129651616301</c:v>
                </c:pt>
                <c:pt idx="1">
                  <c:v>1.7591036538600133</c:v>
                </c:pt>
                <c:pt idx="2">
                  <c:v>1.7091057435408057</c:v>
                </c:pt>
                <c:pt idx="3">
                  <c:v>1.5558289053196588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3F9-4FCA-BD6E-1773FAA3C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  <c:min val="1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Densidad VS TOF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'Limo-Arenoso'!$X$5:$X$19</c:f>
              <c:numCache>
                <c:formatCode>General</c:formatCode>
                <c:ptCount val="15"/>
                <c:pt idx="0">
                  <c:v>1.371360301675431</c:v>
                </c:pt>
                <c:pt idx="1">
                  <c:v>1.4537727083051852</c:v>
                </c:pt>
                <c:pt idx="2">
                  <c:v>1.5161625901741522</c:v>
                </c:pt>
                <c:pt idx="3">
                  <c:v>1.5264483299970262</c:v>
                </c:pt>
                <c:pt idx="4">
                  <c:v>1.3723113437156407</c:v>
                </c:pt>
                <c:pt idx="6">
                  <c:v>1.5620971263646288</c:v>
                </c:pt>
                <c:pt idx="7">
                  <c:v>1.6528849879326786</c:v>
                </c:pt>
                <c:pt idx="8">
                  <c:v>1.6642190869949036</c:v>
                </c:pt>
                <c:pt idx="9">
                  <c:v>1.516311109759529</c:v>
                </c:pt>
                <c:pt idx="11">
                  <c:v>1.7257129651616301</c:v>
                </c:pt>
                <c:pt idx="12">
                  <c:v>1.7591036538600133</c:v>
                </c:pt>
                <c:pt idx="13">
                  <c:v>1.7091057435408057</c:v>
                </c:pt>
                <c:pt idx="14">
                  <c:v>1.5558289053196588</c:v>
                </c:pt>
              </c:numCache>
            </c:numRef>
          </c:xVal>
          <c:yVal>
            <c:numRef>
              <c:f>'Limo-Arenoso'!$Z$5:$Z$19</c:f>
              <c:numCache>
                <c:formatCode>General</c:formatCode>
                <c:ptCount val="15"/>
                <c:pt idx="0">
                  <c:v>1.8476923377406251E-3</c:v>
                </c:pt>
                <c:pt idx="1">
                  <c:v>1.7318046576407415E-3</c:v>
                </c:pt>
                <c:pt idx="2">
                  <c:v>1.6601886755722717E-3</c:v>
                </c:pt>
                <c:pt idx="3">
                  <c:v>2.656301880895029E-3</c:v>
                </c:pt>
                <c:pt idx="4">
                  <c:v>3.093810425986021E-3</c:v>
                </c:pt>
                <c:pt idx="6">
                  <c:v>1.6211254126045442E-3</c:v>
                </c:pt>
                <c:pt idx="7">
                  <c:v>1.5820621496551723E-3</c:v>
                </c:pt>
                <c:pt idx="8">
                  <c:v>1.7422215277640874E-3</c:v>
                </c:pt>
                <c:pt idx="9">
                  <c:v>2.5625500498065888E-3</c:v>
                </c:pt>
                <c:pt idx="11">
                  <c:v>1.2070548252907543E-3</c:v>
                </c:pt>
                <c:pt idx="12">
                  <c:v>1.4414344030157622E-3</c:v>
                </c:pt>
                <c:pt idx="13">
                  <c:v>2.027383347330769E-3</c:v>
                </c:pt>
                <c:pt idx="14">
                  <c:v>2.3555147561467038E-3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01-4C28-A787-6801AE05F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821472"/>
        <c:axId val="198838752"/>
      </c:scatterChart>
      <c:valAx>
        <c:axId val="198821472"/>
        <c:scaling>
          <c:orientation val="minMax"/>
          <c:min val="1.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ρ_</a:t>
                </a:r>
                <a:r>
                  <a:rPr lang="en-US"/>
                  <a:t>dry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38752"/>
        <c:crosses val="autoZero"/>
        <c:crossBetween val="midCat"/>
      </c:valAx>
      <c:valAx>
        <c:axId val="19883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21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TOF</a:t>
            </a:r>
            <a:r>
              <a:rPr lang="en-US" baseline="0"/>
              <a:t> vs Densidad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'Limo-Arenoso'!$Z$5:$Z$19</c:f>
              <c:numCache>
                <c:formatCode>General</c:formatCode>
                <c:ptCount val="15"/>
                <c:pt idx="0">
                  <c:v>1.8476923377406251E-3</c:v>
                </c:pt>
                <c:pt idx="1">
                  <c:v>1.7318046576407415E-3</c:v>
                </c:pt>
                <c:pt idx="2">
                  <c:v>1.6601886755722717E-3</c:v>
                </c:pt>
                <c:pt idx="3">
                  <c:v>2.656301880895029E-3</c:v>
                </c:pt>
                <c:pt idx="4">
                  <c:v>3.093810425986021E-3</c:v>
                </c:pt>
                <c:pt idx="6">
                  <c:v>1.6211254126045442E-3</c:v>
                </c:pt>
                <c:pt idx="7">
                  <c:v>1.5820621496551723E-3</c:v>
                </c:pt>
                <c:pt idx="8">
                  <c:v>1.7422215277640874E-3</c:v>
                </c:pt>
                <c:pt idx="9">
                  <c:v>2.5625500498065888E-3</c:v>
                </c:pt>
                <c:pt idx="11">
                  <c:v>1.2070548252907543E-3</c:v>
                </c:pt>
                <c:pt idx="12">
                  <c:v>1.4414344030157622E-3</c:v>
                </c:pt>
                <c:pt idx="13">
                  <c:v>2.027383347330769E-3</c:v>
                </c:pt>
                <c:pt idx="14">
                  <c:v>2.3555147561467038E-3</c:v>
                </c:pt>
              </c:numCache>
            </c:numRef>
          </c:xVal>
          <c:yVal>
            <c:numRef>
              <c:f>'Limo-Arenoso'!$X$5:$X$19</c:f>
              <c:numCache>
                <c:formatCode>General</c:formatCode>
                <c:ptCount val="15"/>
                <c:pt idx="0">
                  <c:v>1.371360301675431</c:v>
                </c:pt>
                <c:pt idx="1">
                  <c:v>1.4537727083051852</c:v>
                </c:pt>
                <c:pt idx="2">
                  <c:v>1.5161625901741522</c:v>
                </c:pt>
                <c:pt idx="3">
                  <c:v>1.5264483299970262</c:v>
                </c:pt>
                <c:pt idx="4">
                  <c:v>1.3723113437156407</c:v>
                </c:pt>
                <c:pt idx="6">
                  <c:v>1.5620971263646288</c:v>
                </c:pt>
                <c:pt idx="7">
                  <c:v>1.6528849879326786</c:v>
                </c:pt>
                <c:pt idx="8">
                  <c:v>1.6642190869949036</c:v>
                </c:pt>
                <c:pt idx="9">
                  <c:v>1.516311109759529</c:v>
                </c:pt>
                <c:pt idx="11">
                  <c:v>1.7257129651616301</c:v>
                </c:pt>
                <c:pt idx="12">
                  <c:v>1.7591036538600133</c:v>
                </c:pt>
                <c:pt idx="13">
                  <c:v>1.7091057435408057</c:v>
                </c:pt>
                <c:pt idx="14">
                  <c:v>1.5558289053196588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F4-4468-B3E3-8FDC28BBD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821472"/>
        <c:axId val="198838752"/>
      </c:scatterChart>
      <c:valAx>
        <c:axId val="198821472"/>
        <c:scaling>
          <c:orientation val="minMax"/>
          <c:min val="1.0000000000000002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38752"/>
        <c:crosses val="autoZero"/>
        <c:crossBetween val="midCat"/>
      </c:valAx>
      <c:valAx>
        <c:axId val="198838752"/>
        <c:scaling>
          <c:orientation val="minMax"/>
          <c:min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ρ_</a:t>
                </a: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dry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3.039724653603031E-2"/>
              <c:y val="0.442822449974335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21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TOF</a:t>
            </a:r>
            <a:r>
              <a:rPr lang="en-US" baseline="0"/>
              <a:t> vs Humedad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'Limo-Arenoso'!$Z$5:$Z$19</c:f>
              <c:numCache>
                <c:formatCode>General</c:formatCode>
                <c:ptCount val="15"/>
                <c:pt idx="0">
                  <c:v>1.8476923377406251E-3</c:v>
                </c:pt>
                <c:pt idx="1">
                  <c:v>1.7318046576407415E-3</c:v>
                </c:pt>
                <c:pt idx="2">
                  <c:v>1.6601886755722717E-3</c:v>
                </c:pt>
                <c:pt idx="3">
                  <c:v>2.656301880895029E-3</c:v>
                </c:pt>
                <c:pt idx="4">
                  <c:v>3.093810425986021E-3</c:v>
                </c:pt>
                <c:pt idx="6">
                  <c:v>1.6211254126045442E-3</c:v>
                </c:pt>
                <c:pt idx="7">
                  <c:v>1.5820621496551723E-3</c:v>
                </c:pt>
                <c:pt idx="8">
                  <c:v>1.7422215277640874E-3</c:v>
                </c:pt>
                <c:pt idx="9">
                  <c:v>2.5625500498065888E-3</c:v>
                </c:pt>
                <c:pt idx="11">
                  <c:v>1.2070548252907543E-3</c:v>
                </c:pt>
                <c:pt idx="12">
                  <c:v>1.4414344030157622E-3</c:v>
                </c:pt>
                <c:pt idx="13">
                  <c:v>2.027383347330769E-3</c:v>
                </c:pt>
                <c:pt idx="14">
                  <c:v>2.3555147561467038E-3</c:v>
                </c:pt>
              </c:numCache>
            </c:numRef>
          </c:xVal>
          <c:yVal>
            <c:numRef>
              <c:f>'Limo-Arenoso'!$Y$5:$Y$19</c:f>
              <c:numCache>
                <c:formatCode>0.00%</c:formatCode>
                <c:ptCount val="15"/>
                <c:pt idx="0">
                  <c:v>0.11302982731554165</c:v>
                </c:pt>
                <c:pt idx="1">
                  <c:v>0.14261363636363625</c:v>
                </c:pt>
                <c:pt idx="2">
                  <c:v>0.19204244031830223</c:v>
                </c:pt>
                <c:pt idx="3">
                  <c:v>0.24606215410813118</c:v>
                </c:pt>
                <c:pt idx="4">
                  <c:v>0.29512735326688799</c:v>
                </c:pt>
                <c:pt idx="6">
                  <c:v>0.11079723791588189</c:v>
                </c:pt>
                <c:pt idx="7">
                  <c:v>0.16014588859416429</c:v>
                </c:pt>
                <c:pt idx="8">
                  <c:v>0.18882395909422914</c:v>
                </c:pt>
                <c:pt idx="9">
                  <c:v>0.24161849710982658</c:v>
                </c:pt>
                <c:pt idx="11">
                  <c:v>0.13227722772277212</c:v>
                </c:pt>
                <c:pt idx="12">
                  <c:v>0.15978994748687164</c:v>
                </c:pt>
                <c:pt idx="13">
                  <c:v>0.18811394891944982</c:v>
                </c:pt>
                <c:pt idx="14">
                  <c:v>0.22389937106918242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23-4EFB-9517-818E63EB9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821472"/>
        <c:axId val="198838752"/>
      </c:scatterChart>
      <c:valAx>
        <c:axId val="198821472"/>
        <c:scaling>
          <c:orientation val="minMax"/>
          <c:min val="1.0000000000000002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38752"/>
        <c:crosses val="autoZero"/>
        <c:crossBetween val="midCat"/>
      </c:valAx>
      <c:valAx>
        <c:axId val="19883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21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640879</xdr:colOff>
      <xdr:row>21</xdr:row>
      <xdr:rowOff>70133</xdr:rowOff>
    </xdr:from>
    <xdr:to>
      <xdr:col>6</xdr:col>
      <xdr:colOff>523286</xdr:colOff>
      <xdr:row>36</xdr:row>
      <xdr:rowOff>123921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F899C8-C565-4757-8047-0712D2C573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194625</xdr:colOff>
      <xdr:row>21</xdr:row>
      <xdr:rowOff>64211</xdr:rowOff>
    </xdr:from>
    <xdr:to>
      <xdr:col>14</xdr:col>
      <xdr:colOff>120195</xdr:colOff>
      <xdr:row>36</xdr:row>
      <xdr:rowOff>117999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BC05FC-8A32-4336-849D-01E12166C3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401092</xdr:colOff>
      <xdr:row>21</xdr:row>
      <xdr:rowOff>92572</xdr:rowOff>
    </xdr:from>
    <xdr:to>
      <xdr:col>21</xdr:col>
      <xdr:colOff>376296</xdr:colOff>
      <xdr:row>36</xdr:row>
      <xdr:rowOff>146360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79091C-1B90-4815-ADA4-76188922DE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364538</xdr:colOff>
      <xdr:row>2</xdr:row>
      <xdr:rowOff>99953</xdr:rowOff>
    </xdr:from>
    <xdr:to>
      <xdr:col>33</xdr:col>
      <xdr:colOff>474192</xdr:colOff>
      <xdr:row>17</xdr:row>
      <xdr:rowOff>149946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7C178B6-937B-4ECA-8E3C-FEE4E19D70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21</xdr:row>
      <xdr:rowOff>116045</xdr:rowOff>
    </xdr:from>
    <xdr:to>
      <xdr:col>6</xdr:col>
      <xdr:colOff>554538</xdr:colOff>
      <xdr:row>36</xdr:row>
      <xdr:rowOff>169833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691866-3268-458A-BC8D-79F7A61A6E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32159</xdr:colOff>
      <xdr:row>21</xdr:row>
      <xdr:rowOff>143605</xdr:rowOff>
    </xdr:from>
    <xdr:to>
      <xdr:col>13</xdr:col>
      <xdr:colOff>756474</xdr:colOff>
      <xdr:row>37</xdr:row>
      <xdr:rowOff>14721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022619-AFF8-4CD6-9393-C9A7DF54FA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391730</xdr:colOff>
      <xdr:row>21</xdr:row>
      <xdr:rowOff>141658</xdr:rowOff>
    </xdr:from>
    <xdr:to>
      <xdr:col>21</xdr:col>
      <xdr:colOff>143526</xdr:colOff>
      <xdr:row>37</xdr:row>
      <xdr:rowOff>12774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6952CC-D1CE-49A1-8C3F-E10E133868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274007</xdr:colOff>
      <xdr:row>2</xdr:row>
      <xdr:rowOff>163101</xdr:rowOff>
    </xdr:from>
    <xdr:to>
      <xdr:col>34</xdr:col>
      <xdr:colOff>348704</xdr:colOff>
      <xdr:row>18</xdr:row>
      <xdr:rowOff>24382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7280C37-AD60-4D1B-B958-B7C90996D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574301</xdr:colOff>
      <xdr:row>20</xdr:row>
      <xdr:rowOff>3987</xdr:rowOff>
    </xdr:from>
    <xdr:to>
      <xdr:col>6</xdr:col>
      <xdr:colOff>153274</xdr:colOff>
      <xdr:row>35</xdr:row>
      <xdr:rowOff>57775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EF5779-D814-4C40-A67B-FD9B2106D7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240927</xdr:colOff>
      <xdr:row>20</xdr:row>
      <xdr:rowOff>39221</xdr:rowOff>
    </xdr:from>
    <xdr:to>
      <xdr:col>13</xdr:col>
      <xdr:colOff>319368</xdr:colOff>
      <xdr:row>35</xdr:row>
      <xdr:rowOff>93009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75CB8B-5339-4238-B423-F14E3921FC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683315</xdr:colOff>
      <xdr:row>20</xdr:row>
      <xdr:rowOff>34511</xdr:rowOff>
    </xdr:from>
    <xdr:to>
      <xdr:col>19</xdr:col>
      <xdr:colOff>409746</xdr:colOff>
      <xdr:row>35</xdr:row>
      <xdr:rowOff>88299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3C8306-1917-4B65-AA9C-0CFCBAA02B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95013</xdr:colOff>
      <xdr:row>38</xdr:row>
      <xdr:rowOff>47775</xdr:rowOff>
    </xdr:from>
    <xdr:to>
      <xdr:col>11</xdr:col>
      <xdr:colOff>334862</xdr:colOff>
      <xdr:row>54</xdr:row>
      <xdr:rowOff>141386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35DA57D-8598-4485-95B9-9611B51DDC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38318</xdr:colOff>
      <xdr:row>2</xdr:row>
      <xdr:rowOff>147801</xdr:rowOff>
    </xdr:from>
    <xdr:to>
      <xdr:col>34</xdr:col>
      <xdr:colOff>150811</xdr:colOff>
      <xdr:row>18</xdr:row>
      <xdr:rowOff>41477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2D2CA41-077C-49D2-B0CC-EA2FBE6AC2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574302</xdr:colOff>
      <xdr:row>20</xdr:row>
      <xdr:rowOff>9525</xdr:rowOff>
    </xdr:from>
    <xdr:to>
      <xdr:col>6</xdr:col>
      <xdr:colOff>88446</xdr:colOff>
      <xdr:row>35</xdr:row>
      <xdr:rowOff>63313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AB325C-4386-9281-0F3F-2D7BD2FA2A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519874</xdr:colOff>
      <xdr:row>20</xdr:row>
      <xdr:rowOff>18810</xdr:rowOff>
    </xdr:from>
    <xdr:to>
      <xdr:col>13</xdr:col>
      <xdr:colOff>598315</xdr:colOff>
      <xdr:row>35</xdr:row>
      <xdr:rowOff>72598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7CA7AE-6847-410C-8BA6-903DF2EBBA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683315</xdr:colOff>
      <xdr:row>20</xdr:row>
      <xdr:rowOff>34511</xdr:rowOff>
    </xdr:from>
    <xdr:to>
      <xdr:col>19</xdr:col>
      <xdr:colOff>409746</xdr:colOff>
      <xdr:row>35</xdr:row>
      <xdr:rowOff>88299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967CE2-6E77-4488-AFDA-C4EDB33BD4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360352</xdr:colOff>
      <xdr:row>36</xdr:row>
      <xdr:rowOff>149829</xdr:rowOff>
    </xdr:from>
    <xdr:to>
      <xdr:col>14</xdr:col>
      <xdr:colOff>538970</xdr:colOff>
      <xdr:row>53</xdr:row>
      <xdr:rowOff>59743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A1A47F-1E42-4941-9F83-DE9CA391C7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475229</xdr:colOff>
      <xdr:row>3</xdr:row>
      <xdr:rowOff>28575</xdr:rowOff>
    </xdr:from>
    <xdr:to>
      <xdr:col>33</xdr:col>
      <xdr:colOff>546666</xdr:colOff>
      <xdr:row>18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85ADFA5-B094-7F30-B25B-D33E029B33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34</xdr:col>
      <xdr:colOff>395968</xdr:colOff>
      <xdr:row>3</xdr:row>
      <xdr:rowOff>17689</xdr:rowOff>
    </xdr:from>
    <xdr:to>
      <xdr:col>41</xdr:col>
      <xdr:colOff>467405</xdr:colOff>
      <xdr:row>18</xdr:row>
      <xdr:rowOff>46264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7C18270-39AD-4907-9755-C2BD9507FD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30</xdr:col>
      <xdr:colOff>387802</xdr:colOff>
      <xdr:row>20</xdr:row>
      <xdr:rowOff>74840</xdr:rowOff>
    </xdr:from>
    <xdr:to>
      <xdr:col>37</xdr:col>
      <xdr:colOff>459239</xdr:colOff>
      <xdr:row>35</xdr:row>
      <xdr:rowOff>103414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8E313C3-5E99-4E53-8C05-831B309C4C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42854-F9EF-4F51-930F-1924F1359A8C}">
  <dimension ref="B2:Z42"/>
  <sheetViews>
    <sheetView tabSelected="1" topLeftCell="K5" zoomScale="96" zoomScaleNormal="200" workbookViewId="0">
      <selection activeCell="W23" sqref="W23"/>
    </sheetView>
  </sheetViews>
  <sheetFormatPr defaultColWidth="9" defaultRowHeight="14.25" x14ac:dyDescent="0.45"/>
  <cols>
    <col min="1" max="1" width="9" style="1"/>
    <col min="2" max="2" width="10.1328125" style="1" customWidth="1"/>
    <col min="3" max="3" width="9" style="1"/>
    <col min="4" max="5" width="9.1328125" style="1" bestFit="1" customWidth="1"/>
    <col min="6" max="6" width="12.33203125" style="1" customWidth="1"/>
    <col min="7" max="7" width="9" style="1" customWidth="1"/>
    <col min="8" max="8" width="9.1328125" style="1" customWidth="1"/>
    <col min="9" max="10" width="7.1328125" style="1" customWidth="1"/>
    <col min="11" max="11" width="4" style="1" customWidth="1"/>
    <col min="12" max="12" width="8.1328125" style="1" customWidth="1"/>
    <col min="13" max="13" width="12.1328125" style="1" customWidth="1"/>
    <col min="14" max="14" width="11.1328125" style="1" customWidth="1"/>
    <col min="15" max="15" width="9.33203125" style="1" bestFit="1" customWidth="1"/>
    <col min="16" max="16384" width="9" style="1"/>
  </cols>
  <sheetData>
    <row r="2" spans="2:26" x14ac:dyDescent="0.45">
      <c r="B2" s="24" t="s">
        <v>16</v>
      </c>
      <c r="C2" s="24"/>
      <c r="D2" s="24"/>
      <c r="E2" s="24"/>
      <c r="F2" s="24"/>
      <c r="G2" s="24"/>
      <c r="H2" s="24"/>
      <c r="I2" s="24"/>
      <c r="J2" s="24"/>
      <c r="K2" s="2"/>
      <c r="L2" s="24" t="s">
        <v>11</v>
      </c>
      <c r="M2" s="24"/>
      <c r="N2" s="24"/>
      <c r="O2" s="24"/>
      <c r="Q2" s="24" t="s">
        <v>44</v>
      </c>
      <c r="R2" s="24"/>
      <c r="S2" s="24"/>
      <c r="T2" s="24"/>
      <c r="U2" s="24"/>
      <c r="V2" s="24"/>
      <c r="X2" s="24" t="s">
        <v>43</v>
      </c>
      <c r="Y2" s="24"/>
      <c r="Z2" s="24"/>
    </row>
    <row r="3" spans="2:26" x14ac:dyDescent="0.45">
      <c r="B3" s="6" t="s">
        <v>9</v>
      </c>
      <c r="C3" s="6" t="s">
        <v>0</v>
      </c>
      <c r="D3" s="6" t="s">
        <v>19</v>
      </c>
      <c r="E3" s="6" t="s">
        <v>20</v>
      </c>
      <c r="F3" s="6" t="s">
        <v>22</v>
      </c>
      <c r="G3" s="6" t="s">
        <v>23</v>
      </c>
      <c r="H3" s="6" t="s">
        <v>11</v>
      </c>
      <c r="I3" s="7" t="s">
        <v>12</v>
      </c>
      <c r="J3" s="7" t="s">
        <v>13</v>
      </c>
      <c r="K3" s="2"/>
      <c r="L3" s="6" t="s">
        <v>18</v>
      </c>
      <c r="M3" s="6" t="s">
        <v>24</v>
      </c>
      <c r="N3" s="6" t="s">
        <v>25</v>
      </c>
      <c r="O3" s="6" t="s">
        <v>11</v>
      </c>
      <c r="Q3" s="6" t="s">
        <v>26</v>
      </c>
      <c r="R3" s="6" t="s">
        <v>27</v>
      </c>
      <c r="S3" s="6" t="s">
        <v>28</v>
      </c>
      <c r="T3" s="6" t="s">
        <v>29</v>
      </c>
      <c r="U3" s="6" t="s">
        <v>30</v>
      </c>
      <c r="V3" s="6" t="s">
        <v>31</v>
      </c>
      <c r="X3" s="7" t="s">
        <v>13</v>
      </c>
      <c r="Y3" s="6" t="s">
        <v>11</v>
      </c>
      <c r="Z3" s="6" t="s">
        <v>31</v>
      </c>
    </row>
    <row r="4" spans="2:26" x14ac:dyDescent="0.45">
      <c r="B4" s="2" t="s">
        <v>14</v>
      </c>
      <c r="C4" s="2" t="s">
        <v>14</v>
      </c>
      <c r="D4" s="2" t="s">
        <v>8</v>
      </c>
      <c r="E4" s="2" t="s">
        <v>21</v>
      </c>
      <c r="F4" s="2" t="s">
        <v>8</v>
      </c>
      <c r="G4" s="2" t="s">
        <v>8</v>
      </c>
      <c r="H4" s="2" t="s">
        <v>17</v>
      </c>
      <c r="I4" s="5" t="s">
        <v>15</v>
      </c>
      <c r="J4" s="5" t="s">
        <v>15</v>
      </c>
      <c r="K4" s="2"/>
      <c r="L4" s="2" t="s">
        <v>8</v>
      </c>
      <c r="M4" s="2" t="s">
        <v>8</v>
      </c>
      <c r="N4" s="2" t="s">
        <v>8</v>
      </c>
      <c r="O4" s="2" t="s">
        <v>17</v>
      </c>
      <c r="Q4" s="2" t="s">
        <v>32</v>
      </c>
      <c r="R4" s="2" t="s">
        <v>32</v>
      </c>
      <c r="S4" s="2" t="s">
        <v>32</v>
      </c>
      <c r="T4" s="2" t="s">
        <v>32</v>
      </c>
      <c r="U4" s="2" t="s">
        <v>32</v>
      </c>
      <c r="V4" s="2" t="s">
        <v>32</v>
      </c>
      <c r="X4" s="21" t="s">
        <v>15</v>
      </c>
      <c r="Y4" s="4" t="s">
        <v>17</v>
      </c>
      <c r="Z4" s="4" t="s">
        <v>32</v>
      </c>
    </row>
    <row r="5" spans="2:26" x14ac:dyDescent="0.45">
      <c r="B5" s="4" t="s">
        <v>10</v>
      </c>
      <c r="C5" s="4" t="s">
        <v>5</v>
      </c>
      <c r="D5" s="4">
        <v>3577</v>
      </c>
      <c r="E5" s="3">
        <v>939.61803067669177</v>
      </c>
      <c r="F5" s="4">
        <v>5493.2</v>
      </c>
      <c r="G5" s="4">
        <f>F5-D5</f>
        <v>1916.1999999999998</v>
      </c>
      <c r="H5" s="9">
        <f>O5</f>
        <v>7.6316350458324425E-2</v>
      </c>
      <c r="I5" s="4">
        <f>G5/E5</f>
        <v>2.0393393245338167</v>
      </c>
      <c r="J5" s="4">
        <f>I5/(1+H5)</f>
        <v>1.8947397051669903</v>
      </c>
      <c r="K5" s="2"/>
      <c r="L5" s="4">
        <v>18.78</v>
      </c>
      <c r="M5" s="4">
        <v>69.27</v>
      </c>
      <c r="N5" s="4">
        <v>65.69</v>
      </c>
      <c r="O5" s="8">
        <f>((M5-L5)-(N5-L5))/(N5-L5)</f>
        <v>7.6316350458324425E-2</v>
      </c>
      <c r="Q5" s="16">
        <v>2.5586437235105564E-3</v>
      </c>
      <c r="R5" s="16">
        <v>2.4023906716941212E-3</v>
      </c>
      <c r="S5" s="16">
        <v>2.597706986463777E-3</v>
      </c>
      <c r="T5" s="16">
        <v>2.5391120920374988E-3</v>
      </c>
      <c r="U5" s="16">
        <v>2.5586437235105564E-3</v>
      </c>
      <c r="V5" s="22">
        <f>AVERAGE(Q5:U5)</f>
        <v>2.5312994394433019E-3</v>
      </c>
      <c r="X5" s="3">
        <f>J5</f>
        <v>1.8947397051669903</v>
      </c>
      <c r="Y5" s="18">
        <f>O5</f>
        <v>7.6316350458324425E-2</v>
      </c>
      <c r="Z5" s="3">
        <f>V5</f>
        <v>2.5312994394433019E-3</v>
      </c>
    </row>
    <row r="6" spans="2:26" x14ac:dyDescent="0.45">
      <c r="B6" s="4" t="s">
        <v>10</v>
      </c>
      <c r="C6" s="4" t="s">
        <v>6</v>
      </c>
      <c r="D6" s="4">
        <v>3550.8</v>
      </c>
      <c r="E6" s="3">
        <v>939.61803067669177</v>
      </c>
      <c r="F6" s="4">
        <v>5543.4</v>
      </c>
      <c r="G6" s="4">
        <f t="shared" ref="G6:G20" si="0">F6-D6</f>
        <v>1992.5999999999995</v>
      </c>
      <c r="H6" s="9">
        <f t="shared" ref="H6:H20" si="1">O6</f>
        <v>9.6030729833546741E-2</v>
      </c>
      <c r="I6" s="4">
        <f t="shared" ref="I6:I20" si="2">G6/E6</f>
        <v>2.1206489604770291</v>
      </c>
      <c r="J6" s="4">
        <f t="shared" ref="J6:J20" si="3">I6/(1+H6)</f>
        <v>1.9348444370707474</v>
      </c>
      <c r="K6" s="2"/>
      <c r="L6" s="4">
        <v>17.87</v>
      </c>
      <c r="M6" s="4">
        <v>60.67</v>
      </c>
      <c r="N6" s="4">
        <v>56.92</v>
      </c>
      <c r="O6" s="8">
        <f>((M6-L6)-(N6-L6))/(N6-L6)</f>
        <v>9.6030729833546741E-2</v>
      </c>
      <c r="Q6" s="16">
        <v>2.031289673626091E-3</v>
      </c>
      <c r="R6" s="16">
        <v>1.8945682532844899E-3</v>
      </c>
      <c r="S6" s="16">
        <v>1.8750366218114323E-3</v>
      </c>
      <c r="T6" s="16">
        <v>1.8945682532915953E-3</v>
      </c>
      <c r="U6" s="16">
        <v>1.8945682532915953E-3</v>
      </c>
      <c r="V6" s="22">
        <f t="shared" ref="V6:V20" si="4">AVERAGE(Q6:U6)</f>
        <v>1.9180062110610407E-3</v>
      </c>
      <c r="X6" s="3">
        <f>J6</f>
        <v>1.9348444370707474</v>
      </c>
      <c r="Y6" s="18">
        <f>O6</f>
        <v>9.6030729833546741E-2</v>
      </c>
      <c r="Z6" s="3">
        <f t="shared" ref="Z6:Z19" si="5">V6</f>
        <v>1.9180062110610407E-3</v>
      </c>
    </row>
    <row r="7" spans="2:26" x14ac:dyDescent="0.45">
      <c r="B7" s="4" t="s">
        <v>10</v>
      </c>
      <c r="C7" s="4" t="s">
        <v>7</v>
      </c>
      <c r="D7" s="4">
        <v>3564.6</v>
      </c>
      <c r="E7" s="3">
        <v>939.61803067669177</v>
      </c>
      <c r="F7" s="4">
        <v>5632.8</v>
      </c>
      <c r="G7" s="4">
        <f t="shared" si="0"/>
        <v>2068.2000000000003</v>
      </c>
      <c r="H7" s="9">
        <f t="shared" si="1"/>
        <v>0.11954206602768888</v>
      </c>
      <c r="I7" s="4">
        <f t="shared" si="2"/>
        <v>2.2011071866197898</v>
      </c>
      <c r="J7" s="4">
        <f t="shared" si="3"/>
        <v>1.9660781433873795</v>
      </c>
      <c r="K7" s="2"/>
      <c r="L7" s="4">
        <v>17.45</v>
      </c>
      <c r="M7" s="4">
        <v>59.5</v>
      </c>
      <c r="N7" s="4">
        <v>55.01</v>
      </c>
      <c r="O7" s="8">
        <f>((M7-L7)-(N7-L7))/(N7-L7)</f>
        <v>0.11954206602768888</v>
      </c>
      <c r="Q7" s="16">
        <v>2.1680110939659158E-3</v>
      </c>
      <c r="R7" s="16">
        <v>2.1875427254443025E-3</v>
      </c>
      <c r="S7" s="16">
        <v>2.1094161995343086E-3</v>
      </c>
      <c r="T7" s="16">
        <v>2.1094161995378613E-3</v>
      </c>
      <c r="U7" s="16">
        <v>2.0898845680576983E-3</v>
      </c>
      <c r="V7" s="22">
        <f t="shared" si="4"/>
        <v>2.1328541573080173E-3</v>
      </c>
      <c r="X7" s="3">
        <f>J7</f>
        <v>1.9660781433873795</v>
      </c>
      <c r="Y7" s="18">
        <f>O7</f>
        <v>0.11954206602768888</v>
      </c>
      <c r="Z7" s="3">
        <f t="shared" si="5"/>
        <v>2.1328541573080173E-3</v>
      </c>
    </row>
    <row r="8" spans="2:26" x14ac:dyDescent="0.45">
      <c r="B8" s="4" t="s">
        <v>10</v>
      </c>
      <c r="C8" s="4" t="s">
        <v>34</v>
      </c>
      <c r="D8" s="4">
        <v>3595.2</v>
      </c>
      <c r="E8" s="3">
        <v>939.61803067669177</v>
      </c>
      <c r="F8" s="4">
        <v>5676.8</v>
      </c>
      <c r="G8" s="4">
        <f>F8-D8</f>
        <v>2081.6000000000004</v>
      </c>
      <c r="H8" s="9">
        <f t="shared" si="1"/>
        <v>0.13162271323354713</v>
      </c>
      <c r="I8" s="4">
        <f t="shared" si="2"/>
        <v>2.215368300777369</v>
      </c>
      <c r="J8" s="4">
        <f t="shared" si="3"/>
        <v>1.9576916183018995</v>
      </c>
      <c r="K8" s="2"/>
      <c r="L8" s="4">
        <v>17.899999999999999</v>
      </c>
      <c r="M8" s="4">
        <v>65.53</v>
      </c>
      <c r="N8" s="4">
        <v>59.99</v>
      </c>
      <c r="O8" s="8">
        <f>((M8-L8)-(N8-L8))/(N8-L8)</f>
        <v>0.13162271323354713</v>
      </c>
      <c r="Q8" s="16">
        <v>2.7148967753269915E-3</v>
      </c>
      <c r="R8" s="16">
        <v>2.6367702494169976E-3</v>
      </c>
      <c r="S8" s="16">
        <v>2.597706986463777E-3</v>
      </c>
      <c r="T8" s="16">
        <v>2.5781753549836139E-3</v>
      </c>
      <c r="U8" s="16">
        <v>2.636770249424103E-3</v>
      </c>
      <c r="V8" s="22">
        <f t="shared" si="4"/>
        <v>2.6328639231230967E-3</v>
      </c>
      <c r="X8" s="3">
        <f>J8</f>
        <v>1.9576916183018995</v>
      </c>
      <c r="Y8" s="18">
        <f>O8</f>
        <v>0.13162271323354713</v>
      </c>
      <c r="Z8" s="3">
        <f t="shared" si="5"/>
        <v>2.6328639231230967E-3</v>
      </c>
    </row>
    <row r="9" spans="2:26" x14ac:dyDescent="0.45">
      <c r="B9" s="4" t="s">
        <v>10</v>
      </c>
      <c r="C9" s="4" t="s">
        <v>5</v>
      </c>
      <c r="D9" s="4">
        <v>3577</v>
      </c>
      <c r="E9" s="3">
        <v>939.61803067669177</v>
      </c>
      <c r="F9" s="4">
        <v>5614.8</v>
      </c>
      <c r="G9" s="4">
        <f>F9-D9</f>
        <v>2037.8000000000002</v>
      </c>
      <c r="H9" s="9">
        <f>O9</f>
        <v>0.14385679414157856</v>
      </c>
      <c r="I9" s="4">
        <f>G9/E9</f>
        <v>2.1687536142025952</v>
      </c>
      <c r="J9" s="4">
        <f>I9/(1+H9)</f>
        <v>1.8960009900803738</v>
      </c>
      <c r="K9" s="2"/>
      <c r="L9" s="4">
        <v>19.11</v>
      </c>
      <c r="M9" s="4">
        <v>89.4</v>
      </c>
      <c r="N9" s="4">
        <v>80.56</v>
      </c>
      <c r="O9" s="8">
        <f>((M9-L9)-(N9-L9))/(N9-L9)</f>
        <v>0.14385679414157856</v>
      </c>
      <c r="Q9" s="16">
        <v>2.0898845680576983E-3</v>
      </c>
      <c r="R9" s="16">
        <v>2.0508213051044777E-3</v>
      </c>
      <c r="S9" s="16">
        <v>2.0117580421512571E-3</v>
      </c>
      <c r="T9" s="16">
        <v>2.0703529365775353E-3</v>
      </c>
      <c r="U9" s="16">
        <v>2.0508213051044777E-3</v>
      </c>
      <c r="V9" s="22">
        <f t="shared" si="4"/>
        <v>2.0547276313990894E-3</v>
      </c>
      <c r="X9" s="3">
        <f>J9</f>
        <v>1.8960009900803738</v>
      </c>
      <c r="Y9" s="18">
        <f>O9</f>
        <v>0.14385679414157856</v>
      </c>
      <c r="Z9" s="3">
        <f t="shared" ref="Z9" si="6">V9</f>
        <v>2.0547276313990894E-3</v>
      </c>
    </row>
    <row r="10" spans="2:26" x14ac:dyDescent="0.45">
      <c r="B10" s="2"/>
      <c r="C10" s="2"/>
      <c r="D10" s="2"/>
      <c r="F10" s="2"/>
      <c r="G10" s="2"/>
      <c r="H10" s="11"/>
      <c r="I10" s="2"/>
      <c r="J10" s="2"/>
      <c r="K10" s="2"/>
      <c r="L10" s="2"/>
      <c r="M10" s="2"/>
      <c r="N10" s="2"/>
      <c r="O10" s="12"/>
      <c r="X10" s="3"/>
      <c r="Y10" s="18"/>
      <c r="Z10" s="3"/>
    </row>
    <row r="11" spans="2:26" x14ac:dyDescent="0.45">
      <c r="B11" s="4" t="s">
        <v>33</v>
      </c>
      <c r="C11" s="4" t="s">
        <v>1</v>
      </c>
      <c r="D11" s="4">
        <v>3579</v>
      </c>
      <c r="E11" s="3">
        <v>939.61803067669177</v>
      </c>
      <c r="F11" s="4">
        <v>5582.2</v>
      </c>
      <c r="G11" s="4">
        <f t="shared" si="0"/>
        <v>2003.1999999999998</v>
      </c>
      <c r="H11" s="9">
        <f t="shared" si="1"/>
        <v>5.7142857142856933E-2</v>
      </c>
      <c r="I11" s="4">
        <f t="shared" si="2"/>
        <v>2.1319301403330249</v>
      </c>
      <c r="J11" s="4">
        <f t="shared" si="3"/>
        <v>2.016690673287997</v>
      </c>
      <c r="K11" s="2"/>
      <c r="L11" s="4">
        <v>18.989999999999998</v>
      </c>
      <c r="M11" s="4">
        <v>52.29</v>
      </c>
      <c r="N11" s="4">
        <v>50.49</v>
      </c>
      <c r="O11" s="10">
        <f>((M11-L11)-(N11-L11))/(N11-L11)</f>
        <v>5.7142857142856933E-2</v>
      </c>
      <c r="Q11" s="16">
        <v>1.8555049903317133E-3</v>
      </c>
      <c r="R11" s="16">
        <v>1.6015937811282299E-3</v>
      </c>
      <c r="S11" s="16">
        <v>1.5625305181750093E-3</v>
      </c>
      <c r="T11" s="16">
        <v>1.503935623738073E-3</v>
      </c>
      <c r="U11" s="16">
        <v>1.523467255218236E-3</v>
      </c>
      <c r="V11" s="22">
        <f t="shared" si="4"/>
        <v>1.6094064337182524E-3</v>
      </c>
      <c r="X11" s="3">
        <f>J11</f>
        <v>2.016690673287997</v>
      </c>
      <c r="Y11" s="18">
        <f>O11</f>
        <v>5.7142857142856933E-2</v>
      </c>
      <c r="Z11" s="3">
        <f t="shared" si="5"/>
        <v>1.6094064337182524E-3</v>
      </c>
    </row>
    <row r="12" spans="2:26" x14ac:dyDescent="0.45">
      <c r="B12" s="4" t="s">
        <v>33</v>
      </c>
      <c r="C12" s="4" t="s">
        <v>2</v>
      </c>
      <c r="D12" s="4">
        <v>3573.4</v>
      </c>
      <c r="E12" s="3">
        <v>939.61803067669177</v>
      </c>
      <c r="F12" s="4">
        <v>5629.4</v>
      </c>
      <c r="G12" s="4">
        <f t="shared" si="0"/>
        <v>2055.9999999999995</v>
      </c>
      <c r="H12" s="9">
        <f t="shared" si="1"/>
        <v>6.9455103607060725E-2</v>
      </c>
      <c r="I12" s="4">
        <f t="shared" si="2"/>
        <v>2.1881231871628883</v>
      </c>
      <c r="J12" s="4">
        <f t="shared" si="3"/>
        <v>2.0460168732495467</v>
      </c>
      <c r="K12" s="2"/>
      <c r="L12" s="4">
        <v>16.7</v>
      </c>
      <c r="M12" s="4">
        <v>44.57</v>
      </c>
      <c r="N12" s="4">
        <v>42.76</v>
      </c>
      <c r="O12" s="10">
        <f>((M12-L12)-(N12-L12))/(N12-L12)</f>
        <v>6.9455103607060725E-2</v>
      </c>
      <c r="Q12" s="16">
        <v>1.4844039922654595E-3</v>
      </c>
      <c r="R12" s="16">
        <v>1.3281509404468039E-3</v>
      </c>
      <c r="S12" s="16">
        <v>1.2890876774953597E-3</v>
      </c>
      <c r="T12" s="16">
        <v>1.3672142034018009E-3</v>
      </c>
      <c r="U12" s="16">
        <v>1.289087677491807E-3</v>
      </c>
      <c r="V12" s="22">
        <f t="shared" si="4"/>
        <v>1.3515888982202461E-3</v>
      </c>
      <c r="X12" s="3">
        <f>J12</f>
        <v>2.0460168732495467</v>
      </c>
      <c r="Y12" s="18">
        <f>O12</f>
        <v>6.9455103607060725E-2</v>
      </c>
      <c r="Z12" s="3">
        <f t="shared" si="5"/>
        <v>1.3515888982202461E-3</v>
      </c>
    </row>
    <row r="13" spans="2:26" x14ac:dyDescent="0.45">
      <c r="B13" s="4" t="s">
        <v>33</v>
      </c>
      <c r="C13" s="4" t="s">
        <v>3</v>
      </c>
      <c r="D13" s="4">
        <v>3555.8</v>
      </c>
      <c r="E13" s="3">
        <v>939.61803067669177</v>
      </c>
      <c r="F13" s="4">
        <v>5668</v>
      </c>
      <c r="G13" s="4">
        <f t="shared" si="0"/>
        <v>2112.1999999999998</v>
      </c>
      <c r="H13" s="9">
        <f t="shared" si="1"/>
        <v>9.3951093951094009E-2</v>
      </c>
      <c r="I13" s="4">
        <f t="shared" si="2"/>
        <v>2.2479347256446758</v>
      </c>
      <c r="J13" s="4">
        <f t="shared" si="3"/>
        <v>2.054876802148133</v>
      </c>
      <c r="K13" s="2"/>
      <c r="L13" s="4">
        <v>17.649999999999999</v>
      </c>
      <c r="M13" s="4">
        <v>51.65</v>
      </c>
      <c r="N13" s="4">
        <v>48.73</v>
      </c>
      <c r="O13" s="10">
        <f>((M13-L13)-(N13-L13))/(N13-L13)</f>
        <v>9.3951093951094009E-2</v>
      </c>
      <c r="Q13" s="16">
        <v>1.3281509404468039E-3</v>
      </c>
      <c r="R13" s="16">
        <v>1.30861930897197E-3</v>
      </c>
      <c r="S13" s="16">
        <v>1.30861930897197E-3</v>
      </c>
      <c r="T13" s="16">
        <v>1.30861930897197E-3</v>
      </c>
      <c r="U13" s="16">
        <v>1.30861930897197E-3</v>
      </c>
      <c r="V13" s="22">
        <f>AVERAGE(Q13:U13)</f>
        <v>1.3125256352669369E-3</v>
      </c>
      <c r="X13" s="3">
        <f>J13</f>
        <v>2.054876802148133</v>
      </c>
      <c r="Y13" s="18">
        <f>O13</f>
        <v>9.3951093951094009E-2</v>
      </c>
      <c r="Z13" s="3">
        <f t="shared" si="5"/>
        <v>1.3125256352669369E-3</v>
      </c>
    </row>
    <row r="14" spans="2:26" x14ac:dyDescent="0.45">
      <c r="B14" s="4" t="s">
        <v>33</v>
      </c>
      <c r="C14" s="4" t="s">
        <v>4</v>
      </c>
      <c r="D14" s="4">
        <v>3981.6</v>
      </c>
      <c r="E14" s="3">
        <v>939.61803067669177</v>
      </c>
      <c r="F14" s="4">
        <v>6126</v>
      </c>
      <c r="G14" s="4">
        <f t="shared" si="0"/>
        <v>2144.4</v>
      </c>
      <c r="H14" s="9">
        <f t="shared" si="1"/>
        <v>0.10994263862332682</v>
      </c>
      <c r="I14" s="4">
        <f t="shared" si="2"/>
        <v>2.2822039701128887</v>
      </c>
      <c r="J14" s="4">
        <f t="shared" si="3"/>
        <v>2.0561458679914573</v>
      </c>
      <c r="K14" s="2"/>
      <c r="L14" s="4">
        <v>18.57</v>
      </c>
      <c r="M14" s="4">
        <v>53.4</v>
      </c>
      <c r="N14" s="4">
        <v>49.95</v>
      </c>
      <c r="O14" s="10">
        <f>((M14-L14)-(N14-L14))/(N14-L14)</f>
        <v>0.10994263862332682</v>
      </c>
      <c r="Q14" s="16">
        <v>2.3633274087373479E-3</v>
      </c>
      <c r="R14" s="16">
        <v>2.3242641457841273E-3</v>
      </c>
      <c r="S14" s="16">
        <v>2.2266059883975231E-3</v>
      </c>
      <c r="T14" s="16">
        <v>2.2852008828380121E-3</v>
      </c>
      <c r="U14" s="16">
        <v>2.2461376198776861E-3</v>
      </c>
      <c r="V14" s="22">
        <f t="shared" si="4"/>
        <v>2.2891072091269392E-3</v>
      </c>
      <c r="X14" s="3">
        <f>J14</f>
        <v>2.0561458679914573</v>
      </c>
      <c r="Y14" s="18">
        <f>O14</f>
        <v>0.10994263862332682</v>
      </c>
      <c r="Z14" s="3">
        <f t="shared" si="5"/>
        <v>2.2891072091269392E-3</v>
      </c>
    </row>
    <row r="15" spans="2:26" x14ac:dyDescent="0.45">
      <c r="B15" s="4" t="s">
        <v>33</v>
      </c>
      <c r="C15" s="4" t="s">
        <v>6</v>
      </c>
      <c r="D15" s="4">
        <v>3580.8</v>
      </c>
      <c r="E15" s="3">
        <v>939.61803067669177</v>
      </c>
      <c r="F15" s="4">
        <v>5682</v>
      </c>
      <c r="G15" s="4">
        <f t="shared" ref="G15" si="7">F15-D15</f>
        <v>2101.1999999999998</v>
      </c>
      <c r="H15" s="9">
        <f t="shared" ref="H15" si="8">O15</f>
        <v>0.15466961978589905</v>
      </c>
      <c r="I15" s="4">
        <f t="shared" ref="I15" si="9">G15/E15</f>
        <v>2.2362278408884544</v>
      </c>
      <c r="J15" s="4">
        <f t="shared" ref="J15" si="10">I15/(1+H15)</f>
        <v>1.9366819760124112</v>
      </c>
      <c r="K15" s="2"/>
      <c r="L15" s="4">
        <v>16.64</v>
      </c>
      <c r="M15" s="4">
        <v>79.2</v>
      </c>
      <c r="N15" s="4">
        <v>70.819999999999993</v>
      </c>
      <c r="O15" s="8">
        <f>((M15-L15)-(N15-L15))/(N15-L15)</f>
        <v>0.15466961978589905</v>
      </c>
      <c r="Q15" s="16">
        <v>2.8516181956677045E-3</v>
      </c>
      <c r="R15" s="16">
        <v>2.7344284068071545E-3</v>
      </c>
      <c r="S15" s="16">
        <v>2.61723861794394E-3</v>
      </c>
      <c r="T15" s="16">
        <v>2.6758335123702182E-3</v>
      </c>
      <c r="U15" s="16">
        <v>2.7344284068036018E-3</v>
      </c>
      <c r="V15" s="22">
        <f t="shared" si="4"/>
        <v>2.7227094279185238E-3</v>
      </c>
      <c r="X15" s="3">
        <f>J15</f>
        <v>1.9366819760124112</v>
      </c>
      <c r="Y15" s="18">
        <f>O15</f>
        <v>0.15466961978589905</v>
      </c>
      <c r="Z15" s="3">
        <f t="shared" ref="Z15" si="11">V15</f>
        <v>2.7227094279185238E-3</v>
      </c>
    </row>
    <row r="16" spans="2:26" x14ac:dyDescent="0.45">
      <c r="X16" s="3"/>
      <c r="Y16" s="18"/>
      <c r="Z16" s="3"/>
    </row>
    <row r="17" spans="2:26" x14ac:dyDescent="0.45">
      <c r="B17" s="4" t="s">
        <v>35</v>
      </c>
      <c r="C17" s="4" t="s">
        <v>1</v>
      </c>
      <c r="D17" s="4">
        <v>3579</v>
      </c>
      <c r="E17" s="3">
        <v>939.61803067669177</v>
      </c>
      <c r="F17" s="4">
        <v>5621</v>
      </c>
      <c r="G17" s="4">
        <f t="shared" si="0"/>
        <v>2042</v>
      </c>
      <c r="H17" s="9">
        <f t="shared" si="1"/>
        <v>4.5409015025041716E-2</v>
      </c>
      <c r="I17" s="4">
        <f t="shared" si="2"/>
        <v>2.1732235156549704</v>
      </c>
      <c r="J17" s="4">
        <f t="shared" si="3"/>
        <v>2.0788260713467381</v>
      </c>
      <c r="L17" s="4">
        <v>15.98</v>
      </c>
      <c r="M17" s="4">
        <v>47.29</v>
      </c>
      <c r="N17" s="4">
        <v>45.93</v>
      </c>
      <c r="O17" s="10">
        <f>((M17-L17)-(N17-L17))/(N17-L17)</f>
        <v>4.5409015025041716E-2</v>
      </c>
      <c r="Q17" s="16">
        <v>2.0312896736278674E-3</v>
      </c>
      <c r="R17" s="16">
        <v>1.9922264106710941E-3</v>
      </c>
      <c r="S17" s="16">
        <v>2.3047325143039643E-3</v>
      </c>
      <c r="T17" s="16">
        <v>2.3047325143039643E-3</v>
      </c>
      <c r="U17" s="16">
        <v>2.3242641457841273E-3</v>
      </c>
      <c r="V17" s="22">
        <f t="shared" si="4"/>
        <v>2.1914490517382034E-3</v>
      </c>
      <c r="X17" s="3">
        <f>J17</f>
        <v>2.0788260713467381</v>
      </c>
      <c r="Y17" s="18">
        <f>O17</f>
        <v>4.5409015025041716E-2</v>
      </c>
      <c r="Z17" s="3">
        <f t="shared" si="5"/>
        <v>2.1914490517382034E-3</v>
      </c>
    </row>
    <row r="18" spans="2:26" x14ac:dyDescent="0.45">
      <c r="B18" s="4" t="s">
        <v>35</v>
      </c>
      <c r="C18" s="4" t="s">
        <v>2</v>
      </c>
      <c r="D18" s="4">
        <v>3543.4</v>
      </c>
      <c r="E18" s="3">
        <v>939.61803067669177</v>
      </c>
      <c r="F18" s="4">
        <v>5694.2</v>
      </c>
      <c r="G18" s="4">
        <f t="shared" si="0"/>
        <v>2150.7999999999997</v>
      </c>
      <c r="H18" s="9">
        <f t="shared" si="1"/>
        <v>7.8056951423785534E-2</v>
      </c>
      <c r="I18" s="4">
        <f t="shared" si="2"/>
        <v>2.2890152485165083</v>
      </c>
      <c r="J18" s="4">
        <f t="shared" si="3"/>
        <v>2.1232785944132311</v>
      </c>
      <c r="L18" s="4">
        <v>23.21</v>
      </c>
      <c r="M18" s="4">
        <v>55.39</v>
      </c>
      <c r="N18" s="4">
        <v>53.06</v>
      </c>
      <c r="O18" s="10">
        <f t="shared" ref="O18:O20" si="12">((M18-L18)-(N18-L18))/(N18-L18)</f>
        <v>7.8056951423785534E-2</v>
      </c>
      <c r="Q18" s="16">
        <v>1.6797203070373357E-3</v>
      </c>
      <c r="R18" s="16">
        <v>1.5234672552217887E-3</v>
      </c>
      <c r="S18" s="16">
        <v>1.523467255218236E-3</v>
      </c>
      <c r="T18" s="16">
        <v>1.5039356237451784E-3</v>
      </c>
      <c r="U18" s="16">
        <v>1.5039356237309676E-3</v>
      </c>
      <c r="V18" s="22">
        <f t="shared" si="4"/>
        <v>1.5469052129907014E-3</v>
      </c>
      <c r="X18" s="3">
        <f>J18</f>
        <v>2.1232785944132311</v>
      </c>
      <c r="Y18" s="18">
        <f>O18</f>
        <v>7.8056951423785534E-2</v>
      </c>
      <c r="Z18" s="3">
        <f t="shared" si="5"/>
        <v>1.5469052129907014E-3</v>
      </c>
    </row>
    <row r="19" spans="2:26" x14ac:dyDescent="0.45">
      <c r="B19" s="4" t="s">
        <v>35</v>
      </c>
      <c r="C19" s="4" t="s">
        <v>3</v>
      </c>
      <c r="D19" s="4">
        <v>3555.8</v>
      </c>
      <c r="E19" s="3">
        <v>939.61803067669177</v>
      </c>
      <c r="F19" s="4">
        <v>5754.4</v>
      </c>
      <c r="G19" s="4">
        <f t="shared" si="0"/>
        <v>2198.5999999999995</v>
      </c>
      <c r="H19" s="9">
        <f t="shared" si="1"/>
        <v>9.9105071262843708E-2</v>
      </c>
      <c r="I19" s="4">
        <f t="shared" si="2"/>
        <v>2.3398869840935439</v>
      </c>
      <c r="J19" s="4">
        <f t="shared" si="3"/>
        <v>2.1289019997015148</v>
      </c>
      <c r="L19" s="4">
        <v>19.21</v>
      </c>
      <c r="M19" s="4">
        <v>52.37</v>
      </c>
      <c r="N19" s="4">
        <v>49.38</v>
      </c>
      <c r="O19" s="10">
        <f t="shared" si="12"/>
        <v>9.9105071262843708E-2</v>
      </c>
      <c r="Q19" s="16">
        <v>1.5234672552217887E-3</v>
      </c>
      <c r="R19" s="16">
        <v>1.5039356237416257E-3</v>
      </c>
      <c r="S19" s="16">
        <v>1.5039356237451784E-3</v>
      </c>
      <c r="T19" s="16">
        <v>1.503935623738073E-3</v>
      </c>
      <c r="U19" s="16">
        <v>1.5039356237451784E-3</v>
      </c>
      <c r="V19" s="22">
        <f t="shared" si="4"/>
        <v>1.5078419500383689E-3</v>
      </c>
      <c r="X19" s="3">
        <f>J19</f>
        <v>2.1289019997015148</v>
      </c>
      <c r="Y19" s="18">
        <f>O19</f>
        <v>9.9105071262843708E-2</v>
      </c>
      <c r="Z19" s="3">
        <f t="shared" si="5"/>
        <v>1.5078419500383689E-3</v>
      </c>
    </row>
    <row r="20" spans="2:26" x14ac:dyDescent="0.45">
      <c r="B20" s="4" t="s">
        <v>35</v>
      </c>
      <c r="C20" s="4" t="s">
        <v>4</v>
      </c>
      <c r="D20" s="4">
        <v>3981.6</v>
      </c>
      <c r="E20" s="3">
        <v>939.618030676692</v>
      </c>
      <c r="F20" s="4">
        <v>6144.8</v>
      </c>
      <c r="G20" s="4">
        <f t="shared" si="0"/>
        <v>2163.2000000000003</v>
      </c>
      <c r="H20" s="9">
        <f t="shared" si="1"/>
        <v>0.12471719457013565</v>
      </c>
      <c r="I20" s="4">
        <f t="shared" si="2"/>
        <v>2.3022121004235219</v>
      </c>
      <c r="J20" s="4">
        <f t="shared" si="3"/>
        <v>2.0469253173491508</v>
      </c>
      <c r="L20" s="4">
        <v>19.77</v>
      </c>
      <c r="M20" s="4">
        <v>59.54</v>
      </c>
      <c r="N20" s="4">
        <v>55.13</v>
      </c>
      <c r="O20" s="10">
        <f t="shared" si="12"/>
        <v>0.12471719457013565</v>
      </c>
      <c r="Q20" s="16">
        <v>2.3242641457841273E-3</v>
      </c>
      <c r="R20" s="16">
        <v>2.2461376198776861E-3</v>
      </c>
      <c r="S20" s="16">
        <v>2.2266059883975231E-3</v>
      </c>
      <c r="T20" s="16">
        <v>2.2656692513578491E-3</v>
      </c>
      <c r="U20" s="16">
        <v>2.2461376198776861E-3</v>
      </c>
      <c r="V20" s="22">
        <f t="shared" si="4"/>
        <v>2.2617629250589744E-3</v>
      </c>
      <c r="X20" s="3">
        <f>J20</f>
        <v>2.0469253173491508</v>
      </c>
      <c r="Y20" s="18">
        <f>O20</f>
        <v>0.12471719457013565</v>
      </c>
      <c r="Z20" s="3">
        <f t="shared" ref="Z20" si="13">V20</f>
        <v>2.2617629250589744E-3</v>
      </c>
    </row>
    <row r="41" spans="15:15" x14ac:dyDescent="0.45">
      <c r="O41" s="15"/>
    </row>
    <row r="42" spans="15:15" x14ac:dyDescent="0.45">
      <c r="O42" s="13"/>
    </row>
  </sheetData>
  <mergeCells count="4">
    <mergeCell ref="B2:J2"/>
    <mergeCell ref="L2:O2"/>
    <mergeCell ref="Q2:V2"/>
    <mergeCell ref="X2:Z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92D8F-1551-452B-8DFC-26D22F2365B9}">
  <dimension ref="B2:Z42"/>
  <sheetViews>
    <sheetView topLeftCell="F1" zoomScale="73" zoomScaleNormal="79" workbookViewId="0">
      <selection activeCell="W30" sqref="W30"/>
    </sheetView>
  </sheetViews>
  <sheetFormatPr defaultColWidth="9" defaultRowHeight="14.25" x14ac:dyDescent="0.45"/>
  <cols>
    <col min="1" max="1" width="9" style="1"/>
    <col min="2" max="2" width="10.1328125" style="1" customWidth="1"/>
    <col min="3" max="3" width="9" style="1"/>
    <col min="4" max="5" width="9.1328125" style="1" bestFit="1" customWidth="1"/>
    <col min="6" max="6" width="12.33203125" style="1" customWidth="1"/>
    <col min="7" max="7" width="9" style="1" customWidth="1"/>
    <col min="8" max="8" width="9.1328125" style="1" customWidth="1"/>
    <col min="9" max="10" width="7.1328125" style="1" customWidth="1"/>
    <col min="11" max="11" width="8.53125" style="1" customWidth="1"/>
    <col min="12" max="12" width="8.1328125" style="1" customWidth="1"/>
    <col min="13" max="13" width="12.1328125" style="1" customWidth="1"/>
    <col min="14" max="14" width="11.1328125" style="1" customWidth="1"/>
    <col min="15" max="15" width="9.33203125" style="1" bestFit="1" customWidth="1"/>
    <col min="16" max="16384" width="9" style="1"/>
  </cols>
  <sheetData>
    <row r="2" spans="2:26" x14ac:dyDescent="0.45">
      <c r="B2" s="24" t="s">
        <v>16</v>
      </c>
      <c r="C2" s="24"/>
      <c r="D2" s="24"/>
      <c r="E2" s="24"/>
      <c r="F2" s="24"/>
      <c r="G2" s="24"/>
      <c r="H2" s="24"/>
      <c r="I2" s="24"/>
      <c r="J2" s="24"/>
      <c r="K2" s="2"/>
      <c r="L2" s="24" t="s">
        <v>11</v>
      </c>
      <c r="M2" s="24"/>
      <c r="N2" s="24"/>
      <c r="O2" s="24"/>
      <c r="Q2" s="24" t="s">
        <v>44</v>
      </c>
      <c r="R2" s="24"/>
      <c r="S2" s="24"/>
      <c r="T2" s="24"/>
      <c r="U2" s="24"/>
      <c r="V2" s="24"/>
      <c r="X2" s="24" t="s">
        <v>42</v>
      </c>
      <c r="Y2" s="24"/>
      <c r="Z2" s="24"/>
    </row>
    <row r="3" spans="2:26" x14ac:dyDescent="0.45">
      <c r="B3" s="6" t="s">
        <v>9</v>
      </c>
      <c r="C3" s="6" t="s">
        <v>0</v>
      </c>
      <c r="D3" s="6" t="s">
        <v>19</v>
      </c>
      <c r="E3" s="6" t="s">
        <v>20</v>
      </c>
      <c r="F3" s="6" t="s">
        <v>22</v>
      </c>
      <c r="G3" s="6" t="s">
        <v>23</v>
      </c>
      <c r="H3" s="6" t="s">
        <v>11</v>
      </c>
      <c r="I3" s="7" t="s">
        <v>12</v>
      </c>
      <c r="J3" s="7" t="s">
        <v>13</v>
      </c>
      <c r="K3" s="2"/>
      <c r="L3" s="6" t="s">
        <v>18</v>
      </c>
      <c r="M3" s="6" t="s">
        <v>24</v>
      </c>
      <c r="N3" s="6" t="s">
        <v>25</v>
      </c>
      <c r="O3" s="6" t="s">
        <v>11</v>
      </c>
      <c r="Q3" s="6" t="s">
        <v>26</v>
      </c>
      <c r="R3" s="6" t="s">
        <v>27</v>
      </c>
      <c r="S3" s="6" t="s">
        <v>28</v>
      </c>
      <c r="T3" s="6" t="s">
        <v>29</v>
      </c>
      <c r="U3" s="6" t="s">
        <v>30</v>
      </c>
      <c r="V3" s="6" t="s">
        <v>31</v>
      </c>
      <c r="X3" s="7" t="s">
        <v>13</v>
      </c>
      <c r="Y3" s="6" t="s">
        <v>11</v>
      </c>
      <c r="Z3" s="6" t="s">
        <v>31</v>
      </c>
    </row>
    <row r="4" spans="2:26" x14ac:dyDescent="0.45">
      <c r="B4" s="2" t="s">
        <v>14</v>
      </c>
      <c r="C4" s="2" t="s">
        <v>14</v>
      </c>
      <c r="D4" s="2" t="s">
        <v>8</v>
      </c>
      <c r="E4" s="2" t="s">
        <v>21</v>
      </c>
      <c r="F4" s="2" t="s">
        <v>8</v>
      </c>
      <c r="G4" s="2" t="s">
        <v>8</v>
      </c>
      <c r="H4" s="2" t="s">
        <v>17</v>
      </c>
      <c r="I4" s="5" t="s">
        <v>15</v>
      </c>
      <c r="J4" s="5" t="s">
        <v>15</v>
      </c>
      <c r="K4" s="2"/>
      <c r="L4" s="2" t="s">
        <v>8</v>
      </c>
      <c r="M4" s="2" t="s">
        <v>8</v>
      </c>
      <c r="N4" s="2" t="s">
        <v>8</v>
      </c>
      <c r="O4" s="2" t="s">
        <v>17</v>
      </c>
      <c r="Q4" s="2" t="s">
        <v>32</v>
      </c>
      <c r="R4" s="2" t="s">
        <v>32</v>
      </c>
      <c r="S4" s="2" t="s">
        <v>32</v>
      </c>
      <c r="T4" s="2" t="s">
        <v>32</v>
      </c>
      <c r="U4" s="2" t="s">
        <v>32</v>
      </c>
      <c r="V4" s="2" t="s">
        <v>32</v>
      </c>
      <c r="X4" s="21" t="s">
        <v>15</v>
      </c>
      <c r="Y4" s="4" t="s">
        <v>17</v>
      </c>
      <c r="Z4" s="4" t="s">
        <v>32</v>
      </c>
    </row>
    <row r="5" spans="2:26" x14ac:dyDescent="0.45">
      <c r="B5" s="4" t="s">
        <v>10</v>
      </c>
      <c r="C5" s="4" t="s">
        <v>1</v>
      </c>
      <c r="D5" s="4">
        <v>3579</v>
      </c>
      <c r="E5" s="3">
        <v>939.61803067669177</v>
      </c>
      <c r="F5" s="4">
        <v>5719.4</v>
      </c>
      <c r="G5" s="4">
        <f>F5-D5</f>
        <v>2140.3999999999996</v>
      </c>
      <c r="H5" s="9">
        <f>O5</f>
        <v>0.10614119922630562</v>
      </c>
      <c r="I5" s="4">
        <f>G5/E5</f>
        <v>2.277946921110626</v>
      </c>
      <c r="J5" s="4">
        <f>I5/(1+H5)</f>
        <v>2.0593635990630705</v>
      </c>
      <c r="K5" s="2"/>
      <c r="L5" s="4">
        <v>19.239999999999998</v>
      </c>
      <c r="M5" s="4">
        <v>64.989999999999995</v>
      </c>
      <c r="N5" s="4">
        <v>60.6</v>
      </c>
      <c r="O5" s="8">
        <f>((M5-L5)-(N5-L5))/(N5-L5)</f>
        <v>0.10614119922630562</v>
      </c>
      <c r="Q5" s="16">
        <v>2.070352936581088E-3</v>
      </c>
      <c r="R5" s="16">
        <v>2.0312896736243147E-3</v>
      </c>
      <c r="S5" s="16">
        <v>2.0703529365846407E-3</v>
      </c>
      <c r="T5" s="16">
        <v>2.0117580421441517E-3</v>
      </c>
      <c r="U5" s="16">
        <v>2.0898845680505929E-3</v>
      </c>
      <c r="V5" s="22">
        <f>AVERAGE(Q5:U5)</f>
        <v>2.0547276313969574E-3</v>
      </c>
      <c r="X5" s="3">
        <f>J5</f>
        <v>2.0593635990630705</v>
      </c>
      <c r="Y5" s="18">
        <f>O5</f>
        <v>0.10614119922630562</v>
      </c>
      <c r="Z5" s="3">
        <f>V5</f>
        <v>2.0547276313969574E-3</v>
      </c>
    </row>
    <row r="6" spans="2:26" x14ac:dyDescent="0.45">
      <c r="B6" s="4" t="s">
        <v>10</v>
      </c>
      <c r="C6" s="4" t="s">
        <v>2</v>
      </c>
      <c r="D6" s="4">
        <v>3573.4</v>
      </c>
      <c r="E6" s="3">
        <v>939.61803067669177</v>
      </c>
      <c r="F6" s="4">
        <v>5683.8</v>
      </c>
      <c r="G6" s="4">
        <f t="shared" ref="G6:G14" si="0">F6-D6</f>
        <v>2110.4</v>
      </c>
      <c r="H6" s="9">
        <f t="shared" ref="H6:H19" si="1">O6</f>
        <v>0.14467683598050002</v>
      </c>
      <c r="I6" s="4">
        <f t="shared" ref="I6:I19" si="2">G6/E6</f>
        <v>2.2460190535936579</v>
      </c>
      <c r="J6" s="4">
        <f t="shared" ref="J6:J19" si="3">I6/(1+H6)</f>
        <v>1.9621424868528743</v>
      </c>
      <c r="K6" s="2"/>
      <c r="L6" s="4">
        <v>19.04</v>
      </c>
      <c r="M6" s="4">
        <v>91.83</v>
      </c>
      <c r="N6" s="4">
        <v>82.63</v>
      </c>
      <c r="O6" s="8">
        <f t="shared" ref="O6:O19" si="4">((M6-L6)-(N6-L6))/(N6-L6)</f>
        <v>0.14467683598050002</v>
      </c>
      <c r="Q6" s="16">
        <v>3.7696048750950339E-3</v>
      </c>
      <c r="R6" s="16">
        <v>3.5156936658893301E-3</v>
      </c>
      <c r="S6" s="16">
        <v>3.9063262954357469E-3</v>
      </c>
      <c r="T6" s="16">
        <v>2.9688079845300308E-3</v>
      </c>
      <c r="U6" s="16">
        <v>3.6914783491823755E-3</v>
      </c>
      <c r="V6" s="22">
        <f t="shared" ref="V6:V20" si="5">AVERAGE(Q6:U6)</f>
        <v>3.5703822340265035E-3</v>
      </c>
      <c r="X6" s="3">
        <f>J6</f>
        <v>1.9621424868528743</v>
      </c>
      <c r="Y6" s="18">
        <f>O6</f>
        <v>0.14467683598050002</v>
      </c>
      <c r="Z6" s="3">
        <f t="shared" ref="Z6:Z9" si="6">V6</f>
        <v>3.5703822340265035E-3</v>
      </c>
    </row>
    <row r="7" spans="2:26" x14ac:dyDescent="0.45">
      <c r="B7" s="4" t="s">
        <v>10</v>
      </c>
      <c r="C7" s="4" t="s">
        <v>3</v>
      </c>
      <c r="D7" s="4">
        <v>3555.8</v>
      </c>
      <c r="E7" s="3">
        <v>939.61803067669177</v>
      </c>
      <c r="F7" s="4">
        <v>5505.8</v>
      </c>
      <c r="G7" s="4">
        <f t="shared" si="0"/>
        <v>1950</v>
      </c>
      <c r="H7" s="9">
        <f t="shared" si="1"/>
        <v>6.2609713282621576E-2</v>
      </c>
      <c r="I7" s="4">
        <f t="shared" si="2"/>
        <v>2.0753113886029344</v>
      </c>
      <c r="J7" s="4">
        <f t="shared" si="3"/>
        <v>1.9530325788119023</v>
      </c>
      <c r="K7" s="2"/>
      <c r="L7" s="4">
        <v>18.940000000000001</v>
      </c>
      <c r="M7" s="4">
        <v>73.42</v>
      </c>
      <c r="N7" s="4">
        <v>70.209999999999994</v>
      </c>
      <c r="O7" s="8">
        <f t="shared" si="4"/>
        <v>6.2609713282621576E-2</v>
      </c>
      <c r="Q7" s="16">
        <v>2.2070743569209128E-3</v>
      </c>
      <c r="R7" s="16">
        <v>1.9726947791944838E-3</v>
      </c>
      <c r="S7" s="16">
        <v>1.8750366218114323E-3</v>
      </c>
      <c r="T7" s="16">
        <v>1.8750366218114323E-3</v>
      </c>
      <c r="U7" s="16">
        <v>1.7773784644248281E-3</v>
      </c>
      <c r="V7" s="22">
        <f t="shared" si="5"/>
        <v>1.9414441688326179E-3</v>
      </c>
      <c r="X7" s="3">
        <f>J7</f>
        <v>1.9530325788119023</v>
      </c>
      <c r="Y7" s="18">
        <f>O7</f>
        <v>6.2609713282621576E-2</v>
      </c>
      <c r="Z7" s="3">
        <f t="shared" si="6"/>
        <v>1.9414441688326179E-3</v>
      </c>
    </row>
    <row r="8" spans="2:26" x14ac:dyDescent="0.45">
      <c r="B8" s="4" t="s">
        <v>10</v>
      </c>
      <c r="C8" s="4" t="s">
        <v>4</v>
      </c>
      <c r="D8" s="4">
        <v>3981.6</v>
      </c>
      <c r="E8" s="3">
        <v>939.61803067669177</v>
      </c>
      <c r="F8" s="4">
        <v>6124</v>
      </c>
      <c r="G8" s="4">
        <f>F8-D8</f>
        <v>2142.4</v>
      </c>
      <c r="H8" s="9">
        <f t="shared" si="1"/>
        <v>0.10971223021582741</v>
      </c>
      <c r="I8" s="4">
        <f t="shared" si="2"/>
        <v>2.2800754456117578</v>
      </c>
      <c r="J8" s="4">
        <f t="shared" si="3"/>
        <v>2.0546546965318271</v>
      </c>
      <c r="K8" s="2"/>
      <c r="L8" s="4">
        <v>17.25</v>
      </c>
      <c r="M8" s="4">
        <v>66.61</v>
      </c>
      <c r="N8" s="4">
        <v>61.73</v>
      </c>
      <c r="O8" s="8">
        <f t="shared" si="4"/>
        <v>0.10971223021582741</v>
      </c>
      <c r="Q8" s="16">
        <v>2.4609855661275049E-3</v>
      </c>
      <c r="R8" s="16">
        <v>2.4609855661239521E-3</v>
      </c>
      <c r="S8" s="16">
        <v>2.4609855661239521E-3</v>
      </c>
      <c r="T8" s="16">
        <v>2.4805171975970097E-3</v>
      </c>
      <c r="U8" s="16">
        <v>2.5391120920374988E-3</v>
      </c>
      <c r="V8" s="22">
        <f>AVERAGE(Q8:U8)</f>
        <v>2.4805171976019836E-3</v>
      </c>
      <c r="X8" s="3">
        <f>J8</f>
        <v>2.0546546965318271</v>
      </c>
      <c r="Y8" s="18">
        <f>O8</f>
        <v>0.10971223021582741</v>
      </c>
      <c r="Z8" s="3">
        <f t="shared" si="6"/>
        <v>2.4805171976019836E-3</v>
      </c>
    </row>
    <row r="9" spans="2:26" x14ac:dyDescent="0.45">
      <c r="B9" s="4" t="s">
        <v>10</v>
      </c>
      <c r="C9" s="4" t="s">
        <v>7</v>
      </c>
      <c r="D9" s="4">
        <v>3564.6</v>
      </c>
      <c r="E9" s="3">
        <v>939.61803067669177</v>
      </c>
      <c r="F9" s="4">
        <v>5554.8</v>
      </c>
      <c r="G9" s="4">
        <f>F9-D9</f>
        <v>1990.2000000000003</v>
      </c>
      <c r="H9" s="9">
        <f t="shared" ref="H9" si="7">O9</f>
        <v>6.8930216686572371E-2</v>
      </c>
      <c r="I9" s="4">
        <f t="shared" ref="I9" si="8">G9/E9</f>
        <v>2.1180947310756721</v>
      </c>
      <c r="J9" s="4">
        <f t="shared" ref="J9" si="9">I9/(1+H9)</f>
        <v>1.9815088936687171</v>
      </c>
      <c r="K9" s="2"/>
      <c r="L9" s="4">
        <v>19.05</v>
      </c>
      <c r="M9" s="4">
        <v>81.7</v>
      </c>
      <c r="N9" s="4">
        <v>77.66</v>
      </c>
      <c r="O9" s="8">
        <f t="shared" ref="O9" si="10">((M9-L9)-(N9-L9))/(N9-L9)</f>
        <v>6.8930216686572371E-2</v>
      </c>
      <c r="Q9" s="16">
        <v>1.835973358854659E-3</v>
      </c>
      <c r="R9" s="16">
        <v>1.7969100958978856E-3</v>
      </c>
      <c r="S9" s="16">
        <v>1.835973358854659E-3</v>
      </c>
      <c r="T9" s="16">
        <v>1.7187835699914444E-3</v>
      </c>
      <c r="U9" s="16">
        <v>1.6797203070382238E-3</v>
      </c>
      <c r="V9" s="22">
        <f t="shared" si="5"/>
        <v>1.7734721381273745E-3</v>
      </c>
      <c r="X9" s="3">
        <f>J9</f>
        <v>1.9815088936687171</v>
      </c>
      <c r="Y9" s="18">
        <f>O9</f>
        <v>6.8930216686572371E-2</v>
      </c>
      <c r="Z9" s="3">
        <f t="shared" si="6"/>
        <v>1.7734721381273745E-3</v>
      </c>
    </row>
    <row r="10" spans="2:26" x14ac:dyDescent="0.45">
      <c r="B10" s="2"/>
      <c r="C10" s="2"/>
      <c r="D10" s="2"/>
      <c r="F10" s="2"/>
      <c r="G10" s="2"/>
      <c r="H10" s="11"/>
      <c r="I10" s="2"/>
      <c r="J10" s="2"/>
      <c r="K10" s="2"/>
      <c r="L10" s="2"/>
      <c r="M10" s="2"/>
      <c r="N10" s="2"/>
      <c r="O10" s="12"/>
      <c r="X10" s="3"/>
      <c r="Y10" s="18"/>
      <c r="Z10" s="3"/>
    </row>
    <row r="11" spans="2:26" x14ac:dyDescent="0.45">
      <c r="B11" s="4" t="s">
        <v>33</v>
      </c>
      <c r="C11" s="4" t="s">
        <v>5</v>
      </c>
      <c r="D11" s="4">
        <v>3597</v>
      </c>
      <c r="E11" s="3">
        <v>939.61803067669177</v>
      </c>
      <c r="F11" s="4">
        <v>5665.4</v>
      </c>
      <c r="G11" s="4">
        <f t="shared" si="0"/>
        <v>2068.3999999999996</v>
      </c>
      <c r="H11" s="9">
        <f t="shared" si="1"/>
        <v>4.8944900351699717E-2</v>
      </c>
      <c r="I11" s="4">
        <f t="shared" si="2"/>
        <v>2.2013200390699019</v>
      </c>
      <c r="J11" s="4">
        <f t="shared" si="3"/>
        <v>2.0986040718934076</v>
      </c>
      <c r="K11" s="2"/>
      <c r="L11" s="4">
        <v>19.399999999999999</v>
      </c>
      <c r="M11" s="4">
        <v>55.19</v>
      </c>
      <c r="N11" s="4">
        <v>53.52</v>
      </c>
      <c r="O11" s="10">
        <f t="shared" si="4"/>
        <v>4.8944900351699717E-2</v>
      </c>
      <c r="Q11" s="16">
        <v>9.5704994238232644E-4</v>
      </c>
      <c r="R11" s="16">
        <v>9.1798667942555312E-4</v>
      </c>
      <c r="S11" s="16">
        <v>8.7892341647233252E-4</v>
      </c>
      <c r="T11" s="16">
        <v>8.7892341647233252E-4</v>
      </c>
      <c r="U11" s="16">
        <v>8.5939178499216951E-4</v>
      </c>
      <c r="V11" s="22">
        <f t="shared" si="5"/>
        <v>8.9845504794894282E-4</v>
      </c>
      <c r="X11" s="3">
        <f>J11</f>
        <v>2.0986040718934076</v>
      </c>
      <c r="Y11" s="18">
        <f>O11</f>
        <v>4.8944900351699717E-2</v>
      </c>
      <c r="Z11" s="3">
        <f>V11</f>
        <v>8.9845504794894282E-4</v>
      </c>
    </row>
    <row r="12" spans="2:26" x14ac:dyDescent="0.45">
      <c r="B12" s="4" t="s">
        <v>33</v>
      </c>
      <c r="C12" s="4" t="s">
        <v>6</v>
      </c>
      <c r="D12" s="4">
        <v>3560.8</v>
      </c>
      <c r="E12" s="3">
        <v>939.61803067669177</v>
      </c>
      <c r="F12" s="4">
        <v>5733</v>
      </c>
      <c r="G12" s="4">
        <f t="shared" si="0"/>
        <v>2172.1999999999998</v>
      </c>
      <c r="H12" s="9">
        <f t="shared" si="1"/>
        <v>7.4972436604189868E-2</v>
      </c>
      <c r="I12" s="4">
        <f t="shared" si="2"/>
        <v>2.3117904606786124</v>
      </c>
      <c r="J12" s="4">
        <f t="shared" si="3"/>
        <v>2.1505578952158984</v>
      </c>
      <c r="K12" s="2"/>
      <c r="L12" s="4">
        <v>18.45</v>
      </c>
      <c r="M12" s="4">
        <v>47.7</v>
      </c>
      <c r="N12" s="4">
        <v>45.66</v>
      </c>
      <c r="O12" s="10">
        <f t="shared" si="4"/>
        <v>7.4972436604189868E-2</v>
      </c>
      <c r="Q12" s="16">
        <v>1.0547080997671543E-3</v>
      </c>
      <c r="R12" s="16">
        <v>1.0547080997689307E-3</v>
      </c>
      <c r="S12" s="16">
        <v>9.7658157385893674E-4</v>
      </c>
      <c r="T12" s="16">
        <v>1.0156448368121573E-3</v>
      </c>
      <c r="U12" s="16">
        <v>1.0351764682923204E-3</v>
      </c>
      <c r="V12" s="22">
        <f t="shared" si="5"/>
        <v>1.0273638156998999E-3</v>
      </c>
      <c r="X12" s="3">
        <f>J12</f>
        <v>2.1505578952158984</v>
      </c>
      <c r="Y12" s="18">
        <f>O12</f>
        <v>7.4972436604189868E-2</v>
      </c>
      <c r="Z12" s="3">
        <f t="shared" ref="Z12:Z19" si="11">V12</f>
        <v>1.0273638156998999E-3</v>
      </c>
    </row>
    <row r="13" spans="2:26" x14ac:dyDescent="0.45">
      <c r="B13" s="4" t="s">
        <v>33</v>
      </c>
      <c r="C13" s="4" t="s">
        <v>7</v>
      </c>
      <c r="D13" s="4">
        <v>3564.6</v>
      </c>
      <c r="E13" s="3">
        <v>939.61803067669177</v>
      </c>
      <c r="F13" s="4">
        <v>5793</v>
      </c>
      <c r="G13" s="4">
        <f t="shared" si="0"/>
        <v>2228.4</v>
      </c>
      <c r="H13" s="9">
        <f t="shared" si="1"/>
        <v>0.10350404312668453</v>
      </c>
      <c r="I13" s="4">
        <f t="shared" si="2"/>
        <v>2.3716019991603998</v>
      </c>
      <c r="J13" s="4">
        <f t="shared" si="3"/>
        <v>2.1491556953798447</v>
      </c>
      <c r="K13" s="2"/>
      <c r="L13" s="4">
        <v>16.96</v>
      </c>
      <c r="M13" s="4">
        <v>57.9</v>
      </c>
      <c r="N13" s="4">
        <v>54.06</v>
      </c>
      <c r="O13" s="10">
        <f t="shared" si="4"/>
        <v>0.10350404312668453</v>
      </c>
      <c r="Q13" s="16">
        <v>2.1680110939663599E-3</v>
      </c>
      <c r="R13" s="16">
        <v>1.8750366218096559E-3</v>
      </c>
      <c r="S13" s="16">
        <v>1.8750366218078796E-3</v>
      </c>
      <c r="T13" s="16">
        <v>1.8750366218114323E-3</v>
      </c>
      <c r="U13" s="16">
        <v>1.8945682532844899E-3</v>
      </c>
      <c r="V13" s="22">
        <f t="shared" si="5"/>
        <v>1.9375378425359635E-3</v>
      </c>
      <c r="X13" s="3">
        <f>J13</f>
        <v>2.1491556953798447</v>
      </c>
      <c r="Y13" s="18">
        <f>O13</f>
        <v>0.10350404312668453</v>
      </c>
      <c r="Z13" s="3">
        <f t="shared" si="11"/>
        <v>1.9375378425359635E-3</v>
      </c>
    </row>
    <row r="14" spans="2:26" x14ac:dyDescent="0.45">
      <c r="B14" s="4" t="s">
        <v>33</v>
      </c>
      <c r="C14" s="4" t="s">
        <v>34</v>
      </c>
      <c r="D14" s="4">
        <v>3575.2</v>
      </c>
      <c r="E14" s="3">
        <v>939.61803067669177</v>
      </c>
      <c r="F14" s="4">
        <v>5776</v>
      </c>
      <c r="G14" s="4">
        <f t="shared" si="0"/>
        <v>2200.8000000000002</v>
      </c>
      <c r="H14" s="9">
        <f t="shared" si="1"/>
        <v>0.12465208747514901</v>
      </c>
      <c r="I14" s="4">
        <f t="shared" si="2"/>
        <v>2.3422283610447892</v>
      </c>
      <c r="J14" s="4">
        <f t="shared" si="3"/>
        <v>2.0826248287175693</v>
      </c>
      <c r="K14" s="2"/>
      <c r="L14" s="4">
        <v>18.350000000000001</v>
      </c>
      <c r="M14" s="4">
        <v>74.92</v>
      </c>
      <c r="N14" s="4">
        <v>68.650000000000006</v>
      </c>
      <c r="O14" s="10">
        <f t="shared" si="4"/>
        <v>0.12465208747514901</v>
      </c>
      <c r="Q14" s="16">
        <v>3.6133518232777107E-3</v>
      </c>
      <c r="R14" s="16">
        <v>3.593820191799324E-3</v>
      </c>
      <c r="S14" s="16">
        <v>2.7539600382837648E-3</v>
      </c>
      <c r="T14" s="16">
        <v>2.8711498271434266E-3</v>
      </c>
      <c r="U14" s="16">
        <v>3.7696048750959221E-3</v>
      </c>
      <c r="V14" s="22">
        <f t="shared" si="5"/>
        <v>3.3203773511200295E-3</v>
      </c>
      <c r="X14" s="3">
        <f>J14</f>
        <v>2.0826248287175693</v>
      </c>
      <c r="Y14" s="18">
        <f>O14</f>
        <v>0.12465208747514901</v>
      </c>
      <c r="Z14" s="3">
        <f t="shared" si="11"/>
        <v>3.3203773511200295E-3</v>
      </c>
    </row>
    <row r="15" spans="2:26" x14ac:dyDescent="0.45">
      <c r="X15" s="3"/>
      <c r="Y15" s="18"/>
      <c r="Z15" s="3"/>
    </row>
    <row r="16" spans="2:26" x14ac:dyDescent="0.45">
      <c r="B16" s="4" t="s">
        <v>35</v>
      </c>
      <c r="C16" s="4" t="s">
        <v>1</v>
      </c>
      <c r="D16" s="4">
        <v>3579</v>
      </c>
      <c r="E16" s="3">
        <v>939.61803067669177</v>
      </c>
      <c r="F16" s="4">
        <v>5672.6</v>
      </c>
      <c r="G16" s="4">
        <f>F16-D16</f>
        <v>2093.6000000000004</v>
      </c>
      <c r="H16" s="9">
        <f>O16</f>
        <v>5.3619965406473978E-2</v>
      </c>
      <c r="I16" s="4">
        <f t="shared" si="2"/>
        <v>2.2281394477841561</v>
      </c>
      <c r="J16" s="4">
        <f>I16/(1+H16)</f>
        <v>2.1147467976506751</v>
      </c>
      <c r="L16" s="4">
        <v>17.77</v>
      </c>
      <c r="M16" s="4">
        <v>60.41</v>
      </c>
      <c r="N16" s="4">
        <v>58.24</v>
      </c>
      <c r="O16" s="10">
        <f>((M16-L16)-(N16-L16))/(N16-L16)</f>
        <v>5.3619965406473978E-2</v>
      </c>
      <c r="Q16" s="16">
        <v>1.2695560460187494E-3</v>
      </c>
      <c r="R16" s="16">
        <v>1.2304927830584234E-3</v>
      </c>
      <c r="S16" s="16">
        <v>1.2304927830655288E-3</v>
      </c>
      <c r="T16" s="16">
        <v>1.2109611515853658E-3</v>
      </c>
      <c r="U16" s="16">
        <v>1.2304927830655288E-3</v>
      </c>
      <c r="V16" s="22">
        <f t="shared" si="5"/>
        <v>1.2343991093587193E-3</v>
      </c>
      <c r="X16" s="3">
        <f>J16</f>
        <v>2.1147467976506751</v>
      </c>
      <c r="Y16" s="18">
        <f>O16</f>
        <v>5.3619965406473978E-2</v>
      </c>
      <c r="Z16" s="3">
        <f t="shared" si="11"/>
        <v>1.2343991093587193E-3</v>
      </c>
    </row>
    <row r="17" spans="2:26" x14ac:dyDescent="0.45">
      <c r="B17" s="4" t="s">
        <v>35</v>
      </c>
      <c r="C17" s="4" t="s">
        <v>2</v>
      </c>
      <c r="D17" s="4">
        <v>3573.4</v>
      </c>
      <c r="E17" s="3">
        <v>939.61803067669177</v>
      </c>
      <c r="F17" s="4">
        <v>5620.8</v>
      </c>
      <c r="G17" s="4">
        <f>F17-D17</f>
        <v>2047.4</v>
      </c>
      <c r="H17" s="9">
        <f t="shared" si="1"/>
        <v>5.0349313418453466E-2</v>
      </c>
      <c r="I17" s="4">
        <f t="shared" si="2"/>
        <v>2.1789705318080248</v>
      </c>
      <c r="J17" s="4">
        <f t="shared" si="3"/>
        <v>2.0745198801686033</v>
      </c>
      <c r="L17" s="4">
        <v>18.18</v>
      </c>
      <c r="M17" s="4">
        <v>61.78</v>
      </c>
      <c r="N17" s="4">
        <v>59.69</v>
      </c>
      <c r="O17" s="10">
        <f t="shared" si="4"/>
        <v>5.0349313418453466E-2</v>
      </c>
      <c r="Q17" s="16">
        <v>2.4219223031698434E-3</v>
      </c>
      <c r="R17" s="16">
        <v>2.3828590402175109E-3</v>
      </c>
      <c r="S17" s="16">
        <v>2.2852008828309067E-3</v>
      </c>
      <c r="T17" s="16">
        <v>2.2656692513578491E-3</v>
      </c>
      <c r="U17" s="16">
        <v>2.2656692513578491E-3</v>
      </c>
      <c r="V17" s="22">
        <f t="shared" si="5"/>
        <v>2.3242641457867919E-3</v>
      </c>
      <c r="X17" s="3">
        <f>J17</f>
        <v>2.0745198801686033</v>
      </c>
      <c r="Y17" s="18">
        <f>O17</f>
        <v>5.0349313418453466E-2</v>
      </c>
      <c r="Z17" s="3">
        <f t="shared" si="11"/>
        <v>2.3242641457867919E-3</v>
      </c>
    </row>
    <row r="18" spans="2:26" x14ac:dyDescent="0.45">
      <c r="B18" s="4" t="s">
        <v>35</v>
      </c>
      <c r="C18" s="4" t="s">
        <v>3</v>
      </c>
      <c r="D18" s="4">
        <v>3555.8</v>
      </c>
      <c r="E18" s="3">
        <v>939.61803067669177</v>
      </c>
      <c r="F18" s="4">
        <v>5638.8</v>
      </c>
      <c r="G18" s="4">
        <f>F18-D18</f>
        <v>2083</v>
      </c>
      <c r="H18" s="9">
        <f t="shared" si="1"/>
        <v>0.10695187165775413</v>
      </c>
      <c r="I18" s="4">
        <f t="shared" si="2"/>
        <v>2.2168582679281603</v>
      </c>
      <c r="J18" s="4">
        <f t="shared" si="3"/>
        <v>2.0026690632974198</v>
      </c>
      <c r="L18" s="4">
        <v>19.309999999999999</v>
      </c>
      <c r="M18" s="4">
        <v>75.2</v>
      </c>
      <c r="N18" s="4">
        <v>69.8</v>
      </c>
      <c r="O18" s="10">
        <f t="shared" si="4"/>
        <v>0.10695187165775413</v>
      </c>
      <c r="Q18" s="16">
        <v>3.0859977733941335E-3</v>
      </c>
      <c r="R18" s="16">
        <v>3.1250610363482423E-3</v>
      </c>
      <c r="S18" s="16">
        <v>3.1445926678266289E-3</v>
      </c>
      <c r="T18" s="16">
        <v>3.085997773396798E-3</v>
      </c>
      <c r="U18" s="16">
        <v>3.046934510436472E-3</v>
      </c>
      <c r="V18" s="22">
        <f t="shared" si="5"/>
        <v>3.0977167522804549E-3</v>
      </c>
      <c r="X18" s="3">
        <f>J18</f>
        <v>2.0026690632974198</v>
      </c>
      <c r="Y18" s="18">
        <f>O18</f>
        <v>0.10695187165775413</v>
      </c>
      <c r="Z18" s="3">
        <f t="shared" si="11"/>
        <v>3.0977167522804549E-3</v>
      </c>
    </row>
    <row r="19" spans="2:26" x14ac:dyDescent="0.45">
      <c r="B19" s="4" t="s">
        <v>35</v>
      </c>
      <c r="C19" s="4" t="s">
        <v>4</v>
      </c>
      <c r="D19" s="4">
        <v>3981.6</v>
      </c>
      <c r="E19" s="3">
        <v>939.618030676692</v>
      </c>
      <c r="F19" s="4">
        <v>6166.6</v>
      </c>
      <c r="G19" s="4">
        <f>F19-D19</f>
        <v>2185.0000000000005</v>
      </c>
      <c r="H19" s="9">
        <f t="shared" si="1"/>
        <v>9.908861741322475E-2</v>
      </c>
      <c r="I19" s="4">
        <f t="shared" si="2"/>
        <v>2.3254130174858521</v>
      </c>
      <c r="J19" s="4">
        <f t="shared" si="3"/>
        <v>2.1157648078995304</v>
      </c>
      <c r="L19" s="4">
        <v>18.95</v>
      </c>
      <c r="M19" s="4">
        <v>75.63</v>
      </c>
      <c r="N19" s="4">
        <v>70.52</v>
      </c>
      <c r="O19" s="10">
        <f t="shared" si="4"/>
        <v>9.908861741322475E-2</v>
      </c>
      <c r="Q19" s="16">
        <v>3.2031875622564598E-3</v>
      </c>
      <c r="R19" s="16">
        <v>3.3594406140764477E-3</v>
      </c>
      <c r="S19" s="16">
        <v>3.2422508252096804E-3</v>
      </c>
      <c r="T19" s="16">
        <v>3.3399089825962847E-3</v>
      </c>
      <c r="U19" s="16">
        <v>3.7696048750959221E-3</v>
      </c>
      <c r="V19" s="22">
        <f t="shared" si="5"/>
        <v>3.3828785718469589E-3</v>
      </c>
      <c r="X19" s="3">
        <f>J19</f>
        <v>2.1157648078995304</v>
      </c>
      <c r="Y19" s="18">
        <f>O19</f>
        <v>9.908861741322475E-2</v>
      </c>
      <c r="Z19" s="3">
        <f t="shared" si="11"/>
        <v>3.3828785718469589E-3</v>
      </c>
    </row>
    <row r="20" spans="2:26" x14ac:dyDescent="0.45">
      <c r="B20" s="4" t="s">
        <v>33</v>
      </c>
      <c r="C20" s="4" t="s">
        <v>34</v>
      </c>
      <c r="D20" s="4">
        <v>3575.2</v>
      </c>
      <c r="E20" s="3">
        <v>939.61803067669177</v>
      </c>
      <c r="F20" s="4">
        <v>5800.8</v>
      </c>
      <c r="G20" s="4">
        <f t="shared" ref="G20" si="12">F20-D20</f>
        <v>2225.6000000000004</v>
      </c>
      <c r="H20" s="9">
        <f t="shared" ref="H20" si="13">O20</f>
        <v>7.5044883303410997E-2</v>
      </c>
      <c r="I20" s="4">
        <f t="shared" ref="I20" si="14">G20/E20</f>
        <v>2.3686220648588163</v>
      </c>
      <c r="J20" s="4">
        <f t="shared" ref="J20" si="15">I20/(1+H20)</f>
        <v>2.203277371620509</v>
      </c>
      <c r="K20" s="2"/>
      <c r="L20" s="4">
        <v>18.54</v>
      </c>
      <c r="M20" s="4">
        <v>48.48</v>
      </c>
      <c r="N20" s="4">
        <v>46.39</v>
      </c>
      <c r="O20" s="10">
        <f t="shared" ref="O20" si="16">((M20-L20)-(N20-L20))/(N20-L20)</f>
        <v>7.5044883303410997E-2</v>
      </c>
      <c r="Q20" s="16">
        <v>1.0937713627221513E-3</v>
      </c>
      <c r="R20" s="16">
        <v>1.074239731245541E-3</v>
      </c>
      <c r="S20" s="16">
        <v>1.0937713627221513E-3</v>
      </c>
      <c r="T20" s="16">
        <v>1.074239731245541E-3</v>
      </c>
      <c r="U20" s="3"/>
      <c r="V20" s="22">
        <f t="shared" si="5"/>
        <v>1.0840055469838461E-3</v>
      </c>
      <c r="X20" s="3">
        <f>J20</f>
        <v>2.203277371620509</v>
      </c>
      <c r="Y20" s="18">
        <f>O20</f>
        <v>7.5044883303410997E-2</v>
      </c>
      <c r="Z20" s="3">
        <f t="shared" ref="Z20" si="17">V20</f>
        <v>1.0840055469838461E-3</v>
      </c>
    </row>
    <row r="41" spans="15:15" x14ac:dyDescent="0.45">
      <c r="O41" s="13"/>
    </row>
    <row r="42" spans="15:15" x14ac:dyDescent="0.45">
      <c r="O42" s="13"/>
    </row>
  </sheetData>
  <mergeCells count="4">
    <mergeCell ref="B2:J2"/>
    <mergeCell ref="L2:O2"/>
    <mergeCell ref="Q2:V2"/>
    <mergeCell ref="X2:Z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E7A4A-7D14-405B-A6FD-E261CF80E2C3}">
  <dimension ref="B2:Z44"/>
  <sheetViews>
    <sheetView topLeftCell="D1" zoomScale="87" zoomScaleNormal="200" workbookViewId="0">
      <selection activeCell="Q12" sqref="Q12"/>
    </sheetView>
  </sheetViews>
  <sheetFormatPr defaultColWidth="9" defaultRowHeight="14.25" x14ac:dyDescent="0.45"/>
  <cols>
    <col min="1" max="1" width="9" style="1"/>
    <col min="2" max="2" width="10.1328125" style="1" customWidth="1"/>
    <col min="3" max="3" width="9" style="1"/>
    <col min="4" max="5" width="9.1328125" style="1" bestFit="1" customWidth="1"/>
    <col min="6" max="6" width="12.33203125" style="1" customWidth="1"/>
    <col min="7" max="7" width="9" style="1" customWidth="1"/>
    <col min="8" max="8" width="9.1328125" style="1" customWidth="1"/>
    <col min="9" max="10" width="7.1328125" style="1" customWidth="1"/>
    <col min="11" max="11" width="4" style="1" customWidth="1"/>
    <col min="12" max="12" width="8.1328125" style="1" customWidth="1"/>
    <col min="13" max="13" width="12.1328125" style="1" customWidth="1"/>
    <col min="14" max="14" width="11.1328125" style="1" customWidth="1"/>
    <col min="15" max="15" width="9.33203125" style="1" bestFit="1" customWidth="1"/>
    <col min="16" max="17" width="9" style="1"/>
    <col min="18" max="18" width="9" style="1" customWidth="1"/>
    <col min="19" max="21" width="9" style="1"/>
    <col min="22" max="22" width="9.33203125" style="1" bestFit="1" customWidth="1"/>
    <col min="23" max="16384" width="9" style="1"/>
  </cols>
  <sheetData>
    <row r="2" spans="2:26" x14ac:dyDescent="0.45">
      <c r="B2" s="24"/>
      <c r="C2" s="24"/>
      <c r="D2" s="24"/>
      <c r="E2" s="24"/>
      <c r="F2" s="24"/>
      <c r="G2" s="24"/>
      <c r="H2" s="24"/>
      <c r="I2" s="24"/>
      <c r="J2" s="24"/>
      <c r="K2" s="2"/>
      <c r="L2" s="24"/>
      <c r="M2" s="24"/>
      <c r="N2" s="24"/>
      <c r="O2" s="24"/>
      <c r="Q2" s="24"/>
      <c r="R2" s="24"/>
      <c r="S2" s="24"/>
      <c r="T2" s="24"/>
      <c r="U2" s="24"/>
      <c r="V2" s="24"/>
      <c r="W2" s="20"/>
      <c r="X2" s="24" t="s">
        <v>41</v>
      </c>
      <c r="Y2" s="24"/>
      <c r="Z2" s="24"/>
    </row>
    <row r="3" spans="2:26" x14ac:dyDescent="0.45">
      <c r="B3" s="6" t="s">
        <v>9</v>
      </c>
      <c r="C3" s="6" t="s">
        <v>0</v>
      </c>
      <c r="D3" s="6" t="s">
        <v>19</v>
      </c>
      <c r="E3" s="6" t="s">
        <v>20</v>
      </c>
      <c r="F3" s="6" t="s">
        <v>22</v>
      </c>
      <c r="G3" s="6" t="s">
        <v>23</v>
      </c>
      <c r="H3" s="6" t="s">
        <v>11</v>
      </c>
      <c r="I3" s="7" t="s">
        <v>12</v>
      </c>
      <c r="J3" s="7" t="s">
        <v>13</v>
      </c>
      <c r="K3" s="2"/>
      <c r="L3" s="6" t="s">
        <v>18</v>
      </c>
      <c r="M3" s="6" t="s">
        <v>24</v>
      </c>
      <c r="N3" s="6" t="s">
        <v>25</v>
      </c>
      <c r="O3" s="6" t="s">
        <v>11</v>
      </c>
      <c r="Q3" s="6" t="s">
        <v>26</v>
      </c>
      <c r="R3" s="6" t="s">
        <v>27</v>
      </c>
      <c r="S3" s="6" t="s">
        <v>28</v>
      </c>
      <c r="T3" s="6" t="s">
        <v>29</v>
      </c>
      <c r="U3" s="6" t="s">
        <v>30</v>
      </c>
      <c r="V3" s="6" t="s">
        <v>31</v>
      </c>
      <c r="W3" s="2"/>
      <c r="X3" s="7" t="s">
        <v>13</v>
      </c>
      <c r="Y3" s="6" t="s">
        <v>11</v>
      </c>
      <c r="Z3" s="6" t="s">
        <v>31</v>
      </c>
    </row>
    <row r="4" spans="2:26" x14ac:dyDescent="0.45">
      <c r="B4" s="2" t="s">
        <v>14</v>
      </c>
      <c r="C4" s="2" t="s">
        <v>14</v>
      </c>
      <c r="D4" s="2" t="s">
        <v>8</v>
      </c>
      <c r="E4" s="2" t="s">
        <v>21</v>
      </c>
      <c r="F4" s="2" t="s">
        <v>8</v>
      </c>
      <c r="G4" s="2" t="s">
        <v>8</v>
      </c>
      <c r="H4" s="2" t="s">
        <v>17</v>
      </c>
      <c r="I4" s="5" t="s">
        <v>15</v>
      </c>
      <c r="J4" s="5" t="s">
        <v>15</v>
      </c>
      <c r="K4" s="2"/>
      <c r="L4" s="2" t="s">
        <v>8</v>
      </c>
      <c r="M4" s="2" t="s">
        <v>8</v>
      </c>
      <c r="N4" s="2" t="s">
        <v>8</v>
      </c>
      <c r="O4" s="2" t="s">
        <v>17</v>
      </c>
      <c r="Q4" s="2" t="s">
        <v>32</v>
      </c>
      <c r="R4" s="2" t="s">
        <v>32</v>
      </c>
      <c r="S4" s="2" t="s">
        <v>32</v>
      </c>
      <c r="T4" s="2" t="s">
        <v>32</v>
      </c>
      <c r="U4" s="2" t="s">
        <v>32</v>
      </c>
      <c r="V4" s="2" t="s">
        <v>32</v>
      </c>
      <c r="W4" s="2"/>
      <c r="X4" s="21" t="s">
        <v>15</v>
      </c>
      <c r="Y4" s="4" t="s">
        <v>17</v>
      </c>
      <c r="Z4" s="4" t="s">
        <v>32</v>
      </c>
    </row>
    <row r="5" spans="2:26" x14ac:dyDescent="0.45">
      <c r="B5" s="4" t="s">
        <v>10</v>
      </c>
      <c r="C5" s="4" t="s">
        <v>1</v>
      </c>
      <c r="D5" s="4">
        <v>3579</v>
      </c>
      <c r="E5" s="3">
        <v>939.61803067669177</v>
      </c>
      <c r="F5" s="4">
        <v>5392.4</v>
      </c>
      <c r="G5" s="4">
        <f>F5-D5</f>
        <v>1813.3999999999996</v>
      </c>
      <c r="H5" s="9">
        <f>O5</f>
        <v>0.1622203098106714</v>
      </c>
      <c r="I5" s="4">
        <f>G5/E5</f>
        <v>1.9299331651756721</v>
      </c>
      <c r="J5" s="4">
        <f>I5/(1+H5)</f>
        <v>1.6605570810323071</v>
      </c>
      <c r="K5" s="2"/>
      <c r="L5" s="4">
        <v>18.260000000000002</v>
      </c>
      <c r="M5" s="4">
        <v>45.27</v>
      </c>
      <c r="N5" s="4">
        <v>41.5</v>
      </c>
      <c r="O5" s="8">
        <f>((M5-L5)-(N5-L5))/(N5-L5)</f>
        <v>0.1622203098106714</v>
      </c>
      <c r="Q5" s="16">
        <v>1.5429988866948463E-3</v>
      </c>
      <c r="R5" s="16">
        <v>1.523467255218236E-3</v>
      </c>
      <c r="S5" s="16">
        <v>1.5429988866912936E-3</v>
      </c>
      <c r="T5" s="16">
        <v>1.5039356237309676E-3</v>
      </c>
      <c r="U5" s="16">
        <v>1.5234672552253414E-3</v>
      </c>
      <c r="V5" s="22">
        <f>AVERAGE(Q5:U5)</f>
        <v>1.5273735815121369E-3</v>
      </c>
      <c r="W5" s="2"/>
      <c r="X5" s="3">
        <f>J5</f>
        <v>1.6605570810323071</v>
      </c>
      <c r="Y5" s="18">
        <f>O5</f>
        <v>0.1622203098106714</v>
      </c>
      <c r="Z5" s="3">
        <f>V5</f>
        <v>1.5273735815121369E-3</v>
      </c>
    </row>
    <row r="6" spans="2:26" x14ac:dyDescent="0.45">
      <c r="B6" s="4" t="s">
        <v>10</v>
      </c>
      <c r="C6" s="4" t="s">
        <v>2</v>
      </c>
      <c r="D6" s="4">
        <v>3573.4</v>
      </c>
      <c r="E6" s="3">
        <v>939.61803067669177</v>
      </c>
      <c r="F6" s="4">
        <v>5446.6</v>
      </c>
      <c r="G6" s="4">
        <f t="shared" ref="G6:G19" si="0">F6-D6</f>
        <v>1873.2000000000003</v>
      </c>
      <c r="H6" s="9">
        <f t="shared" ref="H6:H19" si="1">O6</f>
        <v>0.19980314960629944</v>
      </c>
      <c r="I6" s="4">
        <f t="shared" ref="I6:I19" si="2">G6/E6</f>
        <v>1.9935760477594962</v>
      </c>
      <c r="J6" s="4">
        <f t="shared" ref="J6:J19" si="3">I6/(1+H6)</f>
        <v>1.6615859430054534</v>
      </c>
      <c r="K6" s="2"/>
      <c r="L6" s="4">
        <v>17.77</v>
      </c>
      <c r="M6" s="4">
        <v>54.34</v>
      </c>
      <c r="N6" s="4">
        <v>48.25</v>
      </c>
      <c r="O6" s="8">
        <f t="shared" ref="O6:O19" si="4">((M6-L6)-(N6-L6))/(N6-L6)</f>
        <v>0.19980314960629944</v>
      </c>
      <c r="Q6" s="16">
        <v>2.8320865641906501E-3</v>
      </c>
      <c r="R6" s="16">
        <v>2.8906814586200369E-3</v>
      </c>
      <c r="S6" s="16">
        <v>2.851618195670369E-3</v>
      </c>
      <c r="T6" s="16">
        <v>2.9688079845300308E-3</v>
      </c>
      <c r="U6" s="16">
        <v>2.9102130900966472E-3</v>
      </c>
      <c r="V6" s="22">
        <f>AVERAGE(Q6:U6)</f>
        <v>2.890681458621547E-3</v>
      </c>
      <c r="W6" s="2"/>
      <c r="X6" s="3">
        <f>J6</f>
        <v>1.6615859430054534</v>
      </c>
      <c r="Y6" s="18">
        <f>O6</f>
        <v>0.19980314960629944</v>
      </c>
      <c r="Z6" s="3">
        <f t="shared" ref="Z6:Z19" si="5">V6</f>
        <v>2.890681458621547E-3</v>
      </c>
    </row>
    <row r="7" spans="2:26" x14ac:dyDescent="0.45">
      <c r="B7" s="4" t="s">
        <v>10</v>
      </c>
      <c r="C7" s="4" t="s">
        <v>3</v>
      </c>
      <c r="D7" s="4">
        <v>3575.8</v>
      </c>
      <c r="E7" s="3">
        <v>939.61803067669177</v>
      </c>
      <c r="F7" s="4">
        <v>5369.6</v>
      </c>
      <c r="G7" s="4">
        <f t="shared" si="0"/>
        <v>1793.8000000000002</v>
      </c>
      <c r="H7" s="9">
        <f t="shared" si="1"/>
        <v>0.26691858467880425</v>
      </c>
      <c r="I7" s="4">
        <f t="shared" si="2"/>
        <v>1.909073625064587</v>
      </c>
      <c r="J7" s="4">
        <f t="shared" si="3"/>
        <v>1.5068636991765223</v>
      </c>
      <c r="K7" s="2"/>
      <c r="L7" s="4">
        <v>19.059999999999999</v>
      </c>
      <c r="M7" s="4">
        <v>55.94</v>
      </c>
      <c r="N7" s="4">
        <v>48.17</v>
      </c>
      <c r="O7" s="8">
        <f t="shared" si="4"/>
        <v>0.26691858467880425</v>
      </c>
      <c r="Q7" s="16">
        <v>3.1836559307798495E-3</v>
      </c>
      <c r="R7" s="16">
        <v>3.0469345104400247E-3</v>
      </c>
      <c r="S7" s="16">
        <v>3.2422508252167859E-3</v>
      </c>
      <c r="T7" s="16">
        <v>3.0274028789705199E-3</v>
      </c>
      <c r="U7" s="3"/>
      <c r="V7" s="22">
        <f>AVERAGE(Q7:U7)</f>
        <v>3.125061036351795E-3</v>
      </c>
      <c r="W7" s="2"/>
      <c r="X7" s="3">
        <f>J7</f>
        <v>1.5068636991765223</v>
      </c>
      <c r="Y7" s="18">
        <f>O7</f>
        <v>0.26691858467880425</v>
      </c>
      <c r="Z7" s="3">
        <f t="shared" si="5"/>
        <v>3.125061036351795E-3</v>
      </c>
    </row>
    <row r="8" spans="2:26" x14ac:dyDescent="0.45">
      <c r="B8" s="4" t="s">
        <v>10</v>
      </c>
      <c r="C8" s="4" t="s">
        <v>4</v>
      </c>
      <c r="D8" s="4">
        <v>3981.6</v>
      </c>
      <c r="E8" s="3">
        <v>939.61803067669177</v>
      </c>
      <c r="F8" s="4">
        <v>5634.4</v>
      </c>
      <c r="G8" s="4">
        <f>F8-D8</f>
        <v>1652.7999999999997</v>
      </c>
      <c r="H8" s="9">
        <f t="shared" si="1"/>
        <v>0.11699064074874009</v>
      </c>
      <c r="I8" s="4">
        <f t="shared" si="2"/>
        <v>1.7590126477348358</v>
      </c>
      <c r="J8" s="4">
        <f t="shared" si="3"/>
        <v>1.5747783227223249</v>
      </c>
      <c r="K8" s="2"/>
      <c r="L8" s="4">
        <v>18.47</v>
      </c>
      <c r="M8" s="4">
        <v>49.5</v>
      </c>
      <c r="N8" s="4">
        <v>46.25</v>
      </c>
      <c r="O8" s="8">
        <f t="shared" si="4"/>
        <v>0.11699064074874009</v>
      </c>
      <c r="Q8" s="16">
        <v>1.6211254126066166E-3</v>
      </c>
      <c r="R8" s="16">
        <v>1.6015937811282299E-3</v>
      </c>
      <c r="S8" s="16">
        <v>1.6015937811282299E-3</v>
      </c>
      <c r="T8" s="16">
        <v>1.6015937811317826E-3</v>
      </c>
      <c r="U8" s="16">
        <v>1.5820621496516196E-3</v>
      </c>
      <c r="V8" s="22">
        <f>AVERAGE(Q8:U8)</f>
        <v>1.6015937811292957E-3</v>
      </c>
      <c r="X8" s="3">
        <f>J8</f>
        <v>1.5747783227223249</v>
      </c>
      <c r="Y8" s="18">
        <f>O8</f>
        <v>0.11699064074874009</v>
      </c>
      <c r="Z8" s="3">
        <f t="shared" si="5"/>
        <v>1.6015937811292957E-3</v>
      </c>
    </row>
    <row r="9" spans="2:26" x14ac:dyDescent="0.45">
      <c r="B9" s="2"/>
      <c r="C9" s="2"/>
      <c r="D9" s="2"/>
      <c r="F9" s="2"/>
      <c r="G9" s="2"/>
      <c r="H9" s="11"/>
      <c r="I9" s="2"/>
      <c r="J9" s="2"/>
      <c r="K9" s="2"/>
      <c r="L9" s="2"/>
      <c r="M9" s="2"/>
      <c r="N9" s="2"/>
      <c r="O9" s="12"/>
      <c r="X9" s="3"/>
      <c r="Y9" s="18"/>
      <c r="Z9" s="3"/>
    </row>
    <row r="10" spans="2:26" x14ac:dyDescent="0.45">
      <c r="B10" s="4" t="s">
        <v>33</v>
      </c>
      <c r="C10" s="4" t="s">
        <v>5</v>
      </c>
      <c r="D10" s="4">
        <f>3557</f>
        <v>3557</v>
      </c>
      <c r="E10" s="3">
        <v>939.61803067669177</v>
      </c>
      <c r="F10" s="4">
        <v>5367.4</v>
      </c>
      <c r="G10" s="4">
        <f t="shared" si="0"/>
        <v>1810.3999999999996</v>
      </c>
      <c r="H10" s="9">
        <f t="shared" si="1"/>
        <v>0.10631793478260841</v>
      </c>
      <c r="I10" s="4">
        <f t="shared" si="2"/>
        <v>1.9267403784239754</v>
      </c>
      <c r="J10" s="4">
        <f t="shared" si="3"/>
        <v>1.741579267448629</v>
      </c>
      <c r="K10" s="2"/>
      <c r="L10" s="4">
        <v>18.84</v>
      </c>
      <c r="M10" s="4">
        <v>51.41</v>
      </c>
      <c r="N10" s="4">
        <v>48.28</v>
      </c>
      <c r="O10" s="10">
        <f t="shared" si="4"/>
        <v>0.10631793478260841</v>
      </c>
      <c r="Q10" s="16">
        <v>1.1914295201123082E-3</v>
      </c>
      <c r="R10" s="16">
        <v>1.2109611515853658E-3</v>
      </c>
      <c r="S10">
        <v>1.2890876774935833E-3</v>
      </c>
      <c r="T10">
        <v>1.2500244145385864E-3</v>
      </c>
      <c r="U10" s="16">
        <v>1.1523662571590876E-3</v>
      </c>
      <c r="V10" s="23">
        <f>AVERAGE(S10:T10)</f>
        <v>1.2695560460160848E-3</v>
      </c>
      <c r="X10" s="3">
        <f>J10</f>
        <v>1.741579267448629</v>
      </c>
      <c r="Y10" s="18">
        <f>O10</f>
        <v>0.10631793478260841</v>
      </c>
      <c r="Z10" s="3">
        <f t="shared" si="5"/>
        <v>1.2695560460160848E-3</v>
      </c>
    </row>
    <row r="11" spans="2:26" x14ac:dyDescent="0.45">
      <c r="B11" s="4" t="s">
        <v>33</v>
      </c>
      <c r="C11" s="4" t="s">
        <v>6</v>
      </c>
      <c r="D11" s="4">
        <v>3580.8</v>
      </c>
      <c r="E11" s="3">
        <v>939.61803067669177</v>
      </c>
      <c r="F11" s="4">
        <v>5506.4</v>
      </c>
      <c r="G11" s="4">
        <f t="shared" si="0"/>
        <v>1925.5999999999995</v>
      </c>
      <c r="H11" s="9">
        <f t="shared" si="1"/>
        <v>0.14524886877828025</v>
      </c>
      <c r="I11" s="4">
        <f t="shared" si="2"/>
        <v>2.0493433896891333</v>
      </c>
      <c r="J11" s="4">
        <f t="shared" si="3"/>
        <v>1.7894306168364227</v>
      </c>
      <c r="K11" s="2"/>
      <c r="L11" s="4">
        <v>14.74</v>
      </c>
      <c r="M11" s="4">
        <v>40.049999999999997</v>
      </c>
      <c r="N11" s="4">
        <v>36.840000000000003</v>
      </c>
      <c r="O11" s="10">
        <f t="shared" si="4"/>
        <v>0.14524886877828025</v>
      </c>
      <c r="Q11" s="16">
        <v>1.2695560460187494E-3</v>
      </c>
      <c r="R11" s="16">
        <v>1.2695560460151967E-3</v>
      </c>
      <c r="S11" s="16">
        <v>1.2500244145385864E-3</v>
      </c>
      <c r="T11" s="16">
        <v>1.2304927830655288E-3</v>
      </c>
      <c r="U11" s="3"/>
      <c r="V11" s="22">
        <f>AVERAGE(Q11:U11)</f>
        <v>1.2549073224095153E-3</v>
      </c>
      <c r="X11" s="3">
        <f>J11</f>
        <v>1.7894306168364227</v>
      </c>
      <c r="Y11" s="18">
        <f>O11</f>
        <v>0.14524886877828025</v>
      </c>
      <c r="Z11" s="3">
        <f t="shared" si="5"/>
        <v>1.2549073224095153E-3</v>
      </c>
    </row>
    <row r="12" spans="2:26" x14ac:dyDescent="0.45">
      <c r="B12" s="4" t="s">
        <v>33</v>
      </c>
      <c r="C12" s="4" t="s">
        <v>7</v>
      </c>
      <c r="D12" s="4">
        <f>3594.6</f>
        <v>3594.6</v>
      </c>
      <c r="E12" s="3">
        <v>939.61803067669177</v>
      </c>
      <c r="F12" s="4">
        <v>5571.6</v>
      </c>
      <c r="G12" s="4">
        <f t="shared" si="0"/>
        <v>1977.0000000000005</v>
      </c>
      <c r="H12" s="9">
        <f t="shared" si="1"/>
        <v>0.16490566037735838</v>
      </c>
      <c r="I12" s="4">
        <f t="shared" si="2"/>
        <v>2.1040464693682064</v>
      </c>
      <c r="J12" s="4">
        <f t="shared" si="3"/>
        <v>1.8061947339895521</v>
      </c>
      <c r="K12" s="2"/>
      <c r="L12" s="4">
        <v>19.059999999999999</v>
      </c>
      <c r="M12" s="4">
        <v>49.93</v>
      </c>
      <c r="N12" s="4">
        <v>45.56</v>
      </c>
      <c r="O12" s="10">
        <f t="shared" si="4"/>
        <v>0.16490566037735838</v>
      </c>
      <c r="Q12" s="16">
        <v>1.4844039922650154E-3</v>
      </c>
      <c r="R12" s="16">
        <v>1.4648723607919578E-3</v>
      </c>
      <c r="S12" s="16">
        <v>1.4648723607919578E-3</v>
      </c>
      <c r="T12" s="16">
        <v>1.4453407293189002E-3</v>
      </c>
      <c r="U12" s="16">
        <v>1.4648723607990632E-3</v>
      </c>
      <c r="V12" s="22">
        <f>AVERAGE(Q12:U12)</f>
        <v>1.464872360793379E-3</v>
      </c>
      <c r="X12" s="3">
        <f>J12</f>
        <v>1.8061947339895521</v>
      </c>
      <c r="Y12" s="18">
        <f>O12</f>
        <v>0.16490566037735838</v>
      </c>
      <c r="Z12" s="3">
        <f t="shared" si="5"/>
        <v>1.464872360793379E-3</v>
      </c>
    </row>
    <row r="13" spans="2:26" x14ac:dyDescent="0.45">
      <c r="B13" s="4" t="s">
        <v>33</v>
      </c>
      <c r="C13" s="4" t="s">
        <v>34</v>
      </c>
      <c r="D13" s="4">
        <f>3625.2</f>
        <v>3625.2</v>
      </c>
      <c r="E13" s="3">
        <v>939.61803067669177</v>
      </c>
      <c r="F13" s="4">
        <v>5317</v>
      </c>
      <c r="G13" s="4">
        <f t="shared" si="0"/>
        <v>1691.8000000000002</v>
      </c>
      <c r="H13" s="9">
        <f t="shared" si="1"/>
        <v>7.9882740930743851E-2</v>
      </c>
      <c r="I13" s="4">
        <f t="shared" si="2"/>
        <v>1.800518875506895</v>
      </c>
      <c r="J13" s="4">
        <f t="shared" si="3"/>
        <v>1.6673281341222654</v>
      </c>
      <c r="K13" s="2"/>
      <c r="L13" s="4">
        <v>19.02</v>
      </c>
      <c r="M13" s="4">
        <v>48.49</v>
      </c>
      <c r="N13" s="4">
        <v>46.31</v>
      </c>
      <c r="O13" s="10">
        <f t="shared" si="4"/>
        <v>7.9882740930743851E-2</v>
      </c>
      <c r="Q13" s="16">
        <v>1.2109611515853658E-3</v>
      </c>
      <c r="R13" s="16">
        <v>1.2109611515853658E-3</v>
      </c>
      <c r="S13">
        <v>1.3867458348792994E-3</v>
      </c>
      <c r="T13" s="16">
        <v>1.2109611515853658E-3</v>
      </c>
      <c r="U13" s="16">
        <v>1.1914295201052028E-3</v>
      </c>
      <c r="V13" s="22">
        <f>AVERAGE(R13:S13)</f>
        <v>1.2988534932323326E-3</v>
      </c>
      <c r="X13" s="3">
        <f>J13</f>
        <v>1.6673281341222654</v>
      </c>
      <c r="Y13" s="18">
        <f>O13</f>
        <v>7.9882740930743851E-2</v>
      </c>
      <c r="Z13" s="3">
        <f t="shared" si="5"/>
        <v>1.2988534932323326E-3</v>
      </c>
    </row>
    <row r="14" spans="2:26" x14ac:dyDescent="0.45">
      <c r="B14" s="4" t="s">
        <v>33</v>
      </c>
      <c r="C14" s="4" t="s">
        <v>34</v>
      </c>
      <c r="D14" s="4">
        <f>3625.2</f>
        <v>3625.2</v>
      </c>
      <c r="E14" s="3">
        <v>939.61803067669177</v>
      </c>
      <c r="F14" s="4">
        <v>5409.4</v>
      </c>
      <c r="G14" s="4">
        <f t="shared" ref="G14" si="6">F14-D14</f>
        <v>1784.1999999999998</v>
      </c>
      <c r="H14" s="9">
        <f t="shared" ref="H14" si="7">O14</f>
        <v>0.22849968612680469</v>
      </c>
      <c r="I14" s="4">
        <f t="shared" ref="I14" si="8">G14/E14</f>
        <v>1.8988567074591567</v>
      </c>
      <c r="J14" s="4">
        <f t="shared" ref="J14" si="9">I14/(1+H14)</f>
        <v>1.5456713004509131</v>
      </c>
      <c r="K14" s="2"/>
      <c r="L14" s="4">
        <v>19.559999999999999</v>
      </c>
      <c r="M14" s="4">
        <v>58.7</v>
      </c>
      <c r="N14" s="4">
        <v>51.42</v>
      </c>
      <c r="O14" s="10">
        <f t="shared" ref="O14" si="10">((M14-L14)-(N14-L14))/(N14-L14)</f>
        <v>0.22849968612680469</v>
      </c>
      <c r="Q14" s="16">
        <v>2.2461376198754657E-3</v>
      </c>
      <c r="R14" s="16">
        <v>1.7578468329464414E-3</v>
      </c>
      <c r="S14" s="16">
        <v>1.6406570440814505E-3</v>
      </c>
      <c r="T14" s="16">
        <v>1.6406570440850032E-3</v>
      </c>
      <c r="U14" s="16">
        <v>1.6015937811282299E-3</v>
      </c>
      <c r="V14" s="22">
        <f>AVERAGE(Q14:U14)</f>
        <v>1.7773784644233182E-3</v>
      </c>
      <c r="X14" s="3">
        <f>J14</f>
        <v>1.5456713004509131</v>
      </c>
      <c r="Y14" s="18">
        <f>O14</f>
        <v>0.22849968612680469</v>
      </c>
      <c r="Z14" s="3">
        <f t="shared" si="5"/>
        <v>1.7773784644233182E-3</v>
      </c>
    </row>
    <row r="15" spans="2:26" x14ac:dyDescent="0.45">
      <c r="X15" s="3"/>
      <c r="Y15" s="18"/>
      <c r="Z15" s="3"/>
    </row>
    <row r="16" spans="2:26" x14ac:dyDescent="0.45">
      <c r="B16" s="4" t="s">
        <v>35</v>
      </c>
      <c r="C16" s="4" t="s">
        <v>1</v>
      </c>
      <c r="D16" s="4">
        <v>3579</v>
      </c>
      <c r="E16" s="3">
        <v>939.61803067669177</v>
      </c>
      <c r="F16" s="4">
        <v>5397</v>
      </c>
      <c r="G16" s="4">
        <f t="shared" si="0"/>
        <v>1818</v>
      </c>
      <c r="H16" s="9">
        <f t="shared" si="1"/>
        <v>9.0436590436590164E-2</v>
      </c>
      <c r="I16" s="4">
        <f t="shared" si="2"/>
        <v>1.9348287715282744</v>
      </c>
      <c r="J16" s="4">
        <f t="shared" si="3"/>
        <v>1.7743615616875121</v>
      </c>
      <c r="L16" s="4">
        <v>18.39</v>
      </c>
      <c r="M16" s="4">
        <v>39.369999999999997</v>
      </c>
      <c r="N16" s="4">
        <v>37.630000000000003</v>
      </c>
      <c r="O16" s="10">
        <f>((M16-L16)-(N16-L16))/(N16-L16)</f>
        <v>9.0436590436590164E-2</v>
      </c>
      <c r="Q16" s="16">
        <v>1.2695560460187494E-3</v>
      </c>
      <c r="R16" s="16">
        <v>1.1914295201123082E-3</v>
      </c>
      <c r="S16" s="16">
        <v>1.2109611515853658E-3</v>
      </c>
      <c r="T16" s="16">
        <v>1.1914295201052028E-3</v>
      </c>
      <c r="U16" s="16">
        <v>1.1718978886250397E-3</v>
      </c>
      <c r="V16" s="22">
        <f>AVERAGE(Q16:U16)</f>
        <v>1.2070548252893331E-3</v>
      </c>
      <c r="X16" s="3">
        <f>J16</f>
        <v>1.7743615616875121</v>
      </c>
      <c r="Y16" s="18">
        <f>O16</f>
        <v>9.0436590436590164E-2</v>
      </c>
      <c r="Z16" s="3">
        <f t="shared" si="5"/>
        <v>1.2070548252893331E-3</v>
      </c>
    </row>
    <row r="17" spans="2:26" x14ac:dyDescent="0.45">
      <c r="B17" s="4" t="s">
        <v>35</v>
      </c>
      <c r="C17" s="4" t="s">
        <v>2</v>
      </c>
      <c r="D17" s="4">
        <v>3573.4</v>
      </c>
      <c r="E17" s="3">
        <v>939.61803067669177</v>
      </c>
      <c r="F17" s="4">
        <v>5541.8</v>
      </c>
      <c r="G17" s="4">
        <f t="shared" si="0"/>
        <v>1968.4</v>
      </c>
      <c r="H17" s="9">
        <f t="shared" si="1"/>
        <v>0.1508515815085158</v>
      </c>
      <c r="I17" s="4">
        <f t="shared" si="2"/>
        <v>2.094893814013342</v>
      </c>
      <c r="J17" s="4">
        <f t="shared" si="3"/>
        <v>1.8202988531912971</v>
      </c>
      <c r="L17" s="4">
        <v>19.03</v>
      </c>
      <c r="M17" s="4">
        <v>47.41</v>
      </c>
      <c r="N17" s="4">
        <v>43.69</v>
      </c>
      <c r="O17" s="10">
        <f t="shared" si="4"/>
        <v>0.1508515815085158</v>
      </c>
      <c r="Q17" s="16">
        <v>1.0937713627185985E-3</v>
      </c>
      <c r="R17" s="16">
        <v>1.1914295201123082E-3</v>
      </c>
      <c r="S17" s="16">
        <v>1.074239731245541E-3</v>
      </c>
      <c r="T17" s="16">
        <v>1.0742397312384355E-3</v>
      </c>
      <c r="U17" s="16">
        <v>1.0742397312526464E-3</v>
      </c>
      <c r="V17" s="22">
        <f>AVERAGE(Q17:U17)</f>
        <v>1.101584015313506E-3</v>
      </c>
      <c r="X17" s="3">
        <f>J17</f>
        <v>1.8202988531912971</v>
      </c>
      <c r="Y17" s="18">
        <f>O17</f>
        <v>0.1508515815085158</v>
      </c>
      <c r="Z17" s="3">
        <f t="shared" si="5"/>
        <v>1.101584015313506E-3</v>
      </c>
    </row>
    <row r="18" spans="2:26" x14ac:dyDescent="0.45">
      <c r="B18" s="4" t="s">
        <v>35</v>
      </c>
      <c r="C18" s="4" t="s">
        <v>3</v>
      </c>
      <c r="D18" s="4">
        <v>3575.8</v>
      </c>
      <c r="E18" s="3">
        <v>939.61803067669177</v>
      </c>
      <c r="F18" s="4">
        <v>5540.4</v>
      </c>
      <c r="G18" s="4">
        <f t="shared" si="0"/>
        <v>1964.5999999999995</v>
      </c>
      <c r="H18" s="9">
        <f t="shared" si="1"/>
        <v>0.18550811785929003</v>
      </c>
      <c r="I18" s="4">
        <f t="shared" si="2"/>
        <v>2.0908496174611919</v>
      </c>
      <c r="J18" s="4">
        <f t="shared" si="3"/>
        <v>1.7636738086928547</v>
      </c>
      <c r="L18" s="4">
        <v>18.98</v>
      </c>
      <c r="M18" s="4">
        <v>58.41</v>
      </c>
      <c r="N18" s="4">
        <v>52.24</v>
      </c>
      <c r="O18" s="10">
        <f t="shared" si="4"/>
        <v>0.18550811785929003</v>
      </c>
      <c r="Q18" s="16">
        <v>1.4258090978351845E-3</v>
      </c>
      <c r="R18" s="16">
        <v>1.3867458348855166E-3</v>
      </c>
      <c r="S18" s="16">
        <v>1.4062774663585742E-3</v>
      </c>
      <c r="T18" s="16">
        <v>1.4062774663514688E-3</v>
      </c>
      <c r="U18" s="16">
        <v>1.3672142033982482E-3</v>
      </c>
      <c r="V18" s="22">
        <f>AVERAGE(Q18:U18)</f>
        <v>1.3984648137657985E-3</v>
      </c>
      <c r="X18" s="3">
        <f>J18</f>
        <v>1.7636738086928547</v>
      </c>
      <c r="Y18" s="18">
        <f>O18</f>
        <v>0.18550811785929003</v>
      </c>
      <c r="Z18" s="3">
        <f t="shared" si="5"/>
        <v>1.3984648137657985E-3</v>
      </c>
    </row>
    <row r="19" spans="2:26" x14ac:dyDescent="0.45">
      <c r="B19" s="4" t="s">
        <v>35</v>
      </c>
      <c r="C19" s="4" t="s">
        <v>4</v>
      </c>
      <c r="D19" s="4">
        <v>3981.6</v>
      </c>
      <c r="E19" s="3">
        <v>939.618030676692</v>
      </c>
      <c r="F19" s="4">
        <v>5872.2</v>
      </c>
      <c r="G19" s="4">
        <f t="shared" si="0"/>
        <v>1890.6</v>
      </c>
      <c r="H19" s="9">
        <f t="shared" si="1"/>
        <v>0.22477693891557984</v>
      </c>
      <c r="I19" s="4">
        <f t="shared" si="2"/>
        <v>2.0120942109193369</v>
      </c>
      <c r="J19" s="4">
        <f t="shared" si="3"/>
        <v>1.642825029593429</v>
      </c>
      <c r="L19" s="4">
        <v>19.18</v>
      </c>
      <c r="M19" s="4">
        <v>54.87</v>
      </c>
      <c r="N19" s="4">
        <v>48.32</v>
      </c>
      <c r="O19" s="10">
        <f t="shared" si="4"/>
        <v>0.22477693891557984</v>
      </c>
      <c r="Q19" s="16">
        <v>2.5195804605502303E-3</v>
      </c>
      <c r="R19" s="16">
        <v>2.4414539346508946E-3</v>
      </c>
      <c r="S19" s="16">
        <v>2.2461376198776861E-3</v>
      </c>
      <c r="T19" s="16">
        <v>2.1289478310109189E-3</v>
      </c>
      <c r="U19" s="16">
        <v>2.1680110939570341E-3</v>
      </c>
      <c r="V19" s="22">
        <f>AVERAGE(Q19:U19)</f>
        <v>2.3008261880093526E-3</v>
      </c>
      <c r="X19" s="3">
        <f>J19</f>
        <v>1.642825029593429</v>
      </c>
      <c r="Y19" s="18">
        <f>O19</f>
        <v>0.22477693891557984</v>
      </c>
      <c r="Z19" s="3">
        <f t="shared" si="5"/>
        <v>2.3008261880093526E-3</v>
      </c>
    </row>
    <row r="40" spans="14:15" x14ac:dyDescent="0.45">
      <c r="N40" s="1" t="s">
        <v>36</v>
      </c>
      <c r="O40" s="13">
        <v>0.02</v>
      </c>
    </row>
    <row r="41" spans="14:15" x14ac:dyDescent="0.45">
      <c r="N41" s="1" t="s">
        <v>37</v>
      </c>
      <c r="O41" s="13">
        <v>0.09</v>
      </c>
    </row>
    <row r="42" spans="14:15" x14ac:dyDescent="0.45">
      <c r="N42" s="1" t="s">
        <v>38</v>
      </c>
      <c r="O42" s="1">
        <f>(O41-O40)*2200</f>
        <v>153.99999999999997</v>
      </c>
    </row>
    <row r="44" spans="14:15" x14ac:dyDescent="0.45">
      <c r="O44" s="1" t="e">
        <f>#REF!*100/2200</f>
        <v>#REF!</v>
      </c>
    </row>
  </sheetData>
  <mergeCells count="4">
    <mergeCell ref="B2:J2"/>
    <mergeCell ref="L2:O2"/>
    <mergeCell ref="Q2:V2"/>
    <mergeCell ref="X2:Z2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C3272-A650-401E-8B43-681B2EF1EDC7}">
  <dimension ref="B2:Z53"/>
  <sheetViews>
    <sheetView topLeftCell="A10" zoomScale="70" zoomScaleNormal="70" workbookViewId="0">
      <selection activeCell="R47" sqref="R47"/>
    </sheetView>
  </sheetViews>
  <sheetFormatPr defaultColWidth="9" defaultRowHeight="14.25" x14ac:dyDescent="0.45"/>
  <cols>
    <col min="1" max="1" width="9" style="1"/>
    <col min="2" max="2" width="10.1328125" style="1" customWidth="1"/>
    <col min="3" max="5" width="9" style="1"/>
    <col min="6" max="6" width="12.33203125" style="1" customWidth="1"/>
    <col min="7" max="7" width="9" style="1" customWidth="1"/>
    <col min="8" max="8" width="9.1328125" style="1" customWidth="1"/>
    <col min="9" max="10" width="7.1328125" style="1" customWidth="1"/>
    <col min="11" max="11" width="4" style="1" customWidth="1"/>
    <col min="12" max="12" width="8.1328125" style="1" customWidth="1"/>
    <col min="13" max="13" width="12.1328125" style="1" customWidth="1"/>
    <col min="14" max="14" width="11.1328125" style="1" customWidth="1"/>
    <col min="15" max="16384" width="9" style="1"/>
  </cols>
  <sheetData>
    <row r="2" spans="2:26" x14ac:dyDescent="0.45">
      <c r="B2" s="24"/>
      <c r="C2" s="24"/>
      <c r="D2" s="24"/>
      <c r="E2" s="24"/>
      <c r="F2" s="24"/>
      <c r="G2" s="24"/>
      <c r="H2" s="24"/>
      <c r="I2" s="24"/>
      <c r="J2" s="24"/>
      <c r="K2" s="2"/>
      <c r="L2" s="24"/>
      <c r="M2" s="24"/>
      <c r="N2" s="24"/>
      <c r="O2" s="24"/>
      <c r="Q2" s="24" t="s">
        <v>39</v>
      </c>
      <c r="R2" s="24"/>
      <c r="S2" s="24"/>
      <c r="T2" s="24"/>
      <c r="U2" s="24"/>
      <c r="V2" s="24"/>
      <c r="X2" s="24" t="s">
        <v>40</v>
      </c>
      <c r="Y2" s="24"/>
      <c r="Z2" s="24"/>
    </row>
    <row r="3" spans="2:26" x14ac:dyDescent="0.45">
      <c r="B3" s="6" t="s">
        <v>9</v>
      </c>
      <c r="C3" s="6" t="s">
        <v>0</v>
      </c>
      <c r="D3" s="6" t="s">
        <v>19</v>
      </c>
      <c r="E3" s="6" t="s">
        <v>20</v>
      </c>
      <c r="F3" s="6" t="s">
        <v>22</v>
      </c>
      <c r="G3" s="6" t="s">
        <v>23</v>
      </c>
      <c r="H3" s="6" t="s">
        <v>11</v>
      </c>
      <c r="I3" s="7" t="s">
        <v>12</v>
      </c>
      <c r="J3" s="7" t="s">
        <v>13</v>
      </c>
      <c r="K3" s="2"/>
      <c r="L3" s="6" t="s">
        <v>18</v>
      </c>
      <c r="M3" s="6" t="s">
        <v>24</v>
      </c>
      <c r="N3" s="6" t="s">
        <v>25</v>
      </c>
      <c r="O3" s="6" t="s">
        <v>11</v>
      </c>
      <c r="Q3" s="6" t="s">
        <v>26</v>
      </c>
      <c r="R3" s="6" t="s">
        <v>27</v>
      </c>
      <c r="S3" s="6" t="s">
        <v>28</v>
      </c>
      <c r="T3" s="6" t="s">
        <v>29</v>
      </c>
      <c r="U3" s="6" t="s">
        <v>30</v>
      </c>
      <c r="V3" s="6" t="s">
        <v>31</v>
      </c>
      <c r="X3" s="7" t="s">
        <v>13</v>
      </c>
      <c r="Y3" s="6" t="s">
        <v>11</v>
      </c>
      <c r="Z3" s="6" t="s">
        <v>31</v>
      </c>
    </row>
    <row r="4" spans="2:26" x14ac:dyDescent="0.45">
      <c r="B4" s="2" t="s">
        <v>14</v>
      </c>
      <c r="C4" s="2" t="s">
        <v>14</v>
      </c>
      <c r="D4" s="2" t="s">
        <v>8</v>
      </c>
      <c r="E4" s="2" t="s">
        <v>21</v>
      </c>
      <c r="F4" s="2" t="s">
        <v>8</v>
      </c>
      <c r="G4" s="2" t="s">
        <v>8</v>
      </c>
      <c r="H4" s="2" t="s">
        <v>17</v>
      </c>
      <c r="I4" s="5" t="s">
        <v>15</v>
      </c>
      <c r="J4" s="5" t="s">
        <v>15</v>
      </c>
      <c r="K4" s="2"/>
      <c r="L4" s="2" t="s">
        <v>8</v>
      </c>
      <c r="M4" s="2" t="s">
        <v>8</v>
      </c>
      <c r="N4" s="2" t="s">
        <v>8</v>
      </c>
      <c r="O4" s="2" t="s">
        <v>17</v>
      </c>
      <c r="Q4" s="2" t="s">
        <v>32</v>
      </c>
      <c r="R4" s="2" t="s">
        <v>32</v>
      </c>
      <c r="S4" s="2" t="s">
        <v>32</v>
      </c>
      <c r="T4" s="2" t="s">
        <v>32</v>
      </c>
      <c r="U4" s="2" t="s">
        <v>32</v>
      </c>
      <c r="V4" s="2" t="s">
        <v>32</v>
      </c>
      <c r="X4" s="5" t="s">
        <v>15</v>
      </c>
      <c r="Y4" s="2" t="s">
        <v>17</v>
      </c>
      <c r="Z4" s="2" t="s">
        <v>32</v>
      </c>
    </row>
    <row r="5" spans="2:26" x14ac:dyDescent="0.45">
      <c r="B5" s="4" t="s">
        <v>10</v>
      </c>
      <c r="C5" s="4" t="s">
        <v>1</v>
      </c>
      <c r="D5" s="4">
        <v>3579</v>
      </c>
      <c r="E5" s="3">
        <v>939.61803067669177</v>
      </c>
      <c r="F5" s="4">
        <v>5013.2</v>
      </c>
      <c r="G5" s="4">
        <f>F5-D5</f>
        <v>1434.1999999999998</v>
      </c>
      <c r="H5" s="9">
        <f>O5</f>
        <v>0.11302982731554165</v>
      </c>
      <c r="I5" s="4">
        <f>G5/E5</f>
        <v>1.5263649197611941</v>
      </c>
      <c r="J5" s="4">
        <f>I5/(1+H5)</f>
        <v>1.371360301675431</v>
      </c>
      <c r="K5" s="2"/>
      <c r="L5" s="4">
        <v>18.79</v>
      </c>
      <c r="M5" s="4">
        <v>54.24</v>
      </c>
      <c r="N5" s="4">
        <v>50.64</v>
      </c>
      <c r="O5" s="8">
        <f>((M5-L5)-(N5-L5))/(N5-L5)</f>
        <v>0.11302982731554165</v>
      </c>
      <c r="Q5" s="16">
        <v>1.9531631477178735E-3</v>
      </c>
      <c r="R5" s="16">
        <v>1.8555049903312693E-3</v>
      </c>
      <c r="S5" s="16">
        <v>1.8164417273780487E-3</v>
      </c>
      <c r="T5" s="16">
        <v>1.8164417273780487E-3</v>
      </c>
      <c r="U5" s="16">
        <v>1.7969100958978856E-3</v>
      </c>
      <c r="V5" s="17">
        <f>AVERAGE(Q5:U5)</f>
        <v>1.8476923377406251E-3</v>
      </c>
      <c r="X5" s="3">
        <f>J5</f>
        <v>1.371360301675431</v>
      </c>
      <c r="Y5" s="18">
        <f>O5</f>
        <v>0.11302982731554165</v>
      </c>
      <c r="Z5" s="3">
        <f>V5</f>
        <v>1.8476923377406251E-3</v>
      </c>
    </row>
    <row r="6" spans="2:26" x14ac:dyDescent="0.45">
      <c r="B6" s="4" t="s">
        <v>10</v>
      </c>
      <c r="C6" s="4" t="s">
        <v>2</v>
      </c>
      <c r="D6" s="4">
        <v>3573.4</v>
      </c>
      <c r="E6" s="3">
        <v>939.61803067669177</v>
      </c>
      <c r="F6" s="4">
        <v>5134.2</v>
      </c>
      <c r="G6" s="4">
        <f t="shared" ref="G6:G19" si="0">F6-D6</f>
        <v>1560.7999999999997</v>
      </c>
      <c r="H6" s="9">
        <f t="shared" ref="H6:H19" si="1">O6</f>
        <v>0.14261363636363625</v>
      </c>
      <c r="I6" s="4">
        <f t="shared" ref="I6:I19" si="2">G6/E6</f>
        <v>1.6611005206827998</v>
      </c>
      <c r="J6" s="4">
        <f t="shared" ref="J6:J19" si="3">I6/(1+H6)</f>
        <v>1.4537727083051852</v>
      </c>
      <c r="K6" s="2"/>
      <c r="L6" s="4">
        <v>18.329999999999998</v>
      </c>
      <c r="M6" s="4">
        <v>38.44</v>
      </c>
      <c r="N6" s="4">
        <v>35.93</v>
      </c>
      <c r="O6" s="8">
        <f t="shared" ref="O6:O19" si="4">((M6-L6)-(N6-L6))/(N6-L6)</f>
        <v>0.14261363636363625</v>
      </c>
      <c r="Q6" s="16">
        <v>1.796910095899662E-3</v>
      </c>
      <c r="R6" s="16">
        <v>1.7773784644248281E-3</v>
      </c>
      <c r="S6" s="16">
        <v>1.6015937811246772E-3</v>
      </c>
      <c r="T6" s="16">
        <v>1.6211254125977348E-3</v>
      </c>
      <c r="U6" s="16">
        <v>1.5625305181714566E-3</v>
      </c>
      <c r="V6" s="17">
        <f>AVERAGE(Q6,R6,T6)</f>
        <v>1.7318046576407415E-3</v>
      </c>
      <c r="X6" s="3">
        <f>J6</f>
        <v>1.4537727083051852</v>
      </c>
      <c r="Y6" s="18">
        <f t="shared" ref="Y6:Y19" si="5">O6</f>
        <v>0.14261363636363625</v>
      </c>
      <c r="Z6" s="3">
        <f t="shared" ref="Z6:Z9" si="6">V6</f>
        <v>1.7318046576407415E-3</v>
      </c>
    </row>
    <row r="7" spans="2:26" x14ac:dyDescent="0.45">
      <c r="B7" s="4" t="s">
        <v>10</v>
      </c>
      <c r="C7" s="4" t="s">
        <v>3</v>
      </c>
      <c r="D7" s="4">
        <f>3525.8</f>
        <v>3525.8</v>
      </c>
      <c r="E7" s="3">
        <v>939.61803067669177</v>
      </c>
      <c r="F7" s="4">
        <v>5224</v>
      </c>
      <c r="G7" s="4">
        <f t="shared" si="0"/>
        <v>1698.1999999999998</v>
      </c>
      <c r="H7" s="9">
        <f t="shared" si="1"/>
        <v>0.19204244031830223</v>
      </c>
      <c r="I7" s="4">
        <f t="shared" si="2"/>
        <v>1.8073301539105144</v>
      </c>
      <c r="J7" s="4">
        <f t="shared" si="3"/>
        <v>1.5161625901741522</v>
      </c>
      <c r="K7" s="2"/>
      <c r="L7" s="4">
        <v>18.71</v>
      </c>
      <c r="M7" s="4">
        <v>41.18</v>
      </c>
      <c r="N7" s="4">
        <v>37.56</v>
      </c>
      <c r="O7" s="8">
        <f t="shared" si="4"/>
        <v>0.19204244031830223</v>
      </c>
      <c r="Q7" s="16">
        <v>1.6992519385183869E-3</v>
      </c>
      <c r="R7" s="16">
        <v>1.8359733588511062E-3</v>
      </c>
      <c r="S7" s="16">
        <v>1.6601886755722717E-3</v>
      </c>
      <c r="T7" s="16">
        <v>1.6797203070382238E-3</v>
      </c>
      <c r="U7" s="16">
        <v>1.6601886755722717E-3</v>
      </c>
      <c r="V7" s="19">
        <f>U7</f>
        <v>1.6601886755722717E-3</v>
      </c>
      <c r="X7" s="3">
        <f>J7</f>
        <v>1.5161625901741522</v>
      </c>
      <c r="Y7" s="18">
        <f t="shared" si="5"/>
        <v>0.19204244031830223</v>
      </c>
      <c r="Z7" s="3">
        <f t="shared" si="6"/>
        <v>1.6601886755722717E-3</v>
      </c>
    </row>
    <row r="8" spans="2:26" x14ac:dyDescent="0.45">
      <c r="B8" s="4" t="s">
        <v>10</v>
      </c>
      <c r="C8" s="4" t="s">
        <v>4</v>
      </c>
      <c r="D8" s="4">
        <v>3981.6</v>
      </c>
      <c r="E8" s="3">
        <v>939.61803067669177</v>
      </c>
      <c r="F8" s="4">
        <v>5768.8</v>
      </c>
      <c r="G8" s="4">
        <f>F8-D8</f>
        <v>1787.2000000000003</v>
      </c>
      <c r="H8" s="9">
        <f t="shared" si="1"/>
        <v>0.24606215410813118</v>
      </c>
      <c r="I8" s="4">
        <f t="shared" si="2"/>
        <v>1.9020494942108539</v>
      </c>
      <c r="J8" s="4">
        <f t="shared" si="3"/>
        <v>1.5264483299970262</v>
      </c>
      <c r="K8" s="2"/>
      <c r="L8" s="4">
        <v>18.87</v>
      </c>
      <c r="M8" s="4">
        <v>48.14</v>
      </c>
      <c r="N8" s="4">
        <v>42.36</v>
      </c>
      <c r="O8" s="8">
        <f t="shared" si="4"/>
        <v>0.24606215410813118</v>
      </c>
      <c r="Q8" s="16">
        <v>2.7344284068036018E-3</v>
      </c>
      <c r="R8" s="16">
        <v>2.5391120920339461E-3</v>
      </c>
      <c r="S8" s="16">
        <v>2.7148967753305442E-3</v>
      </c>
      <c r="T8" s="16">
        <v>2.6367702494169976E-3</v>
      </c>
      <c r="U8" s="16">
        <v>2.6563018808900551E-3</v>
      </c>
      <c r="V8" s="17">
        <f t="shared" ref="V8:V14" si="7">AVERAGE(Q8:U8)</f>
        <v>2.656301880895029E-3</v>
      </c>
      <c r="X8" s="3">
        <f>J8</f>
        <v>1.5264483299970262</v>
      </c>
      <c r="Y8" s="18">
        <f t="shared" si="5"/>
        <v>0.24606215410813118</v>
      </c>
      <c r="Z8" s="3">
        <f t="shared" si="6"/>
        <v>2.656301880895029E-3</v>
      </c>
    </row>
    <row r="9" spans="2:26" x14ac:dyDescent="0.45">
      <c r="B9" s="4" t="s">
        <v>10</v>
      </c>
      <c r="C9" s="4" t="s">
        <v>5</v>
      </c>
      <c r="D9" s="4">
        <v>3577</v>
      </c>
      <c r="E9" s="3">
        <v>939.61803067669177</v>
      </c>
      <c r="F9" s="4">
        <v>5247</v>
      </c>
      <c r="G9" s="4">
        <f>F9-D9</f>
        <v>1670</v>
      </c>
      <c r="H9" s="9">
        <f t="shared" ref="H9" si="8">O9</f>
        <v>0.29512735326688799</v>
      </c>
      <c r="I9" s="4">
        <f t="shared" ref="I9" si="9">G9/E9</f>
        <v>1.7773179584445644</v>
      </c>
      <c r="J9" s="4">
        <f t="shared" ref="J9" si="10">I9/(1+H9)</f>
        <v>1.3723113437156407</v>
      </c>
      <c r="K9" s="2"/>
      <c r="L9" s="4">
        <v>17.87</v>
      </c>
      <c r="M9" s="4">
        <v>64.650000000000006</v>
      </c>
      <c r="N9" s="4">
        <v>53.99</v>
      </c>
      <c r="O9" s="8">
        <f t="shared" ref="O9" si="11">((M9-L9)-(N9-L9))/(N9-L9)</f>
        <v>0.29512735326688799</v>
      </c>
      <c r="Q9" s="16">
        <v>3.3008457196430641E-3</v>
      </c>
      <c r="R9" s="16">
        <v>2.8711498271434266E-3</v>
      </c>
      <c r="S9" s="16">
        <v>3.1250610363500186E-3</v>
      </c>
      <c r="T9" s="16">
        <v>3.1055294048769611E-3</v>
      </c>
      <c r="U9" s="16">
        <v>3.066466141916635E-3</v>
      </c>
      <c r="V9" s="17">
        <f t="shared" si="7"/>
        <v>3.093810425986021E-3</v>
      </c>
      <c r="X9" s="3">
        <f>J9</f>
        <v>1.3723113437156407</v>
      </c>
      <c r="Y9" s="18">
        <f t="shared" si="5"/>
        <v>0.29512735326688799</v>
      </c>
      <c r="Z9" s="3">
        <f t="shared" si="6"/>
        <v>3.093810425986021E-3</v>
      </c>
    </row>
    <row r="10" spans="2:26" x14ac:dyDescent="0.45">
      <c r="B10" s="2"/>
      <c r="C10" s="2"/>
      <c r="D10" s="2"/>
      <c r="F10" s="2"/>
      <c r="G10" s="2"/>
      <c r="H10" s="11"/>
      <c r="I10" s="2"/>
      <c r="J10" s="2"/>
      <c r="K10" s="2"/>
      <c r="L10" s="2"/>
      <c r="M10" s="2"/>
      <c r="N10" s="4"/>
      <c r="O10" s="12"/>
      <c r="Y10" s="15"/>
    </row>
    <row r="11" spans="2:26" x14ac:dyDescent="0.45">
      <c r="B11" s="4" t="s">
        <v>33</v>
      </c>
      <c r="C11" s="4" t="s">
        <v>5</v>
      </c>
      <c r="D11" s="4">
        <v>3577</v>
      </c>
      <c r="E11" s="3">
        <v>939.61803067669177</v>
      </c>
      <c r="F11" s="4">
        <v>5207.3999999999996</v>
      </c>
      <c r="G11" s="4">
        <f t="shared" si="0"/>
        <v>1630.3999999999996</v>
      </c>
      <c r="H11" s="9">
        <f t="shared" si="1"/>
        <v>0.11079723791588189</v>
      </c>
      <c r="I11" s="4">
        <f t="shared" si="2"/>
        <v>1.735173173322166</v>
      </c>
      <c r="J11" s="4">
        <f t="shared" si="3"/>
        <v>1.5620971263646288</v>
      </c>
      <c r="K11" s="2"/>
      <c r="L11" s="4">
        <v>18.989999999999998</v>
      </c>
      <c r="M11" s="4">
        <v>54.38</v>
      </c>
      <c r="N11" s="4">
        <v>50.85</v>
      </c>
      <c r="O11" s="10">
        <f t="shared" si="4"/>
        <v>0.11079723791588189</v>
      </c>
      <c r="Q11" s="16">
        <v>1.4453407293117948E-3</v>
      </c>
      <c r="R11" s="16">
        <v>1.4062774663585742E-3</v>
      </c>
      <c r="S11" s="16">
        <v>1.6797203070373357E-3</v>
      </c>
      <c r="T11" s="16">
        <v>1.6015937811246772E-3</v>
      </c>
      <c r="U11" s="16">
        <v>1.5820621496516196E-3</v>
      </c>
      <c r="V11" s="17">
        <f>AVERAGE(S11:U11)</f>
        <v>1.6211254126045442E-3</v>
      </c>
      <c r="X11" s="3">
        <f>J11</f>
        <v>1.5620971263646288</v>
      </c>
      <c r="Y11" s="18">
        <f t="shared" si="5"/>
        <v>0.11079723791588189</v>
      </c>
      <c r="Z11" s="3">
        <f>V11</f>
        <v>1.6211254126045442E-3</v>
      </c>
    </row>
    <row r="12" spans="2:26" x14ac:dyDescent="0.45">
      <c r="B12" s="4" t="s">
        <v>33</v>
      </c>
      <c r="C12" s="4" t="s">
        <v>6</v>
      </c>
      <c r="D12" s="4">
        <v>3580.8</v>
      </c>
      <c r="E12" s="3">
        <v>939.61803067669177</v>
      </c>
      <c r="F12" s="4">
        <v>5382.6</v>
      </c>
      <c r="G12" s="4">
        <f t="shared" si="0"/>
        <v>1801.8000000000002</v>
      </c>
      <c r="H12" s="9">
        <f t="shared" si="1"/>
        <v>0.16014588859416429</v>
      </c>
      <c r="I12" s="4">
        <f t="shared" si="2"/>
        <v>1.9175877230691118</v>
      </c>
      <c r="J12" s="4">
        <f t="shared" si="3"/>
        <v>1.6528849879326786</v>
      </c>
      <c r="K12" s="2"/>
      <c r="L12" s="4">
        <v>19.2</v>
      </c>
      <c r="M12" s="4">
        <v>54.19</v>
      </c>
      <c r="N12" s="4">
        <v>49.36</v>
      </c>
      <c r="O12" s="10">
        <f t="shared" si="4"/>
        <v>0.16014588859416429</v>
      </c>
      <c r="Q12" s="16">
        <v>1.6015937811282299E-3</v>
      </c>
      <c r="R12" s="16">
        <v>1.5820621496516196E-3</v>
      </c>
      <c r="S12" s="16">
        <v>1.5625305181856675E-3</v>
      </c>
      <c r="T12" s="16">
        <v>1.8359733588653171E-3</v>
      </c>
      <c r="U12" s="16">
        <v>1.8164417273851541E-3</v>
      </c>
      <c r="V12" s="17">
        <f>AVERAGE(Q12:S12)</f>
        <v>1.5820621496551723E-3</v>
      </c>
      <c r="X12" s="3">
        <f>J12</f>
        <v>1.6528849879326786</v>
      </c>
      <c r="Y12" s="18">
        <f t="shared" si="5"/>
        <v>0.16014588859416429</v>
      </c>
      <c r="Z12" s="3">
        <f t="shared" ref="Z12:Z14" si="12">V12</f>
        <v>1.5820621496551723E-3</v>
      </c>
    </row>
    <row r="13" spans="2:26" x14ac:dyDescent="0.45">
      <c r="B13" s="4" t="s">
        <v>33</v>
      </c>
      <c r="C13" s="4" t="s">
        <v>7</v>
      </c>
      <c r="D13" s="4">
        <f>3594.6</f>
        <v>3594.6</v>
      </c>
      <c r="E13" s="3">
        <v>939.61803067669177</v>
      </c>
      <c r="F13" s="4">
        <v>5453.6</v>
      </c>
      <c r="G13" s="4">
        <f t="shared" si="0"/>
        <v>1859.0000000000005</v>
      </c>
      <c r="H13" s="9">
        <f t="shared" si="1"/>
        <v>0.18882395909422914</v>
      </c>
      <c r="I13" s="4">
        <f t="shared" si="2"/>
        <v>1.9784635238014647</v>
      </c>
      <c r="J13" s="4">
        <f t="shared" si="3"/>
        <v>1.6642190869949036</v>
      </c>
      <c r="K13" s="2"/>
      <c r="L13" s="4">
        <v>18.39</v>
      </c>
      <c r="M13" s="4">
        <v>50.94</v>
      </c>
      <c r="N13" s="4">
        <v>45.77</v>
      </c>
      <c r="O13" s="10">
        <f t="shared" si="4"/>
        <v>0.18882395909422914</v>
      </c>
      <c r="Q13" s="16">
        <v>1.7773784644212753E-3</v>
      </c>
      <c r="R13" s="16">
        <v>1.7187835699914444E-3</v>
      </c>
      <c r="S13" s="16">
        <v>1.738315201464502E-3</v>
      </c>
      <c r="T13" s="16">
        <v>1.738315201464502E-3</v>
      </c>
      <c r="U13" s="16">
        <v>1.7383152014787129E-3</v>
      </c>
      <c r="V13" s="17">
        <f t="shared" si="7"/>
        <v>1.7422215277640874E-3</v>
      </c>
      <c r="X13" s="3">
        <f>J13</f>
        <v>1.6642190869949036</v>
      </c>
      <c r="Y13" s="18">
        <f t="shared" si="5"/>
        <v>0.18882395909422914</v>
      </c>
      <c r="Z13" s="3">
        <f t="shared" si="12"/>
        <v>1.7422215277640874E-3</v>
      </c>
    </row>
    <row r="14" spans="2:26" x14ac:dyDescent="0.45">
      <c r="B14" s="4" t="s">
        <v>33</v>
      </c>
      <c r="C14" s="4" t="s">
        <v>34</v>
      </c>
      <c r="D14" s="4">
        <v>3575.2</v>
      </c>
      <c r="E14" s="3">
        <v>939.61803067669177</v>
      </c>
      <c r="F14" s="4">
        <v>5344.2</v>
      </c>
      <c r="G14" s="4">
        <f t="shared" si="0"/>
        <v>1769</v>
      </c>
      <c r="H14" s="9">
        <f t="shared" si="1"/>
        <v>0.24161849710982658</v>
      </c>
      <c r="I14" s="4">
        <f t="shared" si="2"/>
        <v>1.8826799212505596</v>
      </c>
      <c r="J14" s="4">
        <f t="shared" si="3"/>
        <v>1.516311109759529</v>
      </c>
      <c r="K14" s="2"/>
      <c r="L14" s="4">
        <v>14.66</v>
      </c>
      <c r="M14" s="4">
        <v>46.88</v>
      </c>
      <c r="N14" s="4">
        <v>40.61</v>
      </c>
      <c r="O14" s="10">
        <f t="shared" si="4"/>
        <v>0.24161849710982658</v>
      </c>
      <c r="Q14" s="16">
        <v>2.3828590402104055E-3</v>
      </c>
      <c r="R14" s="16">
        <v>2.3828590402104055E-3</v>
      </c>
      <c r="S14" s="16">
        <v>2.3828590402175109E-3</v>
      </c>
      <c r="T14" s="16">
        <v>2.3828590402246164E-3</v>
      </c>
      <c r="U14" s="16">
        <v>3.2813140881700065E-3</v>
      </c>
      <c r="V14" s="17">
        <f t="shared" si="7"/>
        <v>2.5625500498065888E-3</v>
      </c>
      <c r="X14" s="3">
        <f>J14</f>
        <v>1.516311109759529</v>
      </c>
      <c r="Y14" s="18">
        <f t="shared" si="5"/>
        <v>0.24161849710982658</v>
      </c>
      <c r="Z14" s="3">
        <f t="shared" si="12"/>
        <v>2.5625500498065888E-3</v>
      </c>
    </row>
    <row r="15" spans="2:26" x14ac:dyDescent="0.45">
      <c r="Y15" s="15"/>
    </row>
    <row r="16" spans="2:26" x14ac:dyDescent="0.45">
      <c r="B16" s="4" t="s">
        <v>35</v>
      </c>
      <c r="C16" s="4" t="s">
        <v>1</v>
      </c>
      <c r="D16" s="4">
        <v>3579</v>
      </c>
      <c r="E16" s="3">
        <v>939.61803067669177</v>
      </c>
      <c r="F16" s="4">
        <v>5415</v>
      </c>
      <c r="G16" s="4">
        <f t="shared" si="0"/>
        <v>1836</v>
      </c>
      <c r="H16" s="9">
        <f t="shared" si="1"/>
        <v>0.13227722772277212</v>
      </c>
      <c r="I16" s="4">
        <f t="shared" si="2"/>
        <v>1.9539854920384554</v>
      </c>
      <c r="J16" s="4">
        <f t="shared" si="3"/>
        <v>1.7257129651616301</v>
      </c>
      <c r="L16" s="4">
        <v>18.88</v>
      </c>
      <c r="M16" s="4">
        <v>47.47</v>
      </c>
      <c r="N16" s="4">
        <v>44.13</v>
      </c>
      <c r="O16" s="10">
        <f>((M16-L16)-(N16-L16))/(N16-L16)</f>
        <v>0.13227722772277212</v>
      </c>
      <c r="Q16" s="16">
        <v>1.1523662571519822E-3</v>
      </c>
      <c r="R16" s="16">
        <v>1.2109611515853658E-3</v>
      </c>
      <c r="S16" s="16">
        <v>1.2109611515853658E-3</v>
      </c>
      <c r="T16" s="16">
        <v>1.269556046011644E-3</v>
      </c>
      <c r="U16" s="16">
        <v>1.1914295201194136E-3</v>
      </c>
      <c r="V16" s="17">
        <f>AVERAGE(Q16:U16)</f>
        <v>1.2070548252907543E-3</v>
      </c>
      <c r="X16" s="3">
        <f>J16</f>
        <v>1.7257129651616301</v>
      </c>
      <c r="Y16" s="18">
        <f t="shared" si="5"/>
        <v>0.13227722772277212</v>
      </c>
      <c r="Z16" s="3">
        <f>V16</f>
        <v>1.2070548252907543E-3</v>
      </c>
    </row>
    <row r="17" spans="2:26" x14ac:dyDescent="0.45">
      <c r="B17" s="4" t="s">
        <v>35</v>
      </c>
      <c r="C17" s="4" t="s">
        <v>2</v>
      </c>
      <c r="D17" s="4">
        <v>3573.4</v>
      </c>
      <c r="E17" s="3">
        <v>939.61803067669177</v>
      </c>
      <c r="F17" s="4">
        <v>5490.4</v>
      </c>
      <c r="G17" s="4">
        <f t="shared" si="0"/>
        <v>1916.9999999999995</v>
      </c>
      <c r="H17" s="9">
        <f t="shared" si="1"/>
        <v>0.15978994748687164</v>
      </c>
      <c r="I17" s="4">
        <f t="shared" si="2"/>
        <v>2.0401907343342689</v>
      </c>
      <c r="J17" s="4">
        <f t="shared" si="3"/>
        <v>1.7591036538600133</v>
      </c>
      <c r="L17" s="4">
        <v>18.559999999999999</v>
      </c>
      <c r="M17" s="4">
        <v>49.48</v>
      </c>
      <c r="N17" s="4">
        <v>45.22</v>
      </c>
      <c r="O17" s="10">
        <f t="shared" si="4"/>
        <v>0.15978994748687164</v>
      </c>
      <c r="Q17" s="16">
        <v>1.4453407293117948E-3</v>
      </c>
      <c r="R17" s="16">
        <v>1.4453407293117948E-3</v>
      </c>
      <c r="S17" s="16">
        <v>1.4453407293117948E-3</v>
      </c>
      <c r="T17" s="16">
        <v>1.4258090978316318E-3</v>
      </c>
      <c r="U17" s="16">
        <v>1.4453407293117948E-3</v>
      </c>
      <c r="V17" s="17">
        <f t="shared" ref="V17:V19" si="13">AVERAGE(Q17:U17)</f>
        <v>1.4414344030157622E-3</v>
      </c>
      <c r="X17" s="3">
        <f>J17</f>
        <v>1.7591036538600133</v>
      </c>
      <c r="Y17" s="18">
        <f t="shared" si="5"/>
        <v>0.15978994748687164</v>
      </c>
      <c r="Z17" s="3">
        <f t="shared" ref="Z17:Z19" si="14">V17</f>
        <v>1.4414344030157622E-3</v>
      </c>
    </row>
    <row r="18" spans="2:26" x14ac:dyDescent="0.45">
      <c r="B18" s="4" t="s">
        <v>35</v>
      </c>
      <c r="C18" s="4" t="s">
        <v>3</v>
      </c>
      <c r="D18" s="4">
        <v>3575.8</v>
      </c>
      <c r="E18" s="3">
        <v>939.61803067669177</v>
      </c>
      <c r="F18" s="4">
        <v>5483.8</v>
      </c>
      <c r="G18" s="4">
        <f t="shared" si="0"/>
        <v>1908</v>
      </c>
      <c r="H18" s="9">
        <f t="shared" si="1"/>
        <v>0.18811394891944982</v>
      </c>
      <c r="I18" s="4">
        <f t="shared" si="2"/>
        <v>2.0306123740791793</v>
      </c>
      <c r="J18" s="4">
        <f t="shared" si="3"/>
        <v>1.7091057435408057</v>
      </c>
      <c r="L18" s="4">
        <v>18.43</v>
      </c>
      <c r="M18" s="4">
        <v>42.62</v>
      </c>
      <c r="N18" s="4">
        <v>38.79</v>
      </c>
      <c r="O18" s="10">
        <f t="shared" si="4"/>
        <v>0.18811394891944982</v>
      </c>
      <c r="Q18" s="16">
        <v>2.0117580421494807E-3</v>
      </c>
      <c r="R18" s="16">
        <v>2.070352936581088E-3</v>
      </c>
      <c r="S18" s="16">
        <v>2.0312896736278674E-3</v>
      </c>
      <c r="T18" s="16">
        <v>2.0312896736243147E-3</v>
      </c>
      <c r="U18" s="16">
        <v>1.9922264106710941E-3</v>
      </c>
      <c r="V18" s="17">
        <f t="shared" si="13"/>
        <v>2.027383347330769E-3</v>
      </c>
      <c r="X18" s="3">
        <f>J18</f>
        <v>1.7091057435408057</v>
      </c>
      <c r="Y18" s="18">
        <f t="shared" si="5"/>
        <v>0.18811394891944982</v>
      </c>
      <c r="Z18" s="3">
        <f t="shared" si="14"/>
        <v>2.027383347330769E-3</v>
      </c>
    </row>
    <row r="19" spans="2:26" x14ac:dyDescent="0.45">
      <c r="B19" s="4" t="s">
        <v>35</v>
      </c>
      <c r="C19" s="4" t="s">
        <v>4</v>
      </c>
      <c r="D19" s="4">
        <v>3981.6</v>
      </c>
      <c r="E19" s="3">
        <v>939.618030676692</v>
      </c>
      <c r="F19" s="4">
        <v>5770.8</v>
      </c>
      <c r="G19" s="4">
        <f t="shared" si="0"/>
        <v>1789.2000000000003</v>
      </c>
      <c r="H19" s="9">
        <f t="shared" si="1"/>
        <v>0.22389937106918242</v>
      </c>
      <c r="I19" s="4">
        <f t="shared" si="2"/>
        <v>1.9041780187119848</v>
      </c>
      <c r="J19" s="4">
        <f t="shared" si="3"/>
        <v>1.5558289053196588</v>
      </c>
      <c r="L19" s="4">
        <v>19.02</v>
      </c>
      <c r="M19" s="4">
        <v>57.94</v>
      </c>
      <c r="N19" s="4">
        <v>50.82</v>
      </c>
      <c r="O19" s="10">
        <f t="shared" si="4"/>
        <v>0.22389937106918242</v>
      </c>
      <c r="Q19" s="16">
        <v>2.3242641457841273E-3</v>
      </c>
      <c r="R19" s="16">
        <v>2.3633274087373479E-3</v>
      </c>
      <c r="S19" s="16">
        <v>2.3633274087373479E-3</v>
      </c>
      <c r="T19" s="16">
        <v>2.3828590402175109E-3</v>
      </c>
      <c r="U19" s="16">
        <v>2.3437957772571849E-3</v>
      </c>
      <c r="V19" s="17">
        <f t="shared" si="13"/>
        <v>2.3555147561467038E-3</v>
      </c>
      <c r="X19" s="3">
        <f>J19</f>
        <v>1.5558289053196588</v>
      </c>
      <c r="Y19" s="18">
        <f t="shared" si="5"/>
        <v>0.22389937106918242</v>
      </c>
      <c r="Z19" s="3">
        <f t="shared" si="14"/>
        <v>2.3555147561467038E-3</v>
      </c>
    </row>
    <row r="41" spans="16:19" x14ac:dyDescent="0.45">
      <c r="Q41" s="14"/>
      <c r="S41" s="13"/>
    </row>
    <row r="46" spans="16:19" x14ac:dyDescent="0.45">
      <c r="P46" s="14"/>
      <c r="Q46" s="15"/>
    </row>
    <row r="49" spans="17:17" x14ac:dyDescent="0.45">
      <c r="Q49" s="14"/>
    </row>
    <row r="53" spans="17:17" x14ac:dyDescent="0.45">
      <c r="Q53" s="14"/>
    </row>
  </sheetData>
  <mergeCells count="4">
    <mergeCell ref="B2:J2"/>
    <mergeCell ref="L2:O2"/>
    <mergeCell ref="Q2:V2"/>
    <mergeCell ref="X2:Z2"/>
  </mergeCells>
  <phoneticPr fontId="2" type="noConversion"/>
  <pageMargins left="0.7" right="0.7" top="0.75" bottom="0.75" header="0.3" footer="0.3"/>
  <ignoredErrors>
    <ignoredError sqref="V11:V12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Arena</vt:lpstr>
      <vt:lpstr>Base</vt:lpstr>
      <vt:lpstr>Caolin</vt:lpstr>
      <vt:lpstr>Limo-Arenoso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Sebastián Alvarado Sarmiento</dc:creator>
  <cp:lastModifiedBy>Pablo Sebastián Alvarado Sarmiento</cp:lastModifiedBy>
  <dcterms:created xsi:type="dcterms:W3CDTF">2025-04-02T16:45:04Z</dcterms:created>
  <dcterms:modified xsi:type="dcterms:W3CDTF">2025-04-22T15:25:56Z</dcterms:modified>
</cp:coreProperties>
</file>