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EntregablesJuanSarzosa\"/>
    </mc:Choice>
  </mc:AlternateContent>
  <xr:revisionPtr revIDLastSave="0" documentId="13_ncr:1_{82B8F82B-06E9-42A4-BA34-B031277DD3F3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Caolin" sheetId="3" r:id="rId1"/>
    <sheet name="Limo-Arenoso" sheetId="1" r:id="rId2"/>
    <sheet name="EjemploTO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9" i="3" l="1"/>
  <c r="AO18" i="3"/>
  <c r="AO17" i="3"/>
  <c r="AO16" i="3"/>
  <c r="AO11" i="3"/>
  <c r="AO12" i="3"/>
  <c r="AO13" i="3"/>
  <c r="AO14" i="3"/>
  <c r="AO10" i="3"/>
  <c r="AO6" i="3"/>
  <c r="AO7" i="3"/>
  <c r="AO8" i="3"/>
  <c r="AO19" i="1"/>
  <c r="AO18" i="1"/>
  <c r="AO17" i="1"/>
  <c r="AO16" i="1"/>
  <c r="AO14" i="1"/>
  <c r="AO13" i="1"/>
  <c r="AO12" i="1"/>
  <c r="AO11" i="1"/>
  <c r="AO6" i="1"/>
  <c r="AO7" i="1"/>
  <c r="AO8" i="1"/>
  <c r="AO9" i="1"/>
  <c r="AO5" i="1"/>
  <c r="I27" i="6"/>
  <c r="AJ19" i="1" l="1"/>
  <c r="AN19" i="1" s="1"/>
  <c r="S19" i="1"/>
  <c r="AM19" i="1" s="1"/>
  <c r="H19" i="1"/>
  <c r="J19" i="1" s="1"/>
  <c r="AJ18" i="1"/>
  <c r="AN18" i="1" s="1"/>
  <c r="S18" i="1"/>
  <c r="AM18" i="1" s="1"/>
  <c r="I18" i="1"/>
  <c r="H18" i="1"/>
  <c r="J18" i="1" s="1"/>
  <c r="K18" i="1" s="1"/>
  <c r="AJ17" i="1"/>
  <c r="AN17" i="1" s="1"/>
  <c r="S17" i="1"/>
  <c r="AM17" i="1" s="1"/>
  <c r="I17" i="1"/>
  <c r="H17" i="1"/>
  <c r="J17" i="1" s="1"/>
  <c r="K17" i="1" s="1"/>
  <c r="AJ16" i="1"/>
  <c r="AN16" i="1" s="1"/>
  <c r="S16" i="1"/>
  <c r="AM16" i="1" s="1"/>
  <c r="I16" i="1"/>
  <c r="H16" i="1"/>
  <c r="J16" i="1" s="1"/>
  <c r="K16" i="1" s="1"/>
  <c r="AJ14" i="1"/>
  <c r="AN14" i="1" s="1"/>
  <c r="S14" i="1"/>
  <c r="AM14" i="1" s="1"/>
  <c r="I14" i="1"/>
  <c r="H14" i="1"/>
  <c r="J14" i="1" s="1"/>
  <c r="AJ13" i="1"/>
  <c r="AN13" i="1" s="1"/>
  <c r="S13" i="1"/>
  <c r="AM13" i="1" s="1"/>
  <c r="I13" i="1"/>
  <c r="H13" i="1"/>
  <c r="J13" i="1" s="1"/>
  <c r="AJ12" i="1"/>
  <c r="AN12" i="1" s="1"/>
  <c r="S12" i="1"/>
  <c r="I12" i="1" s="1"/>
  <c r="H12" i="1"/>
  <c r="J12" i="1" s="1"/>
  <c r="AJ11" i="1"/>
  <c r="AN11" i="1" s="1"/>
  <c r="S11" i="1"/>
  <c r="AM11" i="1" s="1"/>
  <c r="I11" i="1"/>
  <c r="H11" i="1"/>
  <c r="J11" i="1" s="1"/>
  <c r="K11" i="1" s="1"/>
  <c r="AJ9" i="1"/>
  <c r="AN9" i="1" s="1"/>
  <c r="S9" i="1"/>
  <c r="AM9" i="1" s="1"/>
  <c r="I9" i="1"/>
  <c r="H9" i="1"/>
  <c r="J9" i="1" s="1"/>
  <c r="K9" i="1" s="1"/>
  <c r="AJ8" i="1"/>
  <c r="AN8" i="1" s="1"/>
  <c r="S8" i="1"/>
  <c r="AM8" i="1" s="1"/>
  <c r="I8" i="1"/>
  <c r="H8" i="1"/>
  <c r="J8" i="1" s="1"/>
  <c r="K8" i="1" s="1"/>
  <c r="AJ7" i="1"/>
  <c r="AN7" i="1" s="1"/>
  <c r="S7" i="1"/>
  <c r="AM7" i="1" s="1"/>
  <c r="H7" i="1"/>
  <c r="J7" i="1" s="1"/>
  <c r="AJ6" i="1"/>
  <c r="AN6" i="1" s="1"/>
  <c r="S6" i="1"/>
  <c r="AM6" i="1" s="1"/>
  <c r="I6" i="1"/>
  <c r="H6" i="1"/>
  <c r="J6" i="1" s="1"/>
  <c r="K6" i="1" s="1"/>
  <c r="AJ5" i="1"/>
  <c r="AN5" i="1" s="1"/>
  <c r="S5" i="1"/>
  <c r="AM5" i="1" s="1"/>
  <c r="I5" i="1"/>
  <c r="H5" i="1"/>
  <c r="J5" i="1" s="1"/>
  <c r="K5" i="1" s="1"/>
  <c r="AJ19" i="3"/>
  <c r="AN19" i="3" s="1"/>
  <c r="S19" i="3"/>
  <c r="I19" i="3" s="1"/>
  <c r="H19" i="3"/>
  <c r="J19" i="3" s="1"/>
  <c r="AJ18" i="3"/>
  <c r="AN18" i="3" s="1"/>
  <c r="S18" i="3"/>
  <c r="AM18" i="3" s="1"/>
  <c r="I18" i="3"/>
  <c r="H18" i="3"/>
  <c r="J18" i="3" s="1"/>
  <c r="K18" i="3" s="1"/>
  <c r="AJ17" i="3"/>
  <c r="AN17" i="3" s="1"/>
  <c r="S17" i="3"/>
  <c r="AM17" i="3" s="1"/>
  <c r="H17" i="3"/>
  <c r="J17" i="3" s="1"/>
  <c r="AJ16" i="3"/>
  <c r="AN16" i="3" s="1"/>
  <c r="S16" i="3"/>
  <c r="AM16" i="3" s="1"/>
  <c r="H16" i="3"/>
  <c r="J16" i="3" s="1"/>
  <c r="AJ14" i="3"/>
  <c r="AN14" i="3" s="1"/>
  <c r="S14" i="3"/>
  <c r="AM14" i="3" s="1"/>
  <c r="I14" i="3"/>
  <c r="H14" i="3"/>
  <c r="J14" i="3" s="1"/>
  <c r="K14" i="3" s="1"/>
  <c r="AJ13" i="3"/>
  <c r="AN13" i="3" s="1"/>
  <c r="S13" i="3"/>
  <c r="I13" i="3" s="1"/>
  <c r="H13" i="3"/>
  <c r="J13" i="3" s="1"/>
  <c r="K13" i="3" s="1"/>
  <c r="AJ12" i="3"/>
  <c r="AN12" i="3" s="1"/>
  <c r="S12" i="3"/>
  <c r="AM12" i="3" s="1"/>
  <c r="H12" i="3"/>
  <c r="J12" i="3" s="1"/>
  <c r="AJ11" i="3"/>
  <c r="AN11" i="3" s="1"/>
  <c r="S11" i="3"/>
  <c r="AM11" i="3" s="1"/>
  <c r="I11" i="3"/>
  <c r="H11" i="3"/>
  <c r="J11" i="3" s="1"/>
  <c r="AJ10" i="3"/>
  <c r="AN10" i="3" s="1"/>
  <c r="S10" i="3"/>
  <c r="AM10" i="3" s="1"/>
  <c r="H10" i="3"/>
  <c r="J10" i="3" s="1"/>
  <c r="AJ8" i="3"/>
  <c r="AN8" i="3" s="1"/>
  <c r="S8" i="3"/>
  <c r="AM8" i="3" s="1"/>
  <c r="H8" i="3"/>
  <c r="J8" i="3" s="1"/>
  <c r="AJ7" i="3"/>
  <c r="AN7" i="3" s="1"/>
  <c r="S7" i="3"/>
  <c r="AM7" i="3" s="1"/>
  <c r="I7" i="3"/>
  <c r="H7" i="3"/>
  <c r="J7" i="3" s="1"/>
  <c r="K7" i="3" s="1"/>
  <c r="AJ6" i="3"/>
  <c r="AN6" i="3" s="1"/>
  <c r="S6" i="3"/>
  <c r="I6" i="3" s="1"/>
  <c r="H6" i="3"/>
  <c r="J6" i="3" s="1"/>
  <c r="AJ5" i="3"/>
  <c r="AN5" i="3" s="1"/>
  <c r="S5" i="3"/>
  <c r="AM5" i="3" s="1"/>
  <c r="I5" i="3"/>
  <c r="H5" i="3"/>
  <c r="J5" i="3" s="1"/>
  <c r="K5" i="3" s="1"/>
  <c r="AL5" i="3" l="1"/>
  <c r="M5" i="3"/>
  <c r="AL13" i="3"/>
  <c r="M13" i="3"/>
  <c r="N13" i="3"/>
  <c r="AL18" i="3"/>
  <c r="M18" i="3"/>
  <c r="N18" i="3"/>
  <c r="N5" i="3"/>
  <c r="AO5" i="3" s="1"/>
  <c r="AL7" i="3"/>
  <c r="M7" i="3"/>
  <c r="AL14" i="3"/>
  <c r="M14" i="3"/>
  <c r="N14" i="3" s="1"/>
  <c r="N7" i="3"/>
  <c r="K19" i="3"/>
  <c r="K6" i="3"/>
  <c r="I10" i="3"/>
  <c r="K10" i="3" s="1"/>
  <c r="I12" i="3"/>
  <c r="I16" i="3"/>
  <c r="K11" i="3"/>
  <c r="I17" i="3"/>
  <c r="K17" i="3" s="1"/>
  <c r="AM19" i="3"/>
  <c r="AM6" i="3"/>
  <c r="I8" i="3"/>
  <c r="AM13" i="3"/>
  <c r="I7" i="1"/>
  <c r="K7" i="1" s="1"/>
  <c r="I19" i="1"/>
  <c r="K19" i="1" s="1"/>
  <c r="AL8" i="1"/>
  <c r="M8" i="1"/>
  <c r="N8" i="1"/>
  <c r="AL16" i="1"/>
  <c r="M16" i="1"/>
  <c r="N16" i="1" s="1"/>
  <c r="AL9" i="1"/>
  <c r="M9" i="1"/>
  <c r="N9" i="1" s="1"/>
  <c r="AL17" i="1"/>
  <c r="M17" i="1"/>
  <c r="N17" i="1" s="1"/>
  <c r="AL5" i="1"/>
  <c r="M5" i="1"/>
  <c r="AL11" i="1"/>
  <c r="M11" i="1"/>
  <c r="N11" i="1" s="1"/>
  <c r="N5" i="1"/>
  <c r="AL18" i="1"/>
  <c r="M18" i="1"/>
  <c r="N18" i="1" s="1"/>
  <c r="AL6" i="1"/>
  <c r="M6" i="1"/>
  <c r="N6" i="1"/>
  <c r="K14" i="1"/>
  <c r="K13" i="1"/>
  <c r="K12" i="1"/>
  <c r="AM12" i="1"/>
  <c r="AL10" i="3" l="1"/>
  <c r="M10" i="3"/>
  <c r="N10" i="3" s="1"/>
  <c r="AL6" i="3"/>
  <c r="M6" i="3"/>
  <c r="N6" i="3" s="1"/>
  <c r="AL19" i="3"/>
  <c r="M19" i="3"/>
  <c r="N19" i="3" s="1"/>
  <c r="K8" i="3"/>
  <c r="AL17" i="3"/>
  <c r="M17" i="3"/>
  <c r="N17" i="3" s="1"/>
  <c r="AL11" i="3"/>
  <c r="M11" i="3"/>
  <c r="N11" i="3" s="1"/>
  <c r="K12" i="3"/>
  <c r="K16" i="3"/>
  <c r="AL7" i="1"/>
  <c r="M7" i="1"/>
  <c r="N7" i="1" s="1"/>
  <c r="AL19" i="1"/>
  <c r="M19" i="1"/>
  <c r="N19" i="1" s="1"/>
  <c r="AL12" i="1"/>
  <c r="M12" i="1"/>
  <c r="N12" i="1" s="1"/>
  <c r="AL13" i="1"/>
  <c r="M13" i="1"/>
  <c r="N13" i="1" s="1"/>
  <c r="AL14" i="1"/>
  <c r="M14" i="1"/>
  <c r="N14" i="1" s="1"/>
  <c r="AL8" i="3" l="1"/>
  <c r="M8" i="3"/>
  <c r="N8" i="3" s="1"/>
  <c r="AL12" i="3"/>
  <c r="M12" i="3"/>
  <c r="N12" i="3" s="1"/>
  <c r="AL16" i="3"/>
  <c r="M16" i="3"/>
  <c r="N16" i="3" s="1"/>
</calcChain>
</file>

<file path=xl/sharedStrings.xml><?xml version="1.0" encoding="utf-8"?>
<sst xmlns="http://schemas.openxmlformats.org/spreadsheetml/2006/main" count="201" uniqueCount="58">
  <si>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</si>
  <si>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</si>
  <si>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</si>
  <si>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</si>
  <si>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</si>
  <si>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</si>
  <si>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</si>
  <si>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</si>
  <si>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</si>
  <si>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</si>
  <si>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</si>
  <si>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</si>
  <si>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</si>
  <si>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</si>
  <si>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</si>
  <si>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</si>
  <si>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</si>
  <si>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</si>
  <si>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</si>
  <si>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</si>
  <si>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</si>
  <si>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</si>
  <si>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</si>
  <si>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</si>
  <si>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</si>
  <si>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Modificado</t>
  </si>
  <si>
    <t>M8</t>
  </si>
  <si>
    <t>MOD 56</t>
  </si>
  <si>
    <t>Estándar</t>
  </si>
  <si>
    <t>56/Modificado</t>
  </si>
  <si>
    <t>% Humedad</t>
  </si>
  <si>
    <t>Densidad Seca</t>
  </si>
  <si>
    <t>Óptimo</t>
  </si>
  <si>
    <t>Mediciones TOF</t>
  </si>
  <si>
    <t>TOF1</t>
  </si>
  <si>
    <t>TOF2</t>
  </si>
  <si>
    <t>TOF3</t>
  </si>
  <si>
    <t>TOF4</t>
  </si>
  <si>
    <t>TOF5</t>
  </si>
  <si>
    <t>TOF_Prom</t>
  </si>
  <si>
    <t>[s]</t>
  </si>
  <si>
    <t>T</t>
  </si>
  <si>
    <t>mV</t>
  </si>
  <si>
    <t>TOF=</t>
  </si>
  <si>
    <t>T1</t>
  </si>
  <si>
    <t>T2</t>
  </si>
  <si>
    <t>GS</t>
  </si>
  <si>
    <t>e</t>
  </si>
  <si>
    <t>Saturación</t>
  </si>
  <si>
    <t>-</t>
  </si>
  <si>
    <t>%</t>
  </si>
  <si>
    <t>Mod E</t>
  </si>
  <si>
    <t>[Mpa]</t>
  </si>
  <si>
    <t>Poisson</t>
  </si>
  <si>
    <t>RESUMEN RESULTADOS LIMO</t>
  </si>
  <si>
    <t>RESUMEN RESULTADOS CAOLIN</t>
  </si>
  <si>
    <t>Resultados Proctor Limo Arenoso</t>
  </si>
  <si>
    <t>Resultados Proctor Caolin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</si>
</sst>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"/>
    <numFmt numFmtId="166" formatCode="0.000000"/>
    <numFmt numFmtId="167" formatCode="0.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0" fontId="0" fillId="2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2" borderId="5" xfId="0" applyNumberFormat="1" applyFill="1" applyBorder="1"/>
    <xf numFmtId="167" fontId="0" fillId="2" borderId="1" xfId="0" applyNumberFormat="1" applyFill="1" applyBorder="1"/>
    <xf numFmtId="167" fontId="0" fillId="2" borderId="3" xfId="0" applyNumberFormat="1" applyFill="1" applyBorder="1"/>
    <xf numFmtId="167" fontId="0" fillId="2" borderId="4" xfId="0" applyNumberFormat="1" applyFill="1" applyBorder="1"/>
    <xf numFmtId="167" fontId="0" fillId="2" borderId="5" xfId="0" applyNumberFormat="1" applyFill="1" applyBorder="1"/>
    <xf numFmtId="167" fontId="5" fillId="2" borderId="1" xfId="0" applyNumberFormat="1" applyFont="1" applyFill="1" applyBorder="1" applyAlignment="1">
      <alignment horizontal="center"/>
    </xf>
    <xf numFmtId="167" fontId="0" fillId="2" borderId="0" xfId="0" applyNumberFormat="1" applyFill="1"/>
    <xf numFmtId="1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10" fontId="0" fillId="2" borderId="1" xfId="1" applyNumberFormat="1" applyFont="1" applyFill="1" applyBorder="1"/>
    <xf numFmtId="165" fontId="0" fillId="2" borderId="1" xfId="0" applyNumberFormat="1" applyFill="1" applyBorder="1"/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165" fontId="7" fillId="2" borderId="1" xfId="0" applyNumberFormat="1" applyFont="1" applyFill="1" applyBorder="1"/>
    <xf numFmtId="0" fontId="7" fillId="2" borderId="0" xfId="0" applyFont="1" applyFill="1"/>
    <xf numFmtId="167" fontId="7" fillId="2" borderId="0" xfId="0" applyNumberFormat="1" applyFont="1" applyFill="1"/>
    <xf numFmtId="165" fontId="7" fillId="2" borderId="0" xfId="0" applyNumberFormat="1" applyFont="1" applyFill="1"/>
  </cellXfs>
  <cellStyles count="3">
    <cellStyle name="Normal" xfId="0" builtinId="0"/>
    <cellStyle name="Normal 2 2" xfId="2" xr:uid="{AE76F1AD-FA69-4313-9659-D35109A8AE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7F1F431-512F-42E3-8A09-ACCA35DC2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A3-4894-AEFE-7EDE819428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E3C44D-5102-4E3F-9527-DD456A9500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A3-4894-AEFE-7EDE819428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99127E-2324-42ED-BFEC-033AE06697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A3-4894-AEFE-7EDE819428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E1224F01-6503-4E8A-819C-0B873F675A38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A3-4894-AEFE-7EDE819428B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Caolin!$AN$5:$AN$8</c15:f>
                <c15:dlblRangeCache>
                  <c:ptCount val="4"/>
                  <c:pt idx="0">
                    <c:v>0.00153</c:v>
                  </c:pt>
                  <c:pt idx="1">
                    <c:v>0.00289</c:v>
                  </c:pt>
                  <c:pt idx="2">
                    <c:v>0.00313</c:v>
                  </c:pt>
                  <c:pt idx="3">
                    <c:v>0.00160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7C2A3B2-F983-4A57-82EA-3A3DD46E1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B-48F7-A9D5-875D034340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2E3EEA-F71E-4348-9014-6DCAAAF519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B-48F7-A9D5-875D034340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4583E4-A9E3-4DB8-AF02-62BB1F2F9C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E5B-48F7-A9D5-875D034340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9C3B7AA-DDFE-47AD-B180-DDC916225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B-48F7-A9D5-875D034340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6AD457-FB11-467F-9397-154B42FF65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E5B-48F7-A9D5-875D03434081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Caolin!$AN$10:$AN$14</c15:f>
                <c15:dlblRangeCache>
                  <c:ptCount val="5"/>
                  <c:pt idx="0">
                    <c:v>0.00127</c:v>
                  </c:pt>
                  <c:pt idx="1">
                    <c:v>0.00125</c:v>
                  </c:pt>
                  <c:pt idx="2">
                    <c:v>0.00146</c:v>
                  </c:pt>
                  <c:pt idx="3">
                    <c:v>0.00130</c:v>
                  </c:pt>
                  <c:pt idx="4">
                    <c:v>0.00178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341376C-27C1-429C-919C-55E5461FA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AF-439A-8265-0675648C7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359B70-9F57-45A5-81DB-705C2A4ED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AF-439A-8265-0675648C7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E29C37-D067-4BFD-A746-7A2C9BBB3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AF-439A-8265-0675648C7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CB29D7-FA13-4150-8964-9AC37499C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AF-439A-8265-0675648C7F1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Caolin!$AN$16:$AN$19</c15:f>
                <c15:dlblRangeCache>
                  <c:ptCount val="4"/>
                  <c:pt idx="0">
                    <c:v>0.00121</c:v>
                  </c:pt>
                  <c:pt idx="1">
                    <c:v>0.00110</c:v>
                  </c:pt>
                  <c:pt idx="2">
                    <c:v>0.00140</c:v>
                  </c:pt>
                  <c:pt idx="3">
                    <c:v>0.00230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0248A120-C86C-4772-BD7B-5EE19FCD69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71D-4CAE-B5BD-87E9D5C6FE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F85AAC-1F0C-4A61-B765-8BF744C13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1D-4CAE-B5BD-87E9D5C6FE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76BB3D7-A58B-4BE5-BC23-A79325BBE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1D-4CAE-B5BD-87E9D5C6FEC6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599FDC8B-A67B-4EDE-89E2-2AA98F67A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1D-4CAE-B5BD-87E9D5C6FE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71D-4CAE-B5BD-87E9D5C6FEC6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F05E48AE-0BC1-4FE3-AB80-4D91384A2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1D-4CAE-B5BD-87E9D5C6FEC6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E87D77D8-717F-4474-80F9-09CA57CEA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1D-4CAE-B5BD-87E9D5C6FEC6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5F255D7A-1BB3-4EC3-B9C2-D31ECB4E5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1D-4CAE-B5BD-87E9D5C6FEC6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354B6FFC-D4AE-46B6-951A-B8879E99C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1D-4CAE-B5BD-87E9D5C6FE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22D5C1-8129-4961-BD67-553DC588E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1D-4CAE-B5BD-87E9D5C6FE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71D-4CAE-B5BD-87E9D5C6FEC6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EE6AE92D-F086-4C2A-B0FD-37DE64C4C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1D-4CAE-B5BD-87E9D5C6FEC6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F72B1A84-F076-42C7-B911-0FD644EC7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1D-4CAE-B5BD-87E9D5C6FEC6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1FEB8A21-C087-4859-9033-DAA22A86B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1D-4CAE-B5BD-87E9D5C6FE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F1F572D-DC88-4018-9BDB-058458E94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1D-4CAE-B5BD-87E9D5C6F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Caolin!$AM$5:$AM$19</c15:f>
                <c15:dlblRangeCache>
                  <c:ptCount val="15"/>
                  <c:pt idx="0">
                    <c:v>16.22%</c:v>
                  </c:pt>
                  <c:pt idx="1">
                    <c:v>19.98%</c:v>
                  </c:pt>
                  <c:pt idx="2">
                    <c:v>26.69%</c:v>
                  </c:pt>
                  <c:pt idx="3">
                    <c:v>11.70%</c:v>
                  </c:pt>
                  <c:pt idx="5">
                    <c:v>10.63%</c:v>
                  </c:pt>
                  <c:pt idx="6">
                    <c:v>14.52%</c:v>
                  </c:pt>
                  <c:pt idx="7">
                    <c:v>16.49%</c:v>
                  </c:pt>
                  <c:pt idx="8">
                    <c:v>7.99%</c:v>
                  </c:pt>
                  <c:pt idx="9">
                    <c:v>22.85%</c:v>
                  </c:pt>
                  <c:pt idx="11">
                    <c:v>9.04%</c:v>
                  </c:pt>
                  <c:pt idx="12">
                    <c:v>15.09%</c:v>
                  </c:pt>
                  <c:pt idx="13">
                    <c:v>18.55%</c:v>
                  </c:pt>
                  <c:pt idx="14">
                    <c:v>22.48%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71D-4CAE-B5BD-87E9D5C6F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D3990A7-613F-43A5-B893-7587ADD2E0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4F-44BC-B294-725DE31806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EB60D3-63A6-4F01-B681-2D0080743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F-44BC-B294-725DE31806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87E98F-D911-44AE-A61F-1276C1F98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F-44BC-B294-725DE318060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05D93A70-908D-4F5B-8290-7B619EDBCF9F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F-44BC-B294-725DE318060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Caolin!$AQ$5:$AQ$8</c15:f>
                <c15:dlblRangeCache>
                  <c:ptCount val="4"/>
                  <c:pt idx="0">
                    <c:v>100.715</c:v>
                  </c:pt>
                  <c:pt idx="1">
                    <c:v>0.758</c:v>
                  </c:pt>
                  <c:pt idx="2">
                    <c:v>0.327</c:v>
                  </c:pt>
                  <c:pt idx="3">
                    <c:v>77.674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74F-44BC-B294-725DE31806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F-44BC-B294-725DE318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0ECC9F8-8E1E-48D3-AF09-D43C815A83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DDC-468D-A976-A63FF1A4CD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45B2C3-AC6D-42FC-BDBF-89B450320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DC-468D-A976-A63FF1A4CD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6DF0F6C-6137-458D-965F-089416C7FA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DC-468D-A976-A63FF1A4CD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B63714-D000-4060-8D36-8178A73E99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DC-468D-A976-A63FF1A4CD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58D91A-A611-44C2-8B81-B6A694DCB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DC-468D-A976-A63FF1A4CD1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Caolin!$AQ$10:$AQ$14</c15:f>
                <c15:dlblRangeCache>
                  <c:ptCount val="5"/>
                  <c:pt idx="0">
                    <c:v>269.206</c:v>
                  </c:pt>
                  <c:pt idx="1">
                    <c:v>283.131</c:v>
                  </c:pt>
                  <c:pt idx="2">
                    <c:v>127.566</c:v>
                  </c:pt>
                  <c:pt idx="3">
                    <c:v>241.603</c:v>
                  </c:pt>
                  <c:pt idx="4">
                    <c:v>41.043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DC-468D-A976-A63FF1A4CD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C-468D-A976-A63FF1A4C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FC7A5F8-DE9F-45A2-AE20-C5E7229AB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B0-4D2D-827B-934E53FF1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8A59CB-2534-4693-AB26-9A32527F8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B0-4D2D-827B-934E53FF12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407CB0-8545-47B4-B26E-EB13C0E28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B0-4D2D-827B-934E53FF12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41EB1F-00DF-42A1-81BA-856345497C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B0-4D2D-827B-934E53FF123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Caolin!$AQ$16:$AQ$19</c15:f>
                <c15:dlblRangeCache>
                  <c:ptCount val="4"/>
                  <c:pt idx="0">
                    <c:v>349.346</c:v>
                  </c:pt>
                  <c:pt idx="1">
                    <c:v>562.172</c:v>
                  </c:pt>
                  <c:pt idx="2">
                    <c:v>164.152</c:v>
                  </c:pt>
                  <c:pt idx="3">
                    <c:v>6.284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B0-4D2D-827B-934E53FF12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B0-4D2D-827B-934E53FF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8034F2AA-45B9-4E3E-AF76-DEF7488FC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D3E-4C41-B4BC-6966FB9BE9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0BC20F-34B5-4F84-B60C-0BEEE0C494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3E-4C41-B4BC-6966FB9BE9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BF08CB-7EEC-49D3-A262-97A05A1DD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3E-4C41-B4BC-6966FB9BE9FD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1274F2CD-3426-479C-89C6-F36DE60EC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3E-4C41-B4BC-6966FB9BE9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3E-4C41-B4BC-6966FB9BE9FD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C69CE9D8-B8FA-4859-9B0A-D799F9EF8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3E-4C41-B4BC-6966FB9BE9FD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A548C4E3-22E9-403C-B16F-063F4E81C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3E-4C41-B4BC-6966FB9BE9FD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4B648E6A-9590-43E4-B711-98074F528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D3E-4C41-B4BC-6966FB9BE9FD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A671AC85-D897-45ED-865A-4BF339DC6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3E-4C41-B4BC-6966FB9BE9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93FFDA-BBB0-4AEB-9731-C6FACF7C96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3E-4C41-B4BC-6966FB9BE9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3E-4C41-B4BC-6966FB9BE9FD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824EC820-B69A-4797-9FB9-D5D8551E7C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3E-4C41-B4BC-6966FB9BE9FD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48FB4F34-3B82-447E-9AC6-C5393DB20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3E-4C41-B4BC-6966FB9BE9FD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64E90E06-D9A6-457E-85CD-D5DCA8561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3E-4C41-B4BC-6966FB9BE9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203E3DE-72C0-4153-BA8C-7EDAD6803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3E-4C41-B4BC-6966FB9B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Caolin!$AO$5:$AO$19</c15:f>
                <c15:dlblRangeCache>
                  <c:ptCount val="15"/>
                  <c:pt idx="0">
                    <c:v>72.15%</c:v>
                  </c:pt>
                  <c:pt idx="1">
                    <c:v>89.01%</c:v>
                  </c:pt>
                  <c:pt idx="2">
                    <c:v>93.24%</c:v>
                  </c:pt>
                  <c:pt idx="3">
                    <c:v>45.41%</c:v>
                  </c:pt>
                  <c:pt idx="5">
                    <c:v>54.01%</c:v>
                  </c:pt>
                  <c:pt idx="6">
                    <c:v>80.04%</c:v>
                  </c:pt>
                  <c:pt idx="7">
                    <c:v>93.54%</c:v>
                  </c:pt>
                  <c:pt idx="8">
                    <c:v>35.92%</c:v>
                  </c:pt>
                  <c:pt idx="9">
                    <c:v>84.75%</c:v>
                  </c:pt>
                  <c:pt idx="11">
                    <c:v>48.56%</c:v>
                  </c:pt>
                  <c:pt idx="12">
                    <c:v>87.70%</c:v>
                  </c:pt>
                  <c:pt idx="13">
                    <c:v>97.82%</c:v>
                  </c:pt>
                  <c:pt idx="14">
                    <c:v>97.16%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E-4C41-B4BC-6966FB9BE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(TOF)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BB1EB3E-E06C-413F-A0BB-B36DFF069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CD-47D7-8922-75A920B73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93F639-CA4E-4C18-8DFE-C5AFEA9BF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096-4EED-AD64-F9A361FB2481}"/>
                </c:ext>
              </c:extLst>
            </c:dLbl>
            <c:dLbl>
              <c:idx val="2"/>
              <c:layout>
                <c:manualLayout>
                  <c:x val="0"/>
                  <c:y val="8.2829051073065152E-2"/>
                </c:manualLayout>
              </c:layout>
              <c:tx>
                <c:rich>
                  <a:bodyPr/>
                  <a:lstStyle/>
                  <a:p>
                    <a:fld id="{368AE772-23D6-41E7-B5BC-C73B97E8E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96-4EED-AD64-F9A361FB24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2B57B1A-3F3C-432E-B28E-089990653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96-4EED-AD64-F9A361FB24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BCCF30-8019-400B-955F-793DD5673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CD-47D7-8922-75A920B73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'Limo-Arenoso'!$AJ$5:$AJ$9</c15:f>
                <c15:dlblRangeCache>
                  <c:ptCount val="5"/>
                  <c:pt idx="0">
                    <c:v>0.00185</c:v>
                  </c:pt>
                  <c:pt idx="1">
                    <c:v>0.00173</c:v>
                  </c:pt>
                  <c:pt idx="2">
                    <c:v>0.00166</c:v>
                  </c:pt>
                  <c:pt idx="3">
                    <c:v>0.00266</c:v>
                  </c:pt>
                  <c:pt idx="4">
                    <c:v>0.00309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3CEB906-354A-4BEF-B6B1-342477230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7-4E64-921F-EF90B4EDA2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4548B6-A122-48C6-B99E-A53AEAA04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E7-4E64-921F-EF90B4EDA2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DE1CC68-8BF9-4065-B18A-093AE34D4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E7-4E64-921F-EF90B4EDA2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B9BE38-7052-47EA-A212-E5EE1E0E6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E7-4E64-921F-EF90B4EDA2C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'Limo-Arenoso'!$AN$11:$AN$14</c15:f>
                <c15:dlblRangeCache>
                  <c:ptCount val="4"/>
                  <c:pt idx="0">
                    <c:v>0.00162</c:v>
                  </c:pt>
                  <c:pt idx="1">
                    <c:v>0.00158</c:v>
                  </c:pt>
                  <c:pt idx="2">
                    <c:v>0.00174</c:v>
                  </c:pt>
                  <c:pt idx="3">
                    <c:v>0.00256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D31F75A-4D06-4394-87CA-294EC47999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C0-4E3E-A346-F43BF6171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89DDDE-0FBF-4E9D-9DDE-766D134DA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C0-4E3E-A346-F43BF6171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B5E3A4-51B0-40ED-BA65-C4CE301FF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C0-4E3E-A346-F43BF6171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B011AC-307A-4DD3-B902-21226B4B2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C0-4E3E-A346-F43BF6171AEE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'Limo-Arenoso'!$AN$16:$AN$19</c15:f>
                <c15:dlblRangeCache>
                  <c:ptCount val="4"/>
                  <c:pt idx="0">
                    <c:v>0.00121</c:v>
                  </c:pt>
                  <c:pt idx="1">
                    <c:v>0.00144</c:v>
                  </c:pt>
                  <c:pt idx="2">
                    <c:v>0.00203</c:v>
                  </c:pt>
                  <c:pt idx="3">
                    <c:v>0.00236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E846E38-6463-4A03-8AA5-AA56D36FC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F3-4332-8750-F136661EF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52792CC-FA2F-4356-AA89-082F3B36C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F3-4332-8750-F136661EF2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0B11E3-A90C-4A69-B289-8D1973A54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F3-4332-8750-F136661EF22C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391D6507-DC5A-4BFA-B2EC-1028422D7A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3-4332-8750-F136661EF2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88C4A0C-7690-4F73-B382-39ABC8CBE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F3-4332-8750-F136661EF2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F3-4332-8750-F136661EF22C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E119828F-467F-47C5-8471-E86A572A7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F3-4332-8750-F136661EF2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D9020D7-3985-4567-8F14-CA8D51677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F3-4332-8750-F136661EF22C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01B4E457-4B17-41CA-B478-36807E93D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F3-4332-8750-F136661EF22C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AF244ACA-4963-467F-86EF-DF28CCD70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F3-4332-8750-F136661EF22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F3-4332-8750-F136661EF2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E61E5D-8DE8-404A-9392-B2468C061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F3-4332-8750-F136661EF22C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AC012F05-2AB5-4764-A98A-B0FBA62C48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F3-4332-8750-F136661EF22C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14082968-C951-4F82-8221-49463A663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3-4332-8750-F136661EF22C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4CD41DA4-2748-4C5B-94E1-9DE47E56C9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3-4332-8750-F136661EF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'Limo-Arenoso'!$AM$5:$AM$19</c15:f>
                <c15:dlblRangeCache>
                  <c:ptCount val="15"/>
                  <c:pt idx="0">
                    <c:v>11.30%</c:v>
                  </c:pt>
                  <c:pt idx="1">
                    <c:v>14.26%</c:v>
                  </c:pt>
                  <c:pt idx="2">
                    <c:v>19.20%</c:v>
                  </c:pt>
                  <c:pt idx="3">
                    <c:v>24.61%</c:v>
                  </c:pt>
                  <c:pt idx="4">
                    <c:v>29.51%</c:v>
                  </c:pt>
                  <c:pt idx="6">
                    <c:v>11.08%</c:v>
                  </c:pt>
                  <c:pt idx="7">
                    <c:v>16.01%</c:v>
                  </c:pt>
                  <c:pt idx="8">
                    <c:v>18.88%</c:v>
                  </c:pt>
                  <c:pt idx="9">
                    <c:v>24.16%</c:v>
                  </c:pt>
                  <c:pt idx="11">
                    <c:v>13.23%</c:v>
                  </c:pt>
                  <c:pt idx="12">
                    <c:v>15.98%</c:v>
                  </c:pt>
                  <c:pt idx="13">
                    <c:v>18.81%</c:v>
                  </c:pt>
                  <c:pt idx="14">
                    <c:v>22.39%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F3-4332-8750-F136661EF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812CB67-C284-48D5-8530-259A0AA067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B9-4E5C-92C5-04C3750FC9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7A3B01-BDCD-4C68-94B7-24EB3E90D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B9-4E5C-92C5-04C3750FC9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0BFD05-B5A8-4C84-A4A2-96AD62685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B9-4E5C-92C5-04C3750FC9C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CD85B6A3-3D6F-4C7C-81ED-03626F89C0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B9-4E5C-92C5-04C3750FC9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6ECE89-2F0D-444A-9FCE-9F0614AD5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B9-4E5C-92C5-04C3750FC9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8B9-4E5C-92C5-04C3750FC9C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17F7278B-DE35-497E-B8BA-E921AE333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8B9-4E5C-92C5-04C3750FC9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81E05B-A474-4CE0-8FC7-633F3FBF1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8B9-4E5C-92C5-04C3750FC9C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76CC898F-E90A-43DA-B130-477A6EB97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8B9-4E5C-92C5-04C3750FC9C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B676987A-FD1F-4B1F-92DC-E9DAE086A1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B9-4E5C-92C5-04C3750FC9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8B9-4E5C-92C5-04C3750FC9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FD2DB5-B54E-49FA-9436-DD67A4457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B9-4E5C-92C5-04C3750FC9C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6F1D373B-23BF-4E72-ACFC-79155A909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8B9-4E5C-92C5-04C3750FC9C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12D5AA97-2796-48C6-A188-577D03C149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B9-4E5C-92C5-04C3750FC9C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9B71234E-9D81-456D-B88F-78DA50426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8B9-4E5C-92C5-04C3750FC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32.12%</c:v>
                  </c:pt>
                  <c:pt idx="1">
                    <c:v>45.93%</c:v>
                  </c:pt>
                  <c:pt idx="2">
                    <c:v>68.05%</c:v>
                  </c:pt>
                  <c:pt idx="3">
                    <c:v>88.59%</c:v>
                  </c:pt>
                  <c:pt idx="4">
                    <c:v>84.00%</c:v>
                  </c:pt>
                  <c:pt idx="6">
                    <c:v>42.16%</c:v>
                  </c:pt>
                  <c:pt idx="7">
                    <c:v>70.35%</c:v>
                  </c:pt>
                  <c:pt idx="8">
                    <c:v>84.48%</c:v>
                  </c:pt>
                  <c:pt idx="9">
                    <c:v>85.64%</c:v>
                  </c:pt>
                  <c:pt idx="11">
                    <c:v>65.45%</c:v>
                  </c:pt>
                  <c:pt idx="12">
                    <c:v>83.61%</c:v>
                  </c:pt>
                  <c:pt idx="13">
                    <c:v>90.55%</c:v>
                  </c:pt>
                  <c:pt idx="14">
                    <c:v>84.37%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8B9-4E5C-92C5-04C3750F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85D2D6D-D89D-4AC1-909D-A11C7E2AA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D4F-41E8-873F-D9B93D02A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899184-4E73-416B-BF21-73DE9FF4D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4F-41E8-873F-D9B93D02A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093C94-F570-47E8-B203-52A301CE8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F-41E8-873F-D9B93D02A5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0FD50C-1A91-40C4-8BE3-FE968B6FA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F-41E8-873F-D9B93D02A5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B34710-1ACA-46C0-AD57-EDFAB22DB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4F-41E8-873F-D9B93D02A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'Limo-Arenoso'!$AQ$5:$AQ$9</c15:f>
                <c15:dlblRangeCache>
                  <c:ptCount val="5"/>
                  <c:pt idx="0">
                    <c:v>32.626</c:v>
                  </c:pt>
                  <c:pt idx="1">
                    <c:v>50.233</c:v>
                  </c:pt>
                  <c:pt idx="2">
                    <c:v>65.587</c:v>
                  </c:pt>
                  <c:pt idx="3">
                    <c:v>1.606</c:v>
                  </c:pt>
                  <c:pt idx="4">
                    <c:v>0.315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D4F-41E8-873F-D9B93D02A5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F-41E8-873F-D9B93D02A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50D171-03A6-41FD-BFF4-2697ADAD0A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30-424E-8261-569287EB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A7A1BF-0CDA-4646-ABBC-8FCA4EB71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30-424E-8261-569287EB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4267DD-95CA-4070-A079-FE2003E09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0-424E-8261-569287EB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D609C65-86FB-4CF6-B88E-66954C7B6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0-424E-8261-569287EB869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'Limo-Arenoso'!$AQ$11:$AQ$14</c15:f>
                <c15:dlblRangeCache>
                  <c:ptCount val="4"/>
                  <c:pt idx="0">
                    <c:v>75.858</c:v>
                  </c:pt>
                  <c:pt idx="1">
                    <c:v>87.736</c:v>
                  </c:pt>
                  <c:pt idx="2">
                    <c:v>48.322</c:v>
                  </c:pt>
                  <c:pt idx="3">
                    <c:v>2.277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F30-424E-8261-569287EB86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30-424E-8261-569287EB8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9EEEA36-C0EE-4F33-9B7A-21630B2FBF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FA4-4DF9-93D9-D810B62159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EAAD62-4E09-4A10-8AB0-211383CBF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FA4-4DF9-93D9-D810B62159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9B9D5C-4610-4822-B559-69AB3B755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A4-4DF9-93D9-D810B62159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058CDC-2E39-4C79-94BB-C471BF768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A4-4DF9-93D9-D810B62159FF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'Limo-Arenoso'!$AQ$16:$AQ$19</c15:f>
                <c15:dlblRangeCache>
                  <c:ptCount val="4"/>
                  <c:pt idx="0">
                    <c:v>370.782</c:v>
                  </c:pt>
                  <c:pt idx="1">
                    <c:v>148.842</c:v>
                  </c:pt>
                  <c:pt idx="2">
                    <c:v>16.709</c:v>
                  </c:pt>
                  <c:pt idx="3">
                    <c:v>4.923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FA4-4DF9-93D9-D810B62159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A4-4DF9-93D9-D810B6215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- Limo Mod 56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EjemploTOF!$B$3:$B$392</c:f>
              <c:numCache>
                <c:formatCode>General</c:formatCode>
                <c:ptCount val="390"/>
                <c:pt idx="0">
                  <c:v>21.108663940295699</c:v>
                </c:pt>
                <c:pt idx="1">
                  <c:v>21.108683471927201</c:v>
                </c:pt>
                <c:pt idx="2">
                  <c:v>21.108703003558698</c:v>
                </c:pt>
                <c:pt idx="3">
                  <c:v>21.1087225351901</c:v>
                </c:pt>
                <c:pt idx="4">
                  <c:v>21.108742066821598</c:v>
                </c:pt>
                <c:pt idx="5">
                  <c:v>21.1087615984531</c:v>
                </c:pt>
                <c:pt idx="6">
                  <c:v>21.108781130084601</c:v>
                </c:pt>
                <c:pt idx="7">
                  <c:v>21.108800661716099</c:v>
                </c:pt>
                <c:pt idx="8">
                  <c:v>21.108820193347501</c:v>
                </c:pt>
                <c:pt idx="9">
                  <c:v>21.108839724978999</c:v>
                </c:pt>
                <c:pt idx="10">
                  <c:v>21.108859256610501</c:v>
                </c:pt>
                <c:pt idx="11">
                  <c:v>21.108878788241999</c:v>
                </c:pt>
                <c:pt idx="12">
                  <c:v>21.108898319873401</c:v>
                </c:pt>
                <c:pt idx="13">
                  <c:v>21.108917851504899</c:v>
                </c:pt>
                <c:pt idx="14">
                  <c:v>21.1089373831364</c:v>
                </c:pt>
                <c:pt idx="15">
                  <c:v>21.108956914767901</c:v>
                </c:pt>
                <c:pt idx="16">
                  <c:v>21.1089764463993</c:v>
                </c:pt>
                <c:pt idx="17">
                  <c:v>21.108995978030801</c:v>
                </c:pt>
                <c:pt idx="18">
                  <c:v>21.109015509662299</c:v>
                </c:pt>
                <c:pt idx="19">
                  <c:v>21.109035041293801</c:v>
                </c:pt>
                <c:pt idx="20">
                  <c:v>21.109054572925299</c:v>
                </c:pt>
                <c:pt idx="21">
                  <c:v>21.109074104556701</c:v>
                </c:pt>
                <c:pt idx="22">
                  <c:v>21.109093636188199</c:v>
                </c:pt>
                <c:pt idx="23">
                  <c:v>21.1091131678197</c:v>
                </c:pt>
                <c:pt idx="24">
                  <c:v>21.109132699451202</c:v>
                </c:pt>
                <c:pt idx="25">
                  <c:v>21.1091522310826</c:v>
                </c:pt>
                <c:pt idx="26">
                  <c:v>21.109171762714102</c:v>
                </c:pt>
                <c:pt idx="27">
                  <c:v>21.109191294345599</c:v>
                </c:pt>
                <c:pt idx="28">
                  <c:v>21.109210825977101</c:v>
                </c:pt>
                <c:pt idx="29">
                  <c:v>21.109230357608599</c:v>
                </c:pt>
                <c:pt idx="30">
                  <c:v>21.109249889240001</c:v>
                </c:pt>
                <c:pt idx="31">
                  <c:v>21.109269420871499</c:v>
                </c:pt>
                <c:pt idx="32">
                  <c:v>21.109288952503</c:v>
                </c:pt>
                <c:pt idx="33">
                  <c:v>21.109308484134498</c:v>
                </c:pt>
                <c:pt idx="34">
                  <c:v>21.1093280157659</c:v>
                </c:pt>
                <c:pt idx="35">
                  <c:v>21.109347547397402</c:v>
                </c:pt>
                <c:pt idx="36">
                  <c:v>21.1093670790289</c:v>
                </c:pt>
                <c:pt idx="37">
                  <c:v>21.109386610660401</c:v>
                </c:pt>
                <c:pt idx="38">
                  <c:v>21.1094061422918</c:v>
                </c:pt>
                <c:pt idx="39">
                  <c:v>21.109425673923301</c:v>
                </c:pt>
                <c:pt idx="40">
                  <c:v>21.109445205554799</c:v>
                </c:pt>
                <c:pt idx="41">
                  <c:v>21.1094647371863</c:v>
                </c:pt>
                <c:pt idx="42">
                  <c:v>21.109484268817798</c:v>
                </c:pt>
                <c:pt idx="43">
                  <c:v>21.1095038004492</c:v>
                </c:pt>
                <c:pt idx="44">
                  <c:v>21.109523332080698</c:v>
                </c:pt>
                <c:pt idx="45">
                  <c:v>21.1095428637122</c:v>
                </c:pt>
                <c:pt idx="46">
                  <c:v>21.109562395343701</c:v>
                </c:pt>
                <c:pt idx="47">
                  <c:v>21.1095819269751</c:v>
                </c:pt>
                <c:pt idx="48">
                  <c:v>21.109601458606601</c:v>
                </c:pt>
                <c:pt idx="49">
                  <c:v>21.109620990238099</c:v>
                </c:pt>
                <c:pt idx="50">
                  <c:v>21.109640521869601</c:v>
                </c:pt>
                <c:pt idx="51">
                  <c:v>21.109660053500999</c:v>
                </c:pt>
                <c:pt idx="52">
                  <c:v>21.109679585132501</c:v>
                </c:pt>
                <c:pt idx="53">
                  <c:v>21.109699116763998</c:v>
                </c:pt>
                <c:pt idx="54">
                  <c:v>21.1097186483955</c:v>
                </c:pt>
                <c:pt idx="55">
                  <c:v>21.109738180027001</c:v>
                </c:pt>
                <c:pt idx="56">
                  <c:v>21.1097577116584</c:v>
                </c:pt>
                <c:pt idx="57">
                  <c:v>21.109777243289901</c:v>
                </c:pt>
                <c:pt idx="58">
                  <c:v>21.109796774921399</c:v>
                </c:pt>
                <c:pt idx="59">
                  <c:v>21.109816306552901</c:v>
                </c:pt>
                <c:pt idx="60">
                  <c:v>21.109835838184299</c:v>
                </c:pt>
                <c:pt idx="61">
                  <c:v>21.109855369815801</c:v>
                </c:pt>
                <c:pt idx="62">
                  <c:v>21.109874901447299</c:v>
                </c:pt>
                <c:pt idx="63">
                  <c:v>21.1098944330788</c:v>
                </c:pt>
                <c:pt idx="64">
                  <c:v>21.109913964710302</c:v>
                </c:pt>
                <c:pt idx="65">
                  <c:v>21.1099334963417</c:v>
                </c:pt>
                <c:pt idx="66">
                  <c:v>21.109953027973202</c:v>
                </c:pt>
                <c:pt idx="67">
                  <c:v>21.109972559604699</c:v>
                </c:pt>
                <c:pt idx="68">
                  <c:v>21.109992091236201</c:v>
                </c:pt>
                <c:pt idx="69">
                  <c:v>21.110011622867599</c:v>
                </c:pt>
                <c:pt idx="70">
                  <c:v>21.110031154499101</c:v>
                </c:pt>
                <c:pt idx="71">
                  <c:v>21.110050686130599</c:v>
                </c:pt>
                <c:pt idx="72">
                  <c:v>21.1100702177621</c:v>
                </c:pt>
                <c:pt idx="73">
                  <c:v>21.110089749393499</c:v>
                </c:pt>
                <c:pt idx="74">
                  <c:v>21.110109281025</c:v>
                </c:pt>
                <c:pt idx="75">
                  <c:v>21.110128812656502</c:v>
                </c:pt>
                <c:pt idx="76">
                  <c:v>21.110148344288</c:v>
                </c:pt>
                <c:pt idx="77">
                  <c:v>21.110167875919501</c:v>
                </c:pt>
                <c:pt idx="78">
                  <c:v>21.1101874075509</c:v>
                </c:pt>
                <c:pt idx="79">
                  <c:v>21.110206939182401</c:v>
                </c:pt>
                <c:pt idx="80">
                  <c:v>21.110226470813899</c:v>
                </c:pt>
                <c:pt idx="81">
                  <c:v>21.1102460024454</c:v>
                </c:pt>
                <c:pt idx="82">
                  <c:v>21.110265534076799</c:v>
                </c:pt>
                <c:pt idx="83">
                  <c:v>21.1102850657083</c:v>
                </c:pt>
                <c:pt idx="84">
                  <c:v>21.110304597339798</c:v>
                </c:pt>
                <c:pt idx="85">
                  <c:v>21.1103241289713</c:v>
                </c:pt>
                <c:pt idx="86">
                  <c:v>21.110343660602702</c:v>
                </c:pt>
                <c:pt idx="87">
                  <c:v>21.1103631922342</c:v>
                </c:pt>
                <c:pt idx="88">
                  <c:v>21.110382723865701</c:v>
                </c:pt>
                <c:pt idx="89">
                  <c:v>21.110402255497199</c:v>
                </c:pt>
                <c:pt idx="90">
                  <c:v>21.110421787128701</c:v>
                </c:pt>
                <c:pt idx="91">
                  <c:v>21.110441318760099</c:v>
                </c:pt>
                <c:pt idx="92">
                  <c:v>21.1104608503916</c:v>
                </c:pt>
                <c:pt idx="93">
                  <c:v>21.110480382023098</c:v>
                </c:pt>
                <c:pt idx="94">
                  <c:v>21.1104999136546</c:v>
                </c:pt>
                <c:pt idx="95">
                  <c:v>21.110519445285998</c:v>
                </c:pt>
                <c:pt idx="96">
                  <c:v>21.1105389769175</c:v>
                </c:pt>
                <c:pt idx="97">
                  <c:v>21.110558508549001</c:v>
                </c:pt>
                <c:pt idx="98">
                  <c:v>21.110578040180499</c:v>
                </c:pt>
                <c:pt idx="99">
                  <c:v>21.110597571812001</c:v>
                </c:pt>
                <c:pt idx="100">
                  <c:v>21.110617103443399</c:v>
                </c:pt>
                <c:pt idx="101">
                  <c:v>21.110636635074901</c:v>
                </c:pt>
                <c:pt idx="102">
                  <c:v>21.110656166706399</c:v>
                </c:pt>
                <c:pt idx="103">
                  <c:v>21.1106756983379</c:v>
                </c:pt>
                <c:pt idx="104">
                  <c:v>21.110695229969298</c:v>
                </c:pt>
                <c:pt idx="105">
                  <c:v>21.1107147616008</c:v>
                </c:pt>
                <c:pt idx="106">
                  <c:v>21.110734293232301</c:v>
                </c:pt>
                <c:pt idx="107">
                  <c:v>21.110753824863799</c:v>
                </c:pt>
                <c:pt idx="108">
                  <c:v>21.110773356495201</c:v>
                </c:pt>
                <c:pt idx="109">
                  <c:v>21.110792888126699</c:v>
                </c:pt>
                <c:pt idx="110">
                  <c:v>21.110812419758201</c:v>
                </c:pt>
                <c:pt idx="111">
                  <c:v>21.110831951389699</c:v>
                </c:pt>
                <c:pt idx="112">
                  <c:v>21.1108514830212</c:v>
                </c:pt>
                <c:pt idx="113">
                  <c:v>21.110871014652599</c:v>
                </c:pt>
                <c:pt idx="114">
                  <c:v>21.1108905462841</c:v>
                </c:pt>
                <c:pt idx="115">
                  <c:v>21.110910077915602</c:v>
                </c:pt>
                <c:pt idx="116">
                  <c:v>21.1109296095471</c:v>
                </c:pt>
                <c:pt idx="117">
                  <c:v>21.110949141178502</c:v>
                </c:pt>
                <c:pt idx="118">
                  <c:v>21.110968672809999</c:v>
                </c:pt>
                <c:pt idx="119">
                  <c:v>21.110988204441501</c:v>
                </c:pt>
                <c:pt idx="120">
                  <c:v>21.111007736072999</c:v>
                </c:pt>
                <c:pt idx="121">
                  <c:v>21.111027267704401</c:v>
                </c:pt>
                <c:pt idx="122">
                  <c:v>21.111046799335899</c:v>
                </c:pt>
                <c:pt idx="123">
                  <c:v>21.1110663309674</c:v>
                </c:pt>
                <c:pt idx="124">
                  <c:v>21.111085862598902</c:v>
                </c:pt>
                <c:pt idx="125">
                  <c:v>21.1111053942304</c:v>
                </c:pt>
                <c:pt idx="126">
                  <c:v>21.111124925861802</c:v>
                </c:pt>
                <c:pt idx="127">
                  <c:v>21.1111444574933</c:v>
                </c:pt>
                <c:pt idx="128">
                  <c:v>21.111163989124801</c:v>
                </c:pt>
                <c:pt idx="129">
                  <c:v>21.111183520756299</c:v>
                </c:pt>
                <c:pt idx="130">
                  <c:v>21.111203052387701</c:v>
                </c:pt>
                <c:pt idx="131">
                  <c:v>21.111222584019199</c:v>
                </c:pt>
                <c:pt idx="132">
                  <c:v>21.1112421156507</c:v>
                </c:pt>
                <c:pt idx="133">
                  <c:v>21.111261647282198</c:v>
                </c:pt>
                <c:pt idx="134">
                  <c:v>21.1112811789137</c:v>
                </c:pt>
                <c:pt idx="135">
                  <c:v>21.111300710545098</c:v>
                </c:pt>
                <c:pt idx="136">
                  <c:v>21.1113202421766</c:v>
                </c:pt>
                <c:pt idx="137">
                  <c:v>21.111339773808101</c:v>
                </c:pt>
                <c:pt idx="138">
                  <c:v>21.111359305439599</c:v>
                </c:pt>
                <c:pt idx="139">
                  <c:v>21.111378837071001</c:v>
                </c:pt>
                <c:pt idx="140">
                  <c:v>21.111398368702499</c:v>
                </c:pt>
                <c:pt idx="141">
                  <c:v>21.111417900334001</c:v>
                </c:pt>
                <c:pt idx="142">
                  <c:v>21.111437431965498</c:v>
                </c:pt>
                <c:pt idx="143">
                  <c:v>21.1114569635969</c:v>
                </c:pt>
                <c:pt idx="144">
                  <c:v>21.111476495228398</c:v>
                </c:pt>
                <c:pt idx="145">
                  <c:v>21.1114960268599</c:v>
                </c:pt>
                <c:pt idx="146">
                  <c:v>21.111515558491401</c:v>
                </c:pt>
                <c:pt idx="147">
                  <c:v>21.111535090122899</c:v>
                </c:pt>
                <c:pt idx="148">
                  <c:v>21.111554621754301</c:v>
                </c:pt>
                <c:pt idx="149">
                  <c:v>21.111574153385799</c:v>
                </c:pt>
                <c:pt idx="150">
                  <c:v>21.111593685017301</c:v>
                </c:pt>
                <c:pt idx="151">
                  <c:v>21.111613216648799</c:v>
                </c:pt>
                <c:pt idx="152">
                  <c:v>21.111632748280201</c:v>
                </c:pt>
                <c:pt idx="153">
                  <c:v>21.111652279911699</c:v>
                </c:pt>
                <c:pt idx="154">
                  <c:v>21.1116718115432</c:v>
                </c:pt>
                <c:pt idx="155">
                  <c:v>21.111691343174702</c:v>
                </c:pt>
                <c:pt idx="156">
                  <c:v>21.111710874806199</c:v>
                </c:pt>
                <c:pt idx="157">
                  <c:v>21.111730406437601</c:v>
                </c:pt>
                <c:pt idx="158">
                  <c:v>21.111749938069099</c:v>
                </c:pt>
                <c:pt idx="159">
                  <c:v>21.111769469700601</c:v>
                </c:pt>
                <c:pt idx="160">
                  <c:v>21.111789001332099</c:v>
                </c:pt>
                <c:pt idx="161">
                  <c:v>21.111808532963501</c:v>
                </c:pt>
                <c:pt idx="162">
                  <c:v>21.111828064594999</c:v>
                </c:pt>
                <c:pt idx="163">
                  <c:v>21.1118475962265</c:v>
                </c:pt>
                <c:pt idx="164">
                  <c:v>21.111867127858002</c:v>
                </c:pt>
                <c:pt idx="165">
                  <c:v>21.1118866594894</c:v>
                </c:pt>
                <c:pt idx="166">
                  <c:v>21.111906191120902</c:v>
                </c:pt>
                <c:pt idx="167">
                  <c:v>21.1119257227524</c:v>
                </c:pt>
                <c:pt idx="168">
                  <c:v>21.111945254383901</c:v>
                </c:pt>
                <c:pt idx="169">
                  <c:v>21.111964786015399</c:v>
                </c:pt>
                <c:pt idx="170">
                  <c:v>21.111984317646801</c:v>
                </c:pt>
                <c:pt idx="171">
                  <c:v>21.112003849278299</c:v>
                </c:pt>
                <c:pt idx="172">
                  <c:v>21.1120233809098</c:v>
                </c:pt>
                <c:pt idx="173">
                  <c:v>21.112042912541298</c:v>
                </c:pt>
                <c:pt idx="174">
                  <c:v>21.1120624441727</c:v>
                </c:pt>
                <c:pt idx="175">
                  <c:v>21.112081975804202</c:v>
                </c:pt>
                <c:pt idx="176">
                  <c:v>21.1121015074357</c:v>
                </c:pt>
                <c:pt idx="177">
                  <c:v>21.112121039067201</c:v>
                </c:pt>
                <c:pt idx="178">
                  <c:v>21.1121405706986</c:v>
                </c:pt>
                <c:pt idx="179">
                  <c:v>21.112160102330101</c:v>
                </c:pt>
                <c:pt idx="180">
                  <c:v>21.112179633961599</c:v>
                </c:pt>
                <c:pt idx="181">
                  <c:v>21.112199165593101</c:v>
                </c:pt>
                <c:pt idx="182">
                  <c:v>21.112218697224598</c:v>
                </c:pt>
                <c:pt idx="183">
                  <c:v>21.112238228856</c:v>
                </c:pt>
                <c:pt idx="184">
                  <c:v>21.112257760487498</c:v>
                </c:pt>
                <c:pt idx="185">
                  <c:v>21.112277292119</c:v>
                </c:pt>
                <c:pt idx="186">
                  <c:v>21.112296823750501</c:v>
                </c:pt>
                <c:pt idx="187">
                  <c:v>21.1123163553819</c:v>
                </c:pt>
                <c:pt idx="188">
                  <c:v>21.112335887013401</c:v>
                </c:pt>
                <c:pt idx="189">
                  <c:v>21.112355418644899</c:v>
                </c:pt>
                <c:pt idx="190">
                  <c:v>21.112374950276401</c:v>
                </c:pt>
                <c:pt idx="191">
                  <c:v>21.112394481907899</c:v>
                </c:pt>
                <c:pt idx="192">
                  <c:v>21.112414013539301</c:v>
                </c:pt>
                <c:pt idx="193">
                  <c:v>21.112433545170799</c:v>
                </c:pt>
                <c:pt idx="194">
                  <c:v>21.1124530768023</c:v>
                </c:pt>
                <c:pt idx="195">
                  <c:v>21.112472608433801</c:v>
                </c:pt>
                <c:pt idx="196">
                  <c:v>21.1124921400652</c:v>
                </c:pt>
                <c:pt idx="197">
                  <c:v>21.112511671696701</c:v>
                </c:pt>
                <c:pt idx="198">
                  <c:v>21.112531203328199</c:v>
                </c:pt>
                <c:pt idx="199">
                  <c:v>21.112550734959701</c:v>
                </c:pt>
                <c:pt idx="200">
                  <c:v>21.112570266591099</c:v>
                </c:pt>
                <c:pt idx="201">
                  <c:v>21.112589798222601</c:v>
                </c:pt>
                <c:pt idx="202">
                  <c:v>21.112609329854099</c:v>
                </c:pt>
                <c:pt idx="203">
                  <c:v>21.1126288614856</c:v>
                </c:pt>
                <c:pt idx="204">
                  <c:v>21.112648393117102</c:v>
                </c:pt>
                <c:pt idx="205">
                  <c:v>21.1126679247485</c:v>
                </c:pt>
                <c:pt idx="206">
                  <c:v>21.112687456380002</c:v>
                </c:pt>
                <c:pt idx="207">
                  <c:v>21.112706988011499</c:v>
                </c:pt>
                <c:pt idx="208">
                  <c:v>21.112726519643001</c:v>
                </c:pt>
                <c:pt idx="209">
                  <c:v>21.112746051274399</c:v>
                </c:pt>
                <c:pt idx="210">
                  <c:v>21.112765582905901</c:v>
                </c:pt>
                <c:pt idx="211">
                  <c:v>21.112785114537399</c:v>
                </c:pt>
                <c:pt idx="212">
                  <c:v>21.1128046461689</c:v>
                </c:pt>
                <c:pt idx="213">
                  <c:v>21.112824177800402</c:v>
                </c:pt>
                <c:pt idx="214">
                  <c:v>21.1128437094318</c:v>
                </c:pt>
                <c:pt idx="215">
                  <c:v>21.112863241063302</c:v>
                </c:pt>
                <c:pt idx="216">
                  <c:v>21.1128827726948</c:v>
                </c:pt>
                <c:pt idx="217">
                  <c:v>21.112902304326301</c:v>
                </c:pt>
                <c:pt idx="218">
                  <c:v>21.1129218359577</c:v>
                </c:pt>
                <c:pt idx="219">
                  <c:v>21.112941367589201</c:v>
                </c:pt>
                <c:pt idx="220">
                  <c:v>21.112960899220699</c:v>
                </c:pt>
                <c:pt idx="221">
                  <c:v>21.1129804308522</c:v>
                </c:pt>
                <c:pt idx="222">
                  <c:v>21.112999962483599</c:v>
                </c:pt>
                <c:pt idx="223">
                  <c:v>21.1130194941151</c:v>
                </c:pt>
                <c:pt idx="224">
                  <c:v>21.113039025746598</c:v>
                </c:pt>
                <c:pt idx="225">
                  <c:v>21.1130585573781</c:v>
                </c:pt>
                <c:pt idx="226">
                  <c:v>21.113078089009601</c:v>
                </c:pt>
                <c:pt idx="227">
                  <c:v>21.113097620641</c:v>
                </c:pt>
                <c:pt idx="228">
                  <c:v>21.113117152272501</c:v>
                </c:pt>
                <c:pt idx="229">
                  <c:v>21.113136683903999</c:v>
                </c:pt>
                <c:pt idx="230">
                  <c:v>21.113156215535501</c:v>
                </c:pt>
                <c:pt idx="231">
                  <c:v>21.113175747166899</c:v>
                </c:pt>
                <c:pt idx="232">
                  <c:v>21.113195278798401</c:v>
                </c:pt>
                <c:pt idx="233">
                  <c:v>21.113214810429898</c:v>
                </c:pt>
                <c:pt idx="234">
                  <c:v>21.1132343420614</c:v>
                </c:pt>
                <c:pt idx="235">
                  <c:v>21.113253873692798</c:v>
                </c:pt>
                <c:pt idx="236">
                  <c:v>21.1132734053243</c:v>
                </c:pt>
                <c:pt idx="237">
                  <c:v>21.113292936955801</c:v>
                </c:pt>
                <c:pt idx="238">
                  <c:v>21.113312468587299</c:v>
                </c:pt>
                <c:pt idx="239">
                  <c:v>21.113332000218801</c:v>
                </c:pt>
                <c:pt idx="240">
                  <c:v>21.113351531850199</c:v>
                </c:pt>
                <c:pt idx="241">
                  <c:v>21.113371063481701</c:v>
                </c:pt>
                <c:pt idx="242">
                  <c:v>21.113390595113199</c:v>
                </c:pt>
                <c:pt idx="243">
                  <c:v>21.1134101267447</c:v>
                </c:pt>
                <c:pt idx="244">
                  <c:v>21.113429658376099</c:v>
                </c:pt>
                <c:pt idx="245">
                  <c:v>21.1134491900076</c:v>
                </c:pt>
                <c:pt idx="246">
                  <c:v>21.113468721639101</c:v>
                </c:pt>
                <c:pt idx="247">
                  <c:v>21.113488253270599</c:v>
                </c:pt>
                <c:pt idx="248">
                  <c:v>21.113507784902101</c:v>
                </c:pt>
                <c:pt idx="249">
                  <c:v>21.113527316533499</c:v>
                </c:pt>
                <c:pt idx="250">
                  <c:v>21.113546848165001</c:v>
                </c:pt>
                <c:pt idx="251">
                  <c:v>21.113566379796499</c:v>
                </c:pt>
                <c:pt idx="252">
                  <c:v>21.113585911428</c:v>
                </c:pt>
                <c:pt idx="253">
                  <c:v>21.113605443059399</c:v>
                </c:pt>
                <c:pt idx="254">
                  <c:v>21.1136249746909</c:v>
                </c:pt>
                <c:pt idx="255">
                  <c:v>21.113644506322402</c:v>
                </c:pt>
                <c:pt idx="256">
                  <c:v>21.1136640379539</c:v>
                </c:pt>
                <c:pt idx="257">
                  <c:v>21.113683569585302</c:v>
                </c:pt>
                <c:pt idx="258">
                  <c:v>21.113703101216799</c:v>
                </c:pt>
                <c:pt idx="259">
                  <c:v>21.113722632848301</c:v>
                </c:pt>
                <c:pt idx="260">
                  <c:v>21.113742164479799</c:v>
                </c:pt>
                <c:pt idx="261">
                  <c:v>21.1137616961113</c:v>
                </c:pt>
                <c:pt idx="262">
                  <c:v>21.113781227742699</c:v>
                </c:pt>
                <c:pt idx="263">
                  <c:v>21.1138007593742</c:v>
                </c:pt>
                <c:pt idx="264">
                  <c:v>21.113820291005698</c:v>
                </c:pt>
                <c:pt idx="265">
                  <c:v>21.1138398226372</c:v>
                </c:pt>
                <c:pt idx="266">
                  <c:v>21.113859354268602</c:v>
                </c:pt>
                <c:pt idx="267">
                  <c:v>21.1138788859001</c:v>
                </c:pt>
                <c:pt idx="268">
                  <c:v>21.113898417531601</c:v>
                </c:pt>
                <c:pt idx="269">
                  <c:v>21.113917949163099</c:v>
                </c:pt>
                <c:pt idx="270">
                  <c:v>21.113937480794501</c:v>
                </c:pt>
                <c:pt idx="271">
                  <c:v>21.113957012425999</c:v>
                </c:pt>
                <c:pt idx="272">
                  <c:v>21.1139765440575</c:v>
                </c:pt>
                <c:pt idx="273">
                  <c:v>21.113996075688998</c:v>
                </c:pt>
                <c:pt idx="274">
                  <c:v>21.1140156073205</c:v>
                </c:pt>
                <c:pt idx="275">
                  <c:v>21.114035138951898</c:v>
                </c:pt>
                <c:pt idx="276">
                  <c:v>21.1140546705834</c:v>
                </c:pt>
                <c:pt idx="277">
                  <c:v>21.114074202214901</c:v>
                </c:pt>
                <c:pt idx="278">
                  <c:v>21.114093733846399</c:v>
                </c:pt>
                <c:pt idx="279">
                  <c:v>21.114113265477801</c:v>
                </c:pt>
                <c:pt idx="280">
                  <c:v>21.114132797109299</c:v>
                </c:pt>
                <c:pt idx="281">
                  <c:v>21.114152328740801</c:v>
                </c:pt>
                <c:pt idx="282">
                  <c:v>21.114171860372299</c:v>
                </c:pt>
                <c:pt idx="283">
                  <c:v>21.1141913920038</c:v>
                </c:pt>
                <c:pt idx="284">
                  <c:v>21.114210923635198</c:v>
                </c:pt>
                <c:pt idx="285">
                  <c:v>21.1142304552667</c:v>
                </c:pt>
                <c:pt idx="286">
                  <c:v>21.114249986898201</c:v>
                </c:pt>
                <c:pt idx="287">
                  <c:v>21.114269518529699</c:v>
                </c:pt>
                <c:pt idx="288">
                  <c:v>21.114289050161101</c:v>
                </c:pt>
                <c:pt idx="289">
                  <c:v>21.114308581792599</c:v>
                </c:pt>
                <c:pt idx="290">
                  <c:v>21.114328113424101</c:v>
                </c:pt>
                <c:pt idx="291">
                  <c:v>21.114347645055599</c:v>
                </c:pt>
                <c:pt idx="292">
                  <c:v>21.114367176687001</c:v>
                </c:pt>
                <c:pt idx="293">
                  <c:v>21.114386708318499</c:v>
                </c:pt>
                <c:pt idx="294">
                  <c:v>21.11440623995</c:v>
                </c:pt>
                <c:pt idx="295">
                  <c:v>21.114425771581502</c:v>
                </c:pt>
                <c:pt idx="296">
                  <c:v>21.114445303213</c:v>
                </c:pt>
                <c:pt idx="297">
                  <c:v>21.114464834844402</c:v>
                </c:pt>
                <c:pt idx="298">
                  <c:v>21.114484366475899</c:v>
                </c:pt>
                <c:pt idx="299">
                  <c:v>21.114503898107401</c:v>
                </c:pt>
                <c:pt idx="300">
                  <c:v>21.114523429738899</c:v>
                </c:pt>
                <c:pt idx="301">
                  <c:v>21.114542961370301</c:v>
                </c:pt>
                <c:pt idx="302">
                  <c:v>21.114562493001799</c:v>
                </c:pt>
                <c:pt idx="303">
                  <c:v>21.1145820246333</c:v>
                </c:pt>
                <c:pt idx="304">
                  <c:v>21.114601556264802</c:v>
                </c:pt>
                <c:pt idx="305">
                  <c:v>21.1146210878963</c:v>
                </c:pt>
                <c:pt idx="306">
                  <c:v>21.114640619527702</c:v>
                </c:pt>
                <c:pt idx="307">
                  <c:v>21.1146601511592</c:v>
                </c:pt>
                <c:pt idx="308">
                  <c:v>21.114679682790701</c:v>
                </c:pt>
                <c:pt idx="309">
                  <c:v>21.114699214422199</c:v>
                </c:pt>
                <c:pt idx="310">
                  <c:v>21.114718746053601</c:v>
                </c:pt>
                <c:pt idx="311">
                  <c:v>21.114738277685099</c:v>
                </c:pt>
                <c:pt idx="312">
                  <c:v>21.1147578093166</c:v>
                </c:pt>
                <c:pt idx="313">
                  <c:v>21.114777340948098</c:v>
                </c:pt>
                <c:pt idx="314">
                  <c:v>21.1147968725795</c:v>
                </c:pt>
                <c:pt idx="315">
                  <c:v>21.114816404210998</c:v>
                </c:pt>
                <c:pt idx="316">
                  <c:v>21.1148359358425</c:v>
                </c:pt>
                <c:pt idx="317">
                  <c:v>21.114855467474001</c:v>
                </c:pt>
                <c:pt idx="318">
                  <c:v>21.114874999105499</c:v>
                </c:pt>
                <c:pt idx="319">
                  <c:v>21.114894530736901</c:v>
                </c:pt>
                <c:pt idx="320">
                  <c:v>21.114914062368399</c:v>
                </c:pt>
                <c:pt idx="321">
                  <c:v>21.114933593999901</c:v>
                </c:pt>
                <c:pt idx="322">
                  <c:v>21.114953125631398</c:v>
                </c:pt>
                <c:pt idx="323">
                  <c:v>21.1149726572628</c:v>
                </c:pt>
                <c:pt idx="324">
                  <c:v>21.114992188894298</c:v>
                </c:pt>
                <c:pt idx="325">
                  <c:v>21.1150117205258</c:v>
                </c:pt>
                <c:pt idx="326">
                  <c:v>21.115031252157301</c:v>
                </c:pt>
                <c:pt idx="327">
                  <c:v>21.1150507837887</c:v>
                </c:pt>
                <c:pt idx="328">
                  <c:v>21.115070315420201</c:v>
                </c:pt>
                <c:pt idx="329">
                  <c:v>21.115089847051699</c:v>
                </c:pt>
                <c:pt idx="330">
                  <c:v>21.115109378683201</c:v>
                </c:pt>
                <c:pt idx="331">
                  <c:v>21.115128910314699</c:v>
                </c:pt>
                <c:pt idx="332">
                  <c:v>21.115148441946101</c:v>
                </c:pt>
                <c:pt idx="333">
                  <c:v>21.115167973577599</c:v>
                </c:pt>
                <c:pt idx="334">
                  <c:v>21.1151875052091</c:v>
                </c:pt>
                <c:pt idx="335">
                  <c:v>21.115207036840602</c:v>
                </c:pt>
                <c:pt idx="336">
                  <c:v>21.115226568472</c:v>
                </c:pt>
                <c:pt idx="337">
                  <c:v>21.115246100103501</c:v>
                </c:pt>
                <c:pt idx="338">
                  <c:v>21.115265631734999</c:v>
                </c:pt>
                <c:pt idx="339">
                  <c:v>21.115285163366501</c:v>
                </c:pt>
                <c:pt idx="340">
                  <c:v>21.115304694997999</c:v>
                </c:pt>
                <c:pt idx="341">
                  <c:v>21.115324226629401</c:v>
                </c:pt>
                <c:pt idx="342">
                  <c:v>21.115343758260899</c:v>
                </c:pt>
                <c:pt idx="343">
                  <c:v>21.1153632898924</c:v>
                </c:pt>
                <c:pt idx="344">
                  <c:v>21.115382821523902</c:v>
                </c:pt>
                <c:pt idx="345">
                  <c:v>21.1154023531553</c:v>
                </c:pt>
                <c:pt idx="346">
                  <c:v>21.115421884786802</c:v>
                </c:pt>
                <c:pt idx="347">
                  <c:v>21.1154414164183</c:v>
                </c:pt>
                <c:pt idx="348">
                  <c:v>21.115460948049801</c:v>
                </c:pt>
                <c:pt idx="349">
                  <c:v>21.115480479681199</c:v>
                </c:pt>
                <c:pt idx="350">
                  <c:v>21.115500011312701</c:v>
                </c:pt>
                <c:pt idx="351">
                  <c:v>21.115519542944199</c:v>
                </c:pt>
                <c:pt idx="352">
                  <c:v>21.1155390745757</c:v>
                </c:pt>
                <c:pt idx="353">
                  <c:v>21.115558606207198</c:v>
                </c:pt>
                <c:pt idx="354">
                  <c:v>21.1155781378386</c:v>
                </c:pt>
                <c:pt idx="355">
                  <c:v>21.115597669470102</c:v>
                </c:pt>
                <c:pt idx="356">
                  <c:v>21.1156172011016</c:v>
                </c:pt>
                <c:pt idx="357">
                  <c:v>21.115636732733101</c:v>
                </c:pt>
                <c:pt idx="358">
                  <c:v>21.1156562643645</c:v>
                </c:pt>
                <c:pt idx="359">
                  <c:v>21.115675795996001</c:v>
                </c:pt>
                <c:pt idx="360">
                  <c:v>21.115695327627499</c:v>
                </c:pt>
                <c:pt idx="361">
                  <c:v>21.115714859259</c:v>
                </c:pt>
                <c:pt idx="362">
                  <c:v>21.115734390890498</c:v>
                </c:pt>
                <c:pt idx="363">
                  <c:v>21.1157539225219</c:v>
                </c:pt>
                <c:pt idx="364">
                  <c:v>21.115773454153398</c:v>
                </c:pt>
                <c:pt idx="365">
                  <c:v>21.1157929857849</c:v>
                </c:pt>
                <c:pt idx="366">
                  <c:v>21.115812517416401</c:v>
                </c:pt>
                <c:pt idx="367">
                  <c:v>21.1158320490478</c:v>
                </c:pt>
                <c:pt idx="368">
                  <c:v>21.115851580679301</c:v>
                </c:pt>
                <c:pt idx="369">
                  <c:v>21.115871112310799</c:v>
                </c:pt>
                <c:pt idx="370">
                  <c:v>21.115890643942301</c:v>
                </c:pt>
                <c:pt idx="371">
                  <c:v>21.115910175573699</c:v>
                </c:pt>
                <c:pt idx="372">
                  <c:v>21.115929707205201</c:v>
                </c:pt>
                <c:pt idx="373">
                  <c:v>21.115949238836698</c:v>
                </c:pt>
                <c:pt idx="374">
                  <c:v>21.1159687704682</c:v>
                </c:pt>
                <c:pt idx="375">
                  <c:v>21.115988302099701</c:v>
                </c:pt>
                <c:pt idx="376">
                  <c:v>21.1160078337311</c:v>
                </c:pt>
                <c:pt idx="377">
                  <c:v>21.116027365362601</c:v>
                </c:pt>
                <c:pt idx="378">
                  <c:v>21.116046896994099</c:v>
                </c:pt>
                <c:pt idx="379">
                  <c:v>21.116066428625601</c:v>
                </c:pt>
                <c:pt idx="380">
                  <c:v>21.116085960256999</c:v>
                </c:pt>
                <c:pt idx="381">
                  <c:v>21.116105491888501</c:v>
                </c:pt>
                <c:pt idx="382">
                  <c:v>21.116125023519999</c:v>
                </c:pt>
                <c:pt idx="383">
                  <c:v>21.1161445551515</c:v>
                </c:pt>
                <c:pt idx="384">
                  <c:v>21.116164086782899</c:v>
                </c:pt>
                <c:pt idx="385">
                  <c:v>21.1161836184144</c:v>
                </c:pt>
                <c:pt idx="386">
                  <c:v>21.116203150045902</c:v>
                </c:pt>
                <c:pt idx="387">
                  <c:v>21.116222681677399</c:v>
                </c:pt>
                <c:pt idx="388">
                  <c:v>21.116242213308901</c:v>
                </c:pt>
                <c:pt idx="389">
                  <c:v>21.116261744940299</c:v>
                </c:pt>
              </c:numCache>
            </c:numRef>
          </c:xVal>
          <c:yVal>
            <c:numRef>
              <c:f>EjemploTOF!$C$3:$C$392</c:f>
              <c:numCache>
                <c:formatCode>General</c:formatCode>
                <c:ptCount val="390"/>
                <c:pt idx="0">
                  <c:v>1.63902694E-4</c:v>
                </c:pt>
                <c:pt idx="1">
                  <c:v>1.9197525199999999E-4</c:v>
                </c:pt>
                <c:pt idx="2">
                  <c:v>2.1028344199999999E-4</c:v>
                </c:pt>
                <c:pt idx="3">
                  <c:v>2.7619292600000001E-4</c:v>
                </c:pt>
                <c:pt idx="4">
                  <c:v>2.42017638E-4</c:v>
                </c:pt>
                <c:pt idx="5">
                  <c:v>2.3896627300000001E-4</c:v>
                </c:pt>
                <c:pt idx="6">
                  <c:v>2.5544364399999997E-4</c:v>
                </c:pt>
                <c:pt idx="7">
                  <c:v>1.773287E-4</c:v>
                </c:pt>
                <c:pt idx="8">
                  <c:v>1.9929852799999999E-4</c:v>
                </c:pt>
                <c:pt idx="9">
                  <c:v>2.5727446299999998E-4</c:v>
                </c:pt>
                <c:pt idx="10">
                  <c:v>3.0182439200000002E-4</c:v>
                </c:pt>
                <c:pt idx="11">
                  <c:v>1.88923887E-4</c:v>
                </c:pt>
                <c:pt idx="12">
                  <c:v>2.6764910399999998E-4</c:v>
                </c:pt>
                <c:pt idx="13">
                  <c:v>2.4751009499999999E-4</c:v>
                </c:pt>
                <c:pt idx="14">
                  <c:v>2.5056146000000001E-4</c:v>
                </c:pt>
                <c:pt idx="15">
                  <c:v>2.9206002399999998E-4</c:v>
                </c:pt>
                <c:pt idx="16">
                  <c:v>3.5003595900000002E-4</c:v>
                </c:pt>
                <c:pt idx="17">
                  <c:v>2.6947992299999998E-4</c:v>
                </c:pt>
                <c:pt idx="18">
                  <c:v>2.9999357300000001E-4</c:v>
                </c:pt>
                <c:pt idx="19">
                  <c:v>2.6764910399999998E-4</c:v>
                </c:pt>
                <c:pt idx="20">
                  <c:v>3.0670657599999999E-4</c:v>
                </c:pt>
                <c:pt idx="21">
                  <c:v>2.5056146000000001E-4</c:v>
                </c:pt>
                <c:pt idx="22">
                  <c:v>1.9624716300000001E-4</c:v>
                </c:pt>
                <c:pt idx="23">
                  <c:v>2.37135454E-4</c:v>
                </c:pt>
                <c:pt idx="24">
                  <c:v>3.3538940700000001E-4</c:v>
                </c:pt>
                <c:pt idx="25">
                  <c:v>3.1586067099999998E-4</c:v>
                </c:pt>
                <c:pt idx="26">
                  <c:v>3.1036821400000001E-4</c:v>
                </c:pt>
                <c:pt idx="27">
                  <c:v>8.5656254900000003E-4</c:v>
                </c:pt>
                <c:pt idx="28">
                  <c:v>2.9333215679999999E-3</c:v>
                </c:pt>
                <c:pt idx="29">
                  <c:v>6.6035033900000003E-3</c:v>
                </c:pt>
                <c:pt idx="30">
                  <c:v>1.0894943125999999E-2</c:v>
                </c:pt>
                <c:pt idx="31">
                  <c:v>1.1867108015000001E-2</c:v>
                </c:pt>
                <c:pt idx="32">
                  <c:v>8.3037239680000003E-3</c:v>
                </c:pt>
                <c:pt idx="33">
                  <c:v>3.9414925639999999E-3</c:v>
                </c:pt>
                <c:pt idx="34">
                  <c:v>7.3450794900000002E-4</c:v>
                </c:pt>
                <c:pt idx="35">
                  <c:v>-2.3699508019999998E-3</c:v>
                </c:pt>
                <c:pt idx="36">
                  <c:v>-4.1952773449999998E-3</c:v>
                </c:pt>
                <c:pt idx="37">
                  <c:v>-4.7451333179999999E-3</c:v>
                </c:pt>
                <c:pt idx="38">
                  <c:v>-4.8702392830000003E-3</c:v>
                </c:pt>
                <c:pt idx="39">
                  <c:v>-4.3936160700000001E-3</c:v>
                </c:pt>
                <c:pt idx="40">
                  <c:v>-3.2249432749999998E-3</c:v>
                </c:pt>
                <c:pt idx="41">
                  <c:v>-2.747709789E-3</c:v>
                </c:pt>
                <c:pt idx="42">
                  <c:v>-2.6262654619999999E-3</c:v>
                </c:pt>
                <c:pt idx="43">
                  <c:v>-1.8310797430000001E-3</c:v>
                </c:pt>
                <c:pt idx="44">
                  <c:v>-1.479562495E-3</c:v>
                </c:pt>
                <c:pt idx="45">
                  <c:v>-9.3031679500000001E-4</c:v>
                </c:pt>
                <c:pt idx="46">
                  <c:v>-8.8698741199999998E-4</c:v>
                </c:pt>
                <c:pt idx="47">
                  <c:v>-6.4104739300000001E-4</c:v>
                </c:pt>
                <c:pt idx="48">
                  <c:v>-8.8332577399999996E-4</c:v>
                </c:pt>
                <c:pt idx="49">
                  <c:v>-6.9047950599999996E-4</c:v>
                </c:pt>
                <c:pt idx="50">
                  <c:v>-6.75832954E-4</c:v>
                </c:pt>
                <c:pt idx="51">
                  <c:v>-5.7391736300000003E-4</c:v>
                </c:pt>
                <c:pt idx="52">
                  <c:v>-4.36605938E-4</c:v>
                </c:pt>
                <c:pt idx="53">
                  <c:v>-3.0783833500000002E-4</c:v>
                </c:pt>
                <c:pt idx="54">
                  <c:v>-1.5221871999999999E-4</c:v>
                </c:pt>
                <c:pt idx="55">
                  <c:v>-1.47946809E-4</c:v>
                </c:pt>
                <c:pt idx="56" formatCode="0.00E+00">
                  <c:v>-1.49072949999999E-5</c:v>
                </c:pt>
                <c:pt idx="57" formatCode="0.00E+00">
                  <c:v>4.0111680000001404E-6</c:v>
                </c:pt>
                <c:pt idx="58" formatCode="0.00E+00">
                  <c:v>4.9171369999999999E-5</c:v>
                </c:pt>
                <c:pt idx="59" formatCode="0.00E+00">
                  <c:v>1.9878266000000301E-5</c:v>
                </c:pt>
                <c:pt idx="60" formatCode="0.00E+00">
                  <c:v>2.29296310000002E-5</c:v>
                </c:pt>
                <c:pt idx="61" formatCode="0.00E+00">
                  <c:v>7.0530925000000306E-5</c:v>
                </c:pt>
                <c:pt idx="62" formatCode="0.00E+00">
                  <c:v>-4.6641490999999803E-5</c:v>
                </c:pt>
                <c:pt idx="63" formatCode="0.00E+00">
                  <c:v>6.9310379000000206E-5</c:v>
                </c:pt>
                <c:pt idx="64">
                  <c:v>1.08367851E-4</c:v>
                </c:pt>
                <c:pt idx="65" formatCode="0.00E+00">
                  <c:v>8.4567204000000302E-5</c:v>
                </c:pt>
                <c:pt idx="66" formatCode="0.00E+00">
                  <c:v>9.8603483000000297E-5</c:v>
                </c:pt>
                <c:pt idx="67">
                  <c:v>2.0540125799999999E-4</c:v>
                </c:pt>
                <c:pt idx="68">
                  <c:v>1.0409594E-4</c:v>
                </c:pt>
                <c:pt idx="69">
                  <c:v>1.3155822500000001E-4</c:v>
                </c:pt>
                <c:pt idx="70">
                  <c:v>1.8526224900000001E-4</c:v>
                </c:pt>
                <c:pt idx="71">
                  <c:v>1.6329242099999999E-4</c:v>
                </c:pt>
                <c:pt idx="72">
                  <c:v>1.5902051E-4</c:v>
                </c:pt>
                <c:pt idx="73">
                  <c:v>2.0479098499999999E-4</c:v>
                </c:pt>
                <c:pt idx="74">
                  <c:v>2.6337719300000001E-4</c:v>
                </c:pt>
                <c:pt idx="75">
                  <c:v>2.9206002399999998E-4</c:v>
                </c:pt>
                <c:pt idx="76">
                  <c:v>1.4254313900000001E-4</c:v>
                </c:pt>
                <c:pt idx="77">
                  <c:v>2.0173962E-4</c:v>
                </c:pt>
                <c:pt idx="78">
                  <c:v>2.4628954899999999E-4</c:v>
                </c:pt>
                <c:pt idx="79">
                  <c:v>2.3408408899999999E-4</c:v>
                </c:pt>
                <c:pt idx="80">
                  <c:v>2.0967316900000001E-4</c:v>
                </c:pt>
                <c:pt idx="81">
                  <c:v>2.42627911E-4</c:v>
                </c:pt>
                <c:pt idx="82">
                  <c:v>2.3225327000000001E-4</c:v>
                </c:pt>
                <c:pt idx="83">
                  <c:v>2.0845262300000001E-4</c:v>
                </c:pt>
                <c:pt idx="84">
                  <c:v>2.7436210700000001E-4</c:v>
                </c:pt>
                <c:pt idx="85">
                  <c:v>2.9144975099999997E-4</c:v>
                </c:pt>
                <c:pt idx="86">
                  <c:v>1.4315341200000001E-4</c:v>
                </c:pt>
                <c:pt idx="87">
                  <c:v>2.5361282500000002E-4</c:v>
                </c:pt>
                <c:pt idx="88">
                  <c:v>2.3896627300000001E-4</c:v>
                </c:pt>
                <c:pt idx="89">
                  <c:v>2.4689982199999999E-4</c:v>
                </c:pt>
                <c:pt idx="90">
                  <c:v>1.9380607099999999E-4</c:v>
                </c:pt>
                <c:pt idx="91">
                  <c:v>2.2737108600000001E-4</c:v>
                </c:pt>
                <c:pt idx="92">
                  <c:v>2.3896627300000001E-4</c:v>
                </c:pt>
                <c:pt idx="93">
                  <c:v>2.84736748E-4</c:v>
                </c:pt>
                <c:pt idx="94">
                  <c:v>1.52307507E-4</c:v>
                </c:pt>
                <c:pt idx="95">
                  <c:v>2.2309917499999999E-4</c:v>
                </c:pt>
                <c:pt idx="96">
                  <c:v>2.00519074E-4</c:v>
                </c:pt>
                <c:pt idx="97">
                  <c:v>2.5300255200000002E-4</c:v>
                </c:pt>
                <c:pt idx="98">
                  <c:v>1.3888150099999999E-4</c:v>
                </c:pt>
                <c:pt idx="99">
                  <c:v>2.48120368E-4</c:v>
                </c:pt>
                <c:pt idx="100">
                  <c:v>1.2545549500000001E-4</c:v>
                </c:pt>
                <c:pt idx="101">
                  <c:v>3.3722022600000002E-4</c:v>
                </c:pt>
                <c:pt idx="102" formatCode="0.00E+00">
                  <c:v>6.1376830000000305E-5</c:v>
                </c:pt>
                <c:pt idx="103">
                  <c:v>1.073819737E-3</c:v>
                </c:pt>
                <c:pt idx="104">
                  <c:v>4.8154035E-3</c:v>
                </c:pt>
                <c:pt idx="105">
                  <c:v>5.1260324570000003E-3</c:v>
                </c:pt>
                <c:pt idx="106">
                  <c:v>3.5063679150000001E-3</c:v>
                </c:pt>
                <c:pt idx="107">
                  <c:v>7.5769832300000002E-4</c:v>
                </c:pt>
                <c:pt idx="108">
                  <c:v>-1.5064145069999999E-3</c:v>
                </c:pt>
                <c:pt idx="109">
                  <c:v>-7.6005062799999995E-4</c:v>
                </c:pt>
                <c:pt idx="110">
                  <c:v>1.0958839699999999E-4</c:v>
                </c:pt>
                <c:pt idx="111">
                  <c:v>3.1525039799999997E-4</c:v>
                </c:pt>
                <c:pt idx="112" formatCode="0.00E+00">
                  <c:v>8.4567204000000302E-5</c:v>
                </c:pt>
                <c:pt idx="113">
                  <c:v>-1.89445373E-4</c:v>
                </c:pt>
                <c:pt idx="114">
                  <c:v>-3.8290191399999998E-4</c:v>
                </c:pt>
                <c:pt idx="115">
                  <c:v>-7.1855206399999998E-4</c:v>
                </c:pt>
                <c:pt idx="116">
                  <c:v>4.7025974000000002E-4</c:v>
                </c:pt>
                <c:pt idx="117">
                  <c:v>-7.60660901E-4</c:v>
                </c:pt>
                <c:pt idx="118">
                  <c:v>-5.0556678700000004E-4</c:v>
                </c:pt>
                <c:pt idx="119">
                  <c:v>-7.2648561299999996E-4</c:v>
                </c:pt>
                <c:pt idx="120">
                  <c:v>-7.49065714E-4</c:v>
                </c:pt>
                <c:pt idx="121">
                  <c:v>-6.1419538099999999E-4</c:v>
                </c:pt>
                <c:pt idx="122">
                  <c:v>-3.3652116599999999E-4</c:v>
                </c:pt>
                <c:pt idx="123">
                  <c:v>-3.3285952800000002E-4</c:v>
                </c:pt>
                <c:pt idx="124">
                  <c:v>-1.6320363399999999E-4</c:v>
                </c:pt>
                <c:pt idx="125">
                  <c:v>-1.34520803E-4</c:v>
                </c:pt>
                <c:pt idx="126" formatCode="0.00E+00">
                  <c:v>1.1944716999999999E-5</c:v>
                </c:pt>
                <c:pt idx="127">
                  <c:v>1.01044575E-4</c:v>
                </c:pt>
                <c:pt idx="128">
                  <c:v>1.7244651600000001E-4</c:v>
                </c:pt>
                <c:pt idx="129">
                  <c:v>-1.14381794E-4</c:v>
                </c:pt>
                <c:pt idx="130">
                  <c:v>1.8953416E-4</c:v>
                </c:pt>
                <c:pt idx="131">
                  <c:v>-1.3207971100000001E-4</c:v>
                </c:pt>
                <c:pt idx="132">
                  <c:v>3.9946807199999997E-4</c:v>
                </c:pt>
                <c:pt idx="133" formatCode="0.00E+00">
                  <c:v>1.6826900999999999E-5</c:v>
                </c:pt>
                <c:pt idx="134">
                  <c:v>3.9946807199999997E-4</c:v>
                </c:pt>
                <c:pt idx="135">
                  <c:v>-3.86563552E-4</c:v>
                </c:pt>
                <c:pt idx="136">
                  <c:v>2.9845844999999999E-3</c:v>
                </c:pt>
                <c:pt idx="137">
                  <c:v>2.7001972819999998E-3</c:v>
                </c:pt>
                <c:pt idx="138">
                  <c:v>1.3045029310000001E-3</c:v>
                </c:pt>
                <c:pt idx="139">
                  <c:v>1.53528053E-4</c:v>
                </c:pt>
                <c:pt idx="140">
                  <c:v>2.7619292600000001E-4</c:v>
                </c:pt>
                <c:pt idx="141">
                  <c:v>1.494297834E-3</c:v>
                </c:pt>
                <c:pt idx="142">
                  <c:v>1.591331241E-3</c:v>
                </c:pt>
                <c:pt idx="143">
                  <c:v>1.094569019E-3</c:v>
                </c:pt>
                <c:pt idx="144">
                  <c:v>1.2111311620000001E-3</c:v>
                </c:pt>
                <c:pt idx="145">
                  <c:v>5.4776441100000005E-4</c:v>
                </c:pt>
                <c:pt idx="146">
                  <c:v>1.2587324559999999E-3</c:v>
                </c:pt>
                <c:pt idx="147">
                  <c:v>-6.0504128600000001E-4</c:v>
                </c:pt>
                <c:pt idx="148">
                  <c:v>-5.1350033600000003E-4</c:v>
                </c:pt>
                <c:pt idx="149">
                  <c:v>-1.2177553780000001E-3</c:v>
                </c:pt>
                <c:pt idx="150">
                  <c:v>-1.3038038710000001E-3</c:v>
                </c:pt>
                <c:pt idx="151">
                  <c:v>-3.9144573600000002E-4</c:v>
                </c:pt>
                <c:pt idx="152">
                  <c:v>-1.033452932E-3</c:v>
                </c:pt>
                <c:pt idx="153">
                  <c:v>-2.26061753E-4</c:v>
                </c:pt>
                <c:pt idx="154">
                  <c:v>-8.4487857499999995E-4</c:v>
                </c:pt>
                <c:pt idx="155">
                  <c:v>-1.3391052999999999E-4</c:v>
                </c:pt>
                <c:pt idx="156">
                  <c:v>-2.4009803200000001E-4</c:v>
                </c:pt>
                <c:pt idx="157">
                  <c:v>-1.6137281500000001E-4</c:v>
                </c:pt>
                <c:pt idx="158">
                  <c:v>-2.54744584E-4</c:v>
                </c:pt>
                <c:pt idx="159" formatCode="0.00E+00">
                  <c:v>-2.8943573999999899E-5</c:v>
                </c:pt>
                <c:pt idx="160">
                  <c:v>-2.2240011500000001E-4</c:v>
                </c:pt>
                <c:pt idx="161">
                  <c:v>4.8734738399999999E-4</c:v>
                </c:pt>
                <c:pt idx="162">
                  <c:v>7.6746269099999995E-4</c:v>
                </c:pt>
                <c:pt idx="163">
                  <c:v>8.7792210399999997E-4</c:v>
                </c:pt>
                <c:pt idx="164">
                  <c:v>7.2596412699999998E-4</c:v>
                </c:pt>
                <c:pt idx="165">
                  <c:v>1.58410237E-4</c:v>
                </c:pt>
                <c:pt idx="166" formatCode="0.00E+00">
                  <c:v>8.5177477000000304E-5</c:v>
                </c:pt>
                <c:pt idx="167">
                  <c:v>-1.7540909399999999E-4</c:v>
                </c:pt>
                <c:pt idx="168">
                  <c:v>1.0043430199999999E-4</c:v>
                </c:pt>
                <c:pt idx="169" formatCode="0.00E+00">
                  <c:v>-3.01641199999996E-5</c:v>
                </c:pt>
                <c:pt idx="170">
                  <c:v>-1.7418854800000001E-4</c:v>
                </c:pt>
                <c:pt idx="171">
                  <c:v>-1.11940702E-4</c:v>
                </c:pt>
                <c:pt idx="172">
                  <c:v>2.5849500899999999E-4</c:v>
                </c:pt>
                <c:pt idx="173" formatCode="0.00E+00">
                  <c:v>-4.9082582999999597E-5</c:v>
                </c:pt>
                <c:pt idx="174">
                  <c:v>3.7993933599999999E-4</c:v>
                </c:pt>
                <c:pt idx="175" formatCode="0.00E+00">
                  <c:v>-4.1149033999999697E-5</c:v>
                </c:pt>
                <c:pt idx="176">
                  <c:v>4.7148028599999997E-4</c:v>
                </c:pt>
                <c:pt idx="177">
                  <c:v>2.36525181E-4</c:v>
                </c:pt>
                <c:pt idx="178">
                  <c:v>1.64512967E-4</c:v>
                </c:pt>
                <c:pt idx="179" formatCode="0.00E+00">
                  <c:v>-4.5326539999997898E-6</c:v>
                </c:pt>
                <c:pt idx="180">
                  <c:v>1.399095246E-3</c:v>
                </c:pt>
                <c:pt idx="181">
                  <c:v>9.2674394399999997E-4</c:v>
                </c:pt>
                <c:pt idx="182">
                  <c:v>1.024387624E-3</c:v>
                </c:pt>
                <c:pt idx="183">
                  <c:v>-2.5230349199999999E-4</c:v>
                </c:pt>
                <c:pt idx="184">
                  <c:v>2.9450111599999999E-4</c:v>
                </c:pt>
                <c:pt idx="185">
                  <c:v>-1.9188646500000001E-4</c:v>
                </c:pt>
                <c:pt idx="186" formatCode="0.00E+00">
                  <c:v>-2.7723027999999799E-5</c:v>
                </c:pt>
                <c:pt idx="187" formatCode="0.00E+00">
                  <c:v>6.8700106000000094E-5</c:v>
                </c:pt>
                <c:pt idx="188" formatCode="0.00E+00">
                  <c:v>-2.7723027999999799E-5</c:v>
                </c:pt>
                <c:pt idx="189">
                  <c:v>2.4445872999999998E-4</c:v>
                </c:pt>
                <c:pt idx="190">
                  <c:v>-1.0400715299999999E-4</c:v>
                </c:pt>
                <c:pt idx="191">
                  <c:v>1.2118358400000001E-4</c:v>
                </c:pt>
                <c:pt idx="192" formatCode="0.00E+00">
                  <c:v>-6.8001045999999601E-5</c:v>
                </c:pt>
                <c:pt idx="193">
                  <c:v>1.1019867E-4</c:v>
                </c:pt>
                <c:pt idx="194" formatCode="0.00E+00">
                  <c:v>-2.9553847E-5</c:v>
                </c:pt>
                <c:pt idx="195" formatCode="0.00E+00">
                  <c:v>-1.49072949999999E-5</c:v>
                </c:pt>
                <c:pt idx="196" formatCode="0.00E+00">
                  <c:v>-7.58401899999964E-6</c:v>
                </c:pt>
                <c:pt idx="197" formatCode="0.00E+00">
                  <c:v>5.95460110000001E-5</c:v>
                </c:pt>
                <c:pt idx="198" formatCode="0.00E+00">
                  <c:v>7.7243927999999997E-5</c:v>
                </c:pt>
                <c:pt idx="199">
                  <c:v>2.18216991E-4</c:v>
                </c:pt>
                <c:pt idx="200">
                  <c:v>2.6886964999999998E-4</c:v>
                </c:pt>
                <c:pt idx="201">
                  <c:v>2.8778811300000001E-4</c:v>
                </c:pt>
                <c:pt idx="202">
                  <c:v>3.1891203599999999E-4</c:v>
                </c:pt>
                <c:pt idx="203">
                  <c:v>1.4925614200000001E-4</c:v>
                </c:pt>
                <c:pt idx="204">
                  <c:v>6.0940198399999995E-4</c:v>
                </c:pt>
                <c:pt idx="205">
                  <c:v>1.1586476839999999E-3</c:v>
                </c:pt>
                <c:pt idx="206">
                  <c:v>1.106164206E-3</c:v>
                </c:pt>
                <c:pt idx="207">
                  <c:v>8.7792210399999997E-4</c:v>
                </c:pt>
                <c:pt idx="208">
                  <c:v>4.9222956799999996E-4</c:v>
                </c:pt>
                <c:pt idx="209">
                  <c:v>3.5125650499999997E-4</c:v>
                </c:pt>
                <c:pt idx="210" formatCode="0.00E+00">
                  <c:v>4.7950824000000299E-5</c:v>
                </c:pt>
                <c:pt idx="211" formatCode="0.00E+00">
                  <c:v>5.8325465E-5</c:v>
                </c:pt>
                <c:pt idx="212">
                  <c:v>-2.0531247099999999E-4</c:v>
                </c:pt>
                <c:pt idx="213">
                  <c:v>-1.8090155099999999E-4</c:v>
                </c:pt>
                <c:pt idx="214">
                  <c:v>-2.79765777E-4</c:v>
                </c:pt>
                <c:pt idx="215">
                  <c:v>-1.02786607E-4</c:v>
                </c:pt>
                <c:pt idx="216">
                  <c:v>-1.6259336099999999E-4</c:v>
                </c:pt>
                <c:pt idx="217" formatCode="0.00E+00">
                  <c:v>-8.8750327999999803E-5</c:v>
                </c:pt>
                <c:pt idx="218">
                  <c:v>-1.2658725399999999E-4</c:v>
                </c:pt>
                <c:pt idx="219" formatCode="0.00E+00">
                  <c:v>-8.1942919999997004E-6</c:v>
                </c:pt>
                <c:pt idx="220" formatCode="0.00E+00">
                  <c:v>-4.2369579999999899E-5</c:v>
                </c:pt>
                <c:pt idx="221" formatCode="0.00E+00">
                  <c:v>3.87967290000004E-5</c:v>
                </c:pt>
                <c:pt idx="222" formatCode="0.00E+00">
                  <c:v>6.8089833000000105E-5</c:v>
                </c:pt>
                <c:pt idx="223" formatCode="0.00E+00">
                  <c:v>8.4567204000000302E-5</c:v>
                </c:pt>
                <c:pt idx="224">
                  <c:v>1.1569112699999999E-4</c:v>
                </c:pt>
                <c:pt idx="225">
                  <c:v>1.20573311E-4</c:v>
                </c:pt>
                <c:pt idx="226">
                  <c:v>1.3644040900000001E-4</c:v>
                </c:pt>
                <c:pt idx="227">
                  <c:v>2.3347381600000001E-4</c:v>
                </c:pt>
                <c:pt idx="228">
                  <c:v>2.0479098499999999E-4</c:v>
                </c:pt>
                <c:pt idx="229">
                  <c:v>1.71836243E-4</c:v>
                </c:pt>
                <c:pt idx="230">
                  <c:v>2.07232077E-4</c:v>
                </c:pt>
                <c:pt idx="231">
                  <c:v>1.4864586900000001E-4</c:v>
                </c:pt>
                <c:pt idx="232">
                  <c:v>2.5422309800000002E-4</c:v>
                </c:pt>
                <c:pt idx="233">
                  <c:v>2.6276692000000001E-4</c:v>
                </c:pt>
                <c:pt idx="234">
                  <c:v>2.0234989300000001E-4</c:v>
                </c:pt>
                <c:pt idx="235">
                  <c:v>2.5666418999999998E-4</c:v>
                </c:pt>
                <c:pt idx="236">
                  <c:v>2.73141561E-4</c:v>
                </c:pt>
                <c:pt idx="237">
                  <c:v>6.0818143800000005E-4</c:v>
                </c:pt>
                <c:pt idx="238">
                  <c:v>4.9528093300000003E-4</c:v>
                </c:pt>
                <c:pt idx="239">
                  <c:v>5.1847130700000002E-4</c:v>
                </c:pt>
                <c:pt idx="240">
                  <c:v>6.6737791900000005E-4</c:v>
                </c:pt>
                <c:pt idx="241">
                  <c:v>3.8299070100000001E-4</c:v>
                </c:pt>
                <c:pt idx="242">
                  <c:v>5.4715413799999999E-4</c:v>
                </c:pt>
                <c:pt idx="243">
                  <c:v>3.8421124700000001E-4</c:v>
                </c:pt>
                <c:pt idx="244">
                  <c:v>3.8909343099999998E-4</c:v>
                </c:pt>
                <c:pt idx="245">
                  <c:v>-1.0095578799999999E-4</c:v>
                </c:pt>
                <c:pt idx="246">
                  <c:v>3.45153775E-4</c:v>
                </c:pt>
                <c:pt idx="247" formatCode="0.00E+00">
                  <c:v>8.3956931000000204E-5</c:v>
                </c:pt>
                <c:pt idx="248">
                  <c:v>1.5657941799999999E-4</c:v>
                </c:pt>
                <c:pt idx="249">
                  <c:v>3.57969508E-4</c:v>
                </c:pt>
                <c:pt idx="250">
                  <c:v>6.1306362199999996E-4</c:v>
                </c:pt>
                <c:pt idx="251">
                  <c:v>1.452188997E-3</c:v>
                </c:pt>
                <c:pt idx="252">
                  <c:v>1.4015363380000001E-3</c:v>
                </c:pt>
                <c:pt idx="253">
                  <c:v>1.579736054E-3</c:v>
                </c:pt>
                <c:pt idx="254">
                  <c:v>8.2665917199999995E-4</c:v>
                </c:pt>
                <c:pt idx="255">
                  <c:v>3.7444687900000002E-4</c:v>
                </c:pt>
                <c:pt idx="256">
                  <c:v>-1.4855708200000001E-4</c:v>
                </c:pt>
                <c:pt idx="257">
                  <c:v>-1.3207971100000001E-4</c:v>
                </c:pt>
                <c:pt idx="258">
                  <c:v>-3.9266628200000002E-4</c:v>
                </c:pt>
                <c:pt idx="259">
                  <c:v>-4.5186276300000002E-4</c:v>
                </c:pt>
                <c:pt idx="260">
                  <c:v>-3.7313754599999999E-4</c:v>
                </c:pt>
                <c:pt idx="261">
                  <c:v>-1.29638619E-4</c:v>
                </c:pt>
                <c:pt idx="262">
                  <c:v>-1.01566061E-4</c:v>
                </c:pt>
                <c:pt idx="263" formatCode="0.00E+00">
                  <c:v>-6.3634729999999598E-6</c:v>
                </c:pt>
                <c:pt idx="264">
                  <c:v>1.05926759E-4</c:v>
                </c:pt>
                <c:pt idx="265" formatCode="0.00E+00">
                  <c:v>4.8561097000000403E-5</c:v>
                </c:pt>
                <c:pt idx="266" formatCode="0.00E+00">
                  <c:v>-3.5046303999999601E-5</c:v>
                </c:pt>
                <c:pt idx="267" formatCode="0.00E+00">
                  <c:v>7.9685020000000307E-5</c:v>
                </c:pt>
                <c:pt idx="268">
                  <c:v>1.10808943E-4</c:v>
                </c:pt>
                <c:pt idx="269">
                  <c:v>1.21793857E-4</c:v>
                </c:pt>
                <c:pt idx="270">
                  <c:v>1.3766095500000001E-4</c:v>
                </c:pt>
                <c:pt idx="271" formatCode="0.00E+00">
                  <c:v>9.7382937000000197E-5</c:v>
                </c:pt>
                <c:pt idx="272" formatCode="0.00E+00">
                  <c:v>4.8561097000000403E-5</c:v>
                </c:pt>
                <c:pt idx="273">
                  <c:v>1.1874249199999999E-4</c:v>
                </c:pt>
                <c:pt idx="274" formatCode="0.00E+00">
                  <c:v>4.9171369999999999E-5</c:v>
                </c:pt>
                <c:pt idx="275" formatCode="0.00E+00">
                  <c:v>9.1890480000000104E-5</c:v>
                </c:pt>
                <c:pt idx="276" formatCode="0.00E+00">
                  <c:v>5.1002189000000197E-5</c:v>
                </c:pt>
                <c:pt idx="277">
                  <c:v>1.6756433200000001E-4</c:v>
                </c:pt>
                <c:pt idx="278">
                  <c:v>1.3094795200000001E-4</c:v>
                </c:pt>
                <c:pt idx="279">
                  <c:v>1.0653703199999999E-4</c:v>
                </c:pt>
                <c:pt idx="280">
                  <c:v>2.2309917499999999E-4</c:v>
                </c:pt>
                <c:pt idx="281">
                  <c:v>2.4628954899999999E-4</c:v>
                </c:pt>
                <c:pt idx="282">
                  <c:v>5.1297885000000005E-4</c:v>
                </c:pt>
                <c:pt idx="283">
                  <c:v>9.0111247799999996E-4</c:v>
                </c:pt>
                <c:pt idx="284">
                  <c:v>8.9745084000000005E-4</c:v>
                </c:pt>
                <c:pt idx="285">
                  <c:v>7.7417569400000004E-4</c:v>
                </c:pt>
                <c:pt idx="286">
                  <c:v>5.5874932499999999E-4</c:v>
                </c:pt>
                <c:pt idx="287">
                  <c:v>1.02265121E-4</c:v>
                </c:pt>
                <c:pt idx="288">
                  <c:v>1.9319579799999999E-4</c:v>
                </c:pt>
                <c:pt idx="289">
                  <c:v>-1.1316124799999999E-4</c:v>
                </c:pt>
                <c:pt idx="290" formatCode="0.00E+00">
                  <c:v>4.6120005000000203E-5</c:v>
                </c:pt>
                <c:pt idx="291" formatCode="0.00E+00">
                  <c:v>4.7950824000000299E-5</c:v>
                </c:pt>
                <c:pt idx="292">
                  <c:v>1.10808943E-4</c:v>
                </c:pt>
                <c:pt idx="293">
                  <c:v>1.04706213E-4</c:v>
                </c:pt>
                <c:pt idx="294" formatCode="0.00E+00">
                  <c:v>-3.7487395999999802E-5</c:v>
                </c:pt>
                <c:pt idx="295" formatCode="0.00E+00">
                  <c:v>7.9074747000000195E-5</c:v>
                </c:pt>
                <c:pt idx="296" formatCode="0.00E+00">
                  <c:v>-4.8472310000000001E-5</c:v>
                </c:pt>
                <c:pt idx="297" formatCode="0.00E+00">
                  <c:v>2.53707230000004E-5</c:v>
                </c:pt>
                <c:pt idx="298">
                  <c:v>1.1019867E-4</c:v>
                </c:pt>
                <c:pt idx="299">
                  <c:v>1.41322593E-4</c:v>
                </c:pt>
                <c:pt idx="300" formatCode="0.00E+00">
                  <c:v>9.4941845000000403E-5</c:v>
                </c:pt>
                <c:pt idx="301" formatCode="0.00E+00">
                  <c:v>9.5552117999999999E-5</c:v>
                </c:pt>
                <c:pt idx="302">
                  <c:v>1.6329242099999999E-4</c:v>
                </c:pt>
                <c:pt idx="303">
                  <c:v>1.23624676E-4</c:v>
                </c:pt>
                <c:pt idx="304">
                  <c:v>1.70005424E-4</c:v>
                </c:pt>
                <c:pt idx="305">
                  <c:v>2.01129347E-4</c:v>
                </c:pt>
                <c:pt idx="306">
                  <c:v>1.0348566699999999E-4</c:v>
                </c:pt>
                <c:pt idx="307">
                  <c:v>2.2859163199999999E-4</c:v>
                </c:pt>
                <c:pt idx="308">
                  <c:v>2.1638617199999999E-4</c:v>
                </c:pt>
                <c:pt idx="309">
                  <c:v>2.18827264E-4</c:v>
                </c:pt>
                <c:pt idx="310">
                  <c:v>2.5361282500000002E-4</c:v>
                </c:pt>
                <c:pt idx="311">
                  <c:v>1.6268214799999999E-4</c:v>
                </c:pt>
                <c:pt idx="312">
                  <c:v>2.0906289600000001E-4</c:v>
                </c:pt>
                <c:pt idx="313">
                  <c:v>4.28761176E-4</c:v>
                </c:pt>
                <c:pt idx="314">
                  <c:v>4.16555716E-4</c:v>
                </c:pt>
                <c:pt idx="315">
                  <c:v>2.9450111599999999E-4</c:v>
                </c:pt>
                <c:pt idx="316">
                  <c:v>2.4628954899999999E-4</c:v>
                </c:pt>
                <c:pt idx="317">
                  <c:v>1.47425323E-4</c:v>
                </c:pt>
                <c:pt idx="318" formatCode="0.00E+00">
                  <c:v>5.3443281000000398E-5</c:v>
                </c:pt>
                <c:pt idx="319">
                  <c:v>1.2545549500000001E-4</c:v>
                </c:pt>
                <c:pt idx="320">
                  <c:v>2.1028344199999999E-4</c:v>
                </c:pt>
                <c:pt idx="321">
                  <c:v>3.1769148999999998E-4</c:v>
                </c:pt>
                <c:pt idx="322">
                  <c:v>2.3530463499999999E-4</c:v>
                </c:pt>
                <c:pt idx="323">
                  <c:v>1.6146160200000001E-4</c:v>
                </c:pt>
                <c:pt idx="324">
                  <c:v>2.24929994E-4</c:v>
                </c:pt>
                <c:pt idx="325">
                  <c:v>2.3469436199999999E-4</c:v>
                </c:pt>
                <c:pt idx="326">
                  <c:v>2.9999357300000001E-4</c:v>
                </c:pt>
                <c:pt idx="327">
                  <c:v>2.18827264E-4</c:v>
                </c:pt>
                <c:pt idx="328">
                  <c:v>1.95026617E-4</c:v>
                </c:pt>
                <c:pt idx="329">
                  <c:v>2.5727446299999998E-4</c:v>
                </c:pt>
                <c:pt idx="330">
                  <c:v>2.5727446299999998E-4</c:v>
                </c:pt>
                <c:pt idx="331">
                  <c:v>2.3347381600000001E-4</c:v>
                </c:pt>
                <c:pt idx="332">
                  <c:v>2.0845262300000001E-4</c:v>
                </c:pt>
                <c:pt idx="333">
                  <c:v>2.60936101E-4</c:v>
                </c:pt>
                <c:pt idx="334">
                  <c:v>2.9511138899999999E-4</c:v>
                </c:pt>
                <c:pt idx="335">
                  <c:v>2.4079709199999999E-4</c:v>
                </c:pt>
                <c:pt idx="336">
                  <c:v>3.32948315E-4</c:v>
                </c:pt>
                <c:pt idx="337">
                  <c:v>3.7688797099999998E-4</c:v>
                </c:pt>
                <c:pt idx="338">
                  <c:v>4.7209055899999998E-4</c:v>
                </c:pt>
                <c:pt idx="339">
                  <c:v>4.04350256E-4</c:v>
                </c:pt>
                <c:pt idx="340">
                  <c:v>4.7331110499999998E-4</c:v>
                </c:pt>
                <c:pt idx="341">
                  <c:v>2.6642855800000002E-4</c:v>
                </c:pt>
                <c:pt idx="342">
                  <c:v>7.8516060799999998E-4</c:v>
                </c:pt>
                <c:pt idx="343">
                  <c:v>1.568140867E-3</c:v>
                </c:pt>
                <c:pt idx="344">
                  <c:v>1.2721584619999999E-3</c:v>
                </c:pt>
                <c:pt idx="345">
                  <c:v>1.2300496250000001E-3</c:v>
                </c:pt>
                <c:pt idx="346">
                  <c:v>3.6529278399999998E-4</c:v>
                </c:pt>
                <c:pt idx="347">
                  <c:v>1.6512324E-4</c:v>
                </c:pt>
                <c:pt idx="348">
                  <c:v>-1.7418854800000001E-4</c:v>
                </c:pt>
                <c:pt idx="349" formatCode="0.00E+00">
                  <c:v>-6.0677769999999798E-5</c:v>
                </c:pt>
                <c:pt idx="350">
                  <c:v>-2.2789257200000001E-4</c:v>
                </c:pt>
                <c:pt idx="351">
                  <c:v>-1.5465981200000001E-4</c:v>
                </c:pt>
                <c:pt idx="352">
                  <c:v>-2.3277475600000001E-4</c:v>
                </c:pt>
                <c:pt idx="353">
                  <c:v>-1.3818244100000001E-4</c:v>
                </c:pt>
                <c:pt idx="354" formatCode="0.00E+00">
                  <c:v>-9.6073603999999701E-5</c:v>
                </c:pt>
                <c:pt idx="355" formatCode="0.00E+00">
                  <c:v>8.0295293000000296E-5</c:v>
                </c:pt>
                <c:pt idx="356" formatCode="0.00E+00">
                  <c:v>6.5648741000000297E-5</c:v>
                </c:pt>
                <c:pt idx="357" formatCode="0.00E+00">
                  <c:v>6.3817922000000099E-5</c:v>
                </c:pt>
                <c:pt idx="358" formatCode="0.00E+00">
                  <c:v>6.0766557000000201E-5</c:v>
                </c:pt>
                <c:pt idx="359" formatCode="0.00E+00">
                  <c:v>8.2126112000000101E-5</c:v>
                </c:pt>
                <c:pt idx="360" formatCode="0.00E+00">
                  <c:v>3.2693999000000203E-5</c:v>
                </c:pt>
                <c:pt idx="361">
                  <c:v>1.59630783E-4</c:v>
                </c:pt>
                <c:pt idx="362" formatCode="0.00E+00">
                  <c:v>9.4331572000000305E-5</c:v>
                </c:pt>
                <c:pt idx="363">
                  <c:v>1.14470581E-4</c:v>
                </c:pt>
                <c:pt idx="364">
                  <c:v>1.33999317E-4</c:v>
                </c:pt>
                <c:pt idx="365">
                  <c:v>3.5430786999999999E-4</c:v>
                </c:pt>
                <c:pt idx="366">
                  <c:v>4.3547417899999997E-4</c:v>
                </c:pt>
                <c:pt idx="367">
                  <c:v>4.8124465400000002E-4</c:v>
                </c:pt>
                <c:pt idx="368">
                  <c:v>6.4968000200000002E-4</c:v>
                </c:pt>
                <c:pt idx="369">
                  <c:v>5.7949860699999997E-4</c:v>
                </c:pt>
                <c:pt idx="370">
                  <c:v>5.72785604E-4</c:v>
                </c:pt>
                <c:pt idx="371">
                  <c:v>5.4227195399999997E-4</c:v>
                </c:pt>
                <c:pt idx="372">
                  <c:v>3.0121411900000002E-4</c:v>
                </c:pt>
                <c:pt idx="373">
                  <c:v>3.2684558500000003E-4</c:v>
                </c:pt>
                <c:pt idx="374" formatCode="0.00E+00">
                  <c:v>7.5413109000000301E-5</c:v>
                </c:pt>
                <c:pt idx="375" formatCode="0.00E+00">
                  <c:v>5.1612462000000302E-5</c:v>
                </c:pt>
                <c:pt idx="376">
                  <c:v>2.0540125799999999E-4</c:v>
                </c:pt>
                <c:pt idx="377">
                  <c:v>-1.05227699E-4</c:v>
                </c:pt>
                <c:pt idx="378">
                  <c:v>1.71836243E-4</c:v>
                </c:pt>
                <c:pt idx="379">
                  <c:v>1.4315341200000001E-4</c:v>
                </c:pt>
                <c:pt idx="380" formatCode="0.00E+00">
                  <c:v>3.7576183000000198E-5</c:v>
                </c:pt>
                <c:pt idx="381">
                  <c:v>1.23624676E-4</c:v>
                </c:pt>
                <c:pt idx="382" formatCode="0.00E+00">
                  <c:v>8.6398022999999998E-5</c:v>
                </c:pt>
                <c:pt idx="383">
                  <c:v>2.13334807E-4</c:v>
                </c:pt>
                <c:pt idx="384" formatCode="0.00E+00">
                  <c:v>7.8464474000000206E-5</c:v>
                </c:pt>
                <c:pt idx="385" formatCode="0.00E+00">
                  <c:v>6.1376830000000305E-5</c:v>
                </c:pt>
                <c:pt idx="386">
                  <c:v>1.88313614E-4</c:v>
                </c:pt>
                <c:pt idx="387">
                  <c:v>3.3599968000000001E-4</c:v>
                </c:pt>
                <c:pt idx="388">
                  <c:v>7.16810032E-4</c:v>
                </c:pt>
                <c:pt idx="389">
                  <c:v>5.6546232799999996E-4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9-4C64-9666-FF33E13A75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9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EjemploTOF!$I$24</c:f>
              <c:numCache>
                <c:formatCode>General</c:formatCode>
                <c:ptCount val="1"/>
                <c:pt idx="0">
                  <c:v>21.10926942</c:v>
                </c:pt>
              </c:numCache>
            </c:numRef>
          </c:xVal>
          <c:yVal>
            <c:numRef>
              <c:f>EjemploTOF!$J$24</c:f>
              <c:numCache>
                <c:formatCode>General</c:formatCode>
                <c:ptCount val="1"/>
                <c:pt idx="0">
                  <c:v>1.2E-2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59-4C64-9666-FF33E13A75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8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EjemploTOF!$I$25</c:f>
              <c:numCache>
                <c:formatCode>General</c:formatCode>
                <c:ptCount val="1"/>
                <c:pt idx="0">
                  <c:v>21.110695230000001</c:v>
                </c:pt>
              </c:numCache>
            </c:numRef>
          </c:xVal>
          <c:yVal>
            <c:numRef>
              <c:f>EjemploTOF!$J$25</c:f>
              <c:numCache>
                <c:formatCode>General</c:formatCode>
                <c:ptCount val="1"/>
                <c:pt idx="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59-4C64-9666-FF33E13A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33327"/>
        <c:axId val="1673731887"/>
      </c:scatterChart>
      <c:valAx>
        <c:axId val="167373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1887"/>
        <c:crosses val="autoZero"/>
        <c:crossBetween val="midCat"/>
      </c:valAx>
      <c:valAx>
        <c:axId val="167373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1.xml"/><Relationship Id="rId7" Type="http://schemas.openxmlformats.org/officeDocument/2006/relationships/chart" Target="../charts/chart14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2.png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404211</xdr:colOff>
      <xdr:row>1</xdr:row>
      <xdr:rowOff>3986</xdr:rowOff>
    </xdr:from>
    <xdr:to>
      <xdr:col>26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399881</xdr:colOff>
      <xdr:row>8</xdr:row>
      <xdr:rowOff>597115</xdr:rowOff>
    </xdr:from>
    <xdr:to>
      <xdr:col>26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397562</xdr:colOff>
      <xdr:row>14</xdr:row>
      <xdr:rowOff>633224</xdr:rowOff>
    </xdr:from>
    <xdr:to>
      <xdr:col>26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496288</xdr:colOff>
      <xdr:row>2</xdr:row>
      <xdr:rowOff>65754</xdr:rowOff>
    </xdr:from>
    <xdr:to>
      <xdr:col>57</xdr:col>
      <xdr:colOff>330779</xdr:colOff>
      <xdr:row>10</xdr:row>
      <xdr:rowOff>233699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2C476-8B11-409F-9708-11BDE033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173182</xdr:colOff>
      <xdr:row>20</xdr:row>
      <xdr:rowOff>84636</xdr:rowOff>
    </xdr:from>
    <xdr:to>
      <xdr:col>41</xdr:col>
      <xdr:colOff>519545</xdr:colOff>
      <xdr:row>33</xdr:row>
      <xdr:rowOff>25041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10E9C4-421E-DFD9-5514-D48CC3A68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6933" y="5877569"/>
          <a:ext cx="3013363" cy="2304336"/>
        </a:xfrm>
        <a:prstGeom prst="rect">
          <a:avLst/>
        </a:prstGeom>
      </xdr:spPr>
    </xdr:pic>
    <xdr:clientData/>
  </xdr:twoCellAnchor>
  <xdr:twoCellAnchor>
    <xdr:from>
      <xdr:col>43</xdr:col>
      <xdr:colOff>244929</xdr:colOff>
      <xdr:row>1</xdr:row>
      <xdr:rowOff>68036</xdr:rowOff>
    </xdr:from>
    <xdr:to>
      <xdr:col>50</xdr:col>
      <xdr:colOff>40555</xdr:colOff>
      <xdr:row>8</xdr:row>
      <xdr:rowOff>517233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26F69-FD73-42DC-ACD7-B8A2F5F2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224518</xdr:colOff>
      <xdr:row>8</xdr:row>
      <xdr:rowOff>632733</xdr:rowOff>
    </xdr:from>
    <xdr:to>
      <xdr:col>50</xdr:col>
      <xdr:colOff>20143</xdr:colOff>
      <xdr:row>14</xdr:row>
      <xdr:rowOff>524036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9DB00-503D-4729-8751-87A0C35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258535</xdr:colOff>
      <xdr:row>14</xdr:row>
      <xdr:rowOff>653142</xdr:rowOff>
    </xdr:from>
    <xdr:to>
      <xdr:col>50</xdr:col>
      <xdr:colOff>54160</xdr:colOff>
      <xdr:row>23</xdr:row>
      <xdr:rowOff>54589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77FFA-9A72-420C-8A2E-1C463721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517071</xdr:colOff>
      <xdr:row>11</xdr:row>
      <xdr:rowOff>156482</xdr:rowOff>
    </xdr:from>
    <xdr:to>
      <xdr:col>57</xdr:col>
      <xdr:colOff>351562</xdr:colOff>
      <xdr:row>20</xdr:row>
      <xdr:rowOff>18267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98C248-899C-4E83-99CC-389FF5C30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547087</xdr:colOff>
      <xdr:row>2</xdr:row>
      <xdr:rowOff>3069</xdr:rowOff>
    </xdr:from>
    <xdr:to>
      <xdr:col>26</xdr:col>
      <xdr:colOff>342712</xdr:colOff>
      <xdr:row>9</xdr:row>
      <xdr:rowOff>361744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547087</xdr:colOff>
      <xdr:row>9</xdr:row>
      <xdr:rowOff>501861</xdr:rowOff>
    </xdr:from>
    <xdr:to>
      <xdr:col>26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560850</xdr:colOff>
      <xdr:row>14</xdr:row>
      <xdr:rowOff>578796</xdr:rowOff>
    </xdr:from>
    <xdr:to>
      <xdr:col>26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287467</xdr:colOff>
      <xdr:row>1</xdr:row>
      <xdr:rowOff>163379</xdr:rowOff>
    </xdr:from>
    <xdr:to>
      <xdr:col>58</xdr:col>
      <xdr:colOff>86354</xdr:colOff>
      <xdr:row>9</xdr:row>
      <xdr:rowOff>980116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00A42-9F97-F904-23CB-9FF97B4D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233858</xdr:colOff>
      <xdr:row>10</xdr:row>
      <xdr:rowOff>132110</xdr:rowOff>
    </xdr:from>
    <xdr:to>
      <xdr:col>58</xdr:col>
      <xdr:colOff>32745</xdr:colOff>
      <xdr:row>17</xdr:row>
      <xdr:rowOff>203602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3737F-C591-4D05-A556-95C7EC222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607583</xdr:colOff>
      <xdr:row>21</xdr:row>
      <xdr:rowOff>147118</xdr:rowOff>
    </xdr:from>
    <xdr:to>
      <xdr:col>42</xdr:col>
      <xdr:colOff>349632</xdr:colOff>
      <xdr:row>35</xdr:row>
      <xdr:rowOff>109820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3AA31-9AD9-77D3-3017-909BF806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49805" y="6647049"/>
          <a:ext cx="3604966" cy="2555619"/>
        </a:xfrm>
        <a:prstGeom prst="rect">
          <a:avLst/>
        </a:prstGeom>
      </xdr:spPr>
    </xdr:pic>
    <xdr:clientData/>
  </xdr:twoCellAnchor>
  <xdr:twoCellAnchor>
    <xdr:from>
      <xdr:col>43</xdr:col>
      <xdr:colOff>469143</xdr:colOff>
      <xdr:row>2</xdr:row>
      <xdr:rowOff>120841</xdr:rowOff>
    </xdr:from>
    <xdr:to>
      <xdr:col>50</xdr:col>
      <xdr:colOff>264767</xdr:colOff>
      <xdr:row>9</xdr:row>
      <xdr:rowOff>475599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CB6B3-0467-4BD8-AC4B-FFF8AB9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454926</xdr:colOff>
      <xdr:row>9</xdr:row>
      <xdr:rowOff>632630</xdr:rowOff>
    </xdr:from>
    <xdr:to>
      <xdr:col>50</xdr:col>
      <xdr:colOff>250550</xdr:colOff>
      <xdr:row>14</xdr:row>
      <xdr:rowOff>537540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B378A8-B88B-4302-8864-CEA5049B5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440709</xdr:colOff>
      <xdr:row>14</xdr:row>
      <xdr:rowOff>682388</xdr:rowOff>
    </xdr:from>
    <xdr:to>
      <xdr:col>50</xdr:col>
      <xdr:colOff>236333</xdr:colOff>
      <xdr:row>22</xdr:row>
      <xdr:rowOff>42201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D1B06-2808-415E-809A-798A45C1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6</xdr:row>
      <xdr:rowOff>42863</xdr:rowOff>
    </xdr:from>
    <xdr:to>
      <xdr:col>13</xdr:col>
      <xdr:colOff>440530</xdr:colOff>
      <xdr:row>22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527C7-8614-D869-F4C8-662FF49D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165229</xdr:colOff>
      <xdr:row>12</xdr:row>
      <xdr:rowOff>29158</xdr:rowOff>
    </xdr:from>
    <xdr:to>
      <xdr:col>8</xdr:col>
      <xdr:colOff>281863</xdr:colOff>
      <xdr:row>12</xdr:row>
      <xdr:rowOff>48597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717C71-A34C-56A5-AF65-CE76C3E4BDA4}"/>
            </a:ext>
          </a:extLst>
        </xdr:cNvPr>
        <xdr:cNvCxnSpPr/>
      </xdr:nvCxnSpPr>
      <xdr:spPr>
        <a:xfrm>
          <a:off x="4689605" y="2186862"/>
          <a:ext cx="762972" cy="1943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Q41"/>
  <sheetViews>
    <sheetView tabSelected="1" zoomScale="70" zoomScaleNormal="70" workbookViewId="0">
      <selection activeCell="AL9" sqref="AL9"/>
    </sheetView>
  </sheetViews>
  <sheetFormatPr defaultColWidth="9" defaultRowHeight="14.25" x14ac:dyDescent="0.45"/>
  <cols>
    <col min="1" max="1" width="9" style="1"/>
    <col min="2" max="2" width="5.5976562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9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8" width="12.6640625" style="1" customWidth="1"/>
    <col min="29" max="30" width="12.3984375" style="1" customWidth="1"/>
    <col min="31" max="39" width="9" style="1"/>
    <col min="40" max="40" width="9.6640625" style="1" bestFit="1" customWidth="1"/>
    <col min="41" max="43" width="9.6640625" style="1" customWidth="1"/>
    <col min="44" max="16384" width="9" style="1"/>
  </cols>
  <sheetData>
    <row r="2" spans="2:43" x14ac:dyDescent="0.45">
      <c r="C2" s="50" t="s">
        <v>57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2"/>
      <c r="P2" s="50" t="s">
        <v>11</v>
      </c>
      <c r="Q2" s="50"/>
      <c r="R2" s="50"/>
      <c r="S2" s="50"/>
      <c r="AE2" s="50" t="s">
        <v>33</v>
      </c>
      <c r="AF2" s="50"/>
      <c r="AG2" s="50"/>
      <c r="AH2" s="50"/>
      <c r="AI2" s="50"/>
      <c r="AJ2" s="50"/>
      <c r="AK2" s="28"/>
      <c r="AL2" s="51" t="s">
        <v>55</v>
      </c>
      <c r="AM2" s="52"/>
      <c r="AN2" s="52"/>
      <c r="AO2" s="52"/>
      <c r="AP2" s="52"/>
      <c r="AQ2" s="52"/>
    </row>
    <row r="3" spans="2:43" x14ac:dyDescent="0.45">
      <c r="C3" s="6" t="s">
        <v>9</v>
      </c>
      <c r="D3" s="6" t="s">
        <v>0</v>
      </c>
      <c r="E3" s="6" t="s">
        <v>18</v>
      </c>
      <c r="F3" s="6" t="s">
        <v>19</v>
      </c>
      <c r="G3" s="6" t="s">
        <v>21</v>
      </c>
      <c r="H3" s="6" t="s">
        <v>22</v>
      </c>
      <c r="I3" s="6" t="s">
        <v>11</v>
      </c>
      <c r="J3" s="7" t="s">
        <v>12</v>
      </c>
      <c r="K3" s="7" t="s">
        <v>13</v>
      </c>
      <c r="L3" s="7" t="s">
        <v>46</v>
      </c>
      <c r="M3" s="7" t="s">
        <v>47</v>
      </c>
      <c r="N3" s="7" t="s">
        <v>48</v>
      </c>
      <c r="O3" s="2"/>
      <c r="P3" s="6" t="s">
        <v>17</v>
      </c>
      <c r="Q3" s="6" t="s">
        <v>23</v>
      </c>
      <c r="R3" s="6" t="s">
        <v>24</v>
      </c>
      <c r="S3" s="6" t="s">
        <v>11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2"/>
      <c r="AL3" s="7" t="s">
        <v>13</v>
      </c>
      <c r="AM3" s="6" t="s">
        <v>11</v>
      </c>
      <c r="AN3" s="6" t="s">
        <v>39</v>
      </c>
      <c r="AO3" s="6" t="s">
        <v>48</v>
      </c>
      <c r="AP3" s="6" t="s">
        <v>53</v>
      </c>
      <c r="AQ3" s="6" t="s">
        <v>51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20</v>
      </c>
      <c r="G4" s="2" t="s">
        <v>8</v>
      </c>
      <c r="H4" s="2" t="s">
        <v>8</v>
      </c>
      <c r="I4" s="2" t="s">
        <v>16</v>
      </c>
      <c r="J4" s="5" t="s">
        <v>15</v>
      </c>
      <c r="K4" s="5" t="s">
        <v>15</v>
      </c>
      <c r="L4" s="24" t="s">
        <v>49</v>
      </c>
      <c r="M4" s="24" t="s">
        <v>49</v>
      </c>
      <c r="N4" s="24" t="s">
        <v>50</v>
      </c>
      <c r="O4" s="2"/>
      <c r="P4" s="2" t="s">
        <v>8</v>
      </c>
      <c r="Q4" s="2" t="s">
        <v>8</v>
      </c>
      <c r="R4" s="2" t="s">
        <v>8</v>
      </c>
      <c r="S4" s="2" t="s">
        <v>16</v>
      </c>
      <c r="AE4" s="2" t="s">
        <v>40</v>
      </c>
      <c r="AF4" s="2" t="s">
        <v>40</v>
      </c>
      <c r="AG4" s="2" t="s">
        <v>40</v>
      </c>
      <c r="AH4" s="2" t="s">
        <v>40</v>
      </c>
      <c r="AI4" s="2" t="s">
        <v>40</v>
      </c>
      <c r="AJ4" s="2" t="s">
        <v>40</v>
      </c>
      <c r="AK4" s="2"/>
      <c r="AL4" s="29" t="s">
        <v>15</v>
      </c>
      <c r="AM4" s="4" t="s">
        <v>16</v>
      </c>
      <c r="AN4" s="4" t="s">
        <v>40</v>
      </c>
      <c r="AO4" s="19" t="s">
        <v>16</v>
      </c>
      <c r="AP4" s="19" t="s">
        <v>14</v>
      </c>
      <c r="AQ4" s="19" t="s">
        <v>52</v>
      </c>
    </row>
    <row r="5" spans="2:43" ht="19.25" customHeight="1" x14ac:dyDescent="0.45">
      <c r="B5" s="48" t="s">
        <v>28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S5</f>
        <v>0.1622203098106714</v>
      </c>
      <c r="J5" s="4">
        <f>H5/F5</f>
        <v>1.9299331651756721</v>
      </c>
      <c r="K5" s="4">
        <f>J5/(1+I5)</f>
        <v>1.6605570810323071</v>
      </c>
      <c r="L5" s="17">
        <v>2.65</v>
      </c>
      <c r="M5" s="17">
        <f>L5/K5-1</f>
        <v>0.59584998930153765</v>
      </c>
      <c r="N5" s="20">
        <f>I5*(L5/M5)</f>
        <v>0.72146316810745281</v>
      </c>
      <c r="O5" s="2"/>
      <c r="P5" s="4">
        <v>18.260000000000002</v>
      </c>
      <c r="Q5" s="4">
        <v>45.27</v>
      </c>
      <c r="R5" s="4">
        <v>41.5</v>
      </c>
      <c r="S5" s="8">
        <f>((Q5-P5)-(R5-P5))/(R5-P5)</f>
        <v>0.1622203098106714</v>
      </c>
      <c r="AB5" s="49" t="s">
        <v>32</v>
      </c>
      <c r="AC5" s="49"/>
      <c r="AE5" s="26">
        <v>1.5429988866948463E-3</v>
      </c>
      <c r="AF5" s="26">
        <v>1.523467255218236E-3</v>
      </c>
      <c r="AG5" s="26">
        <v>1.5429988866912936E-3</v>
      </c>
      <c r="AH5" s="26">
        <v>1.5039356237309676E-3</v>
      </c>
      <c r="AI5" s="26">
        <v>1.5234672552253414E-3</v>
      </c>
      <c r="AJ5" s="30">
        <f>AVERAGE(AE5:AI5)</f>
        <v>1.5273735815121369E-3</v>
      </c>
      <c r="AK5" s="2"/>
      <c r="AL5" s="3">
        <f>K5</f>
        <v>1.6605570810323071</v>
      </c>
      <c r="AM5" s="27">
        <f>S5</f>
        <v>0.1622203098106714</v>
      </c>
      <c r="AN5" s="36">
        <f>AJ5</f>
        <v>1.5273735815121369E-3</v>
      </c>
      <c r="AO5" s="46">
        <f>N5</f>
        <v>0.72146316810745281</v>
      </c>
      <c r="AP5" s="47">
        <v>0.21</v>
      </c>
      <c r="AQ5" s="53">
        <v>100.71455670963222</v>
      </c>
    </row>
    <row r="6" spans="2:43" ht="19.25" customHeight="1" x14ac:dyDescent="0.45">
      <c r="B6" s="48"/>
      <c r="C6" s="4" t="s">
        <v>10</v>
      </c>
      <c r="D6" s="4" t="s">
        <v>2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S6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17">
        <v>2.65</v>
      </c>
      <c r="M6" s="17">
        <f t="shared" ref="M6:M7" si="4">L6/K6-1</f>
        <v>0.59486183134573056</v>
      </c>
      <c r="N6" s="20">
        <f t="shared" ref="N6:N8" si="5">I6*(L6/M6)</f>
        <v>0.89008626635008214</v>
      </c>
      <c r="O6" s="2"/>
      <c r="P6" s="4">
        <v>17.77</v>
      </c>
      <c r="Q6" s="4">
        <v>54.34</v>
      </c>
      <c r="R6" s="4">
        <v>48.25</v>
      </c>
      <c r="S6" s="8">
        <f t="shared" ref="S6:S19" si="6">((Q6-P6)-(R6-P6))/(R6-P6)</f>
        <v>0.19980314960629944</v>
      </c>
      <c r="AB6" s="6" t="s">
        <v>30</v>
      </c>
      <c r="AC6" s="6" t="s">
        <v>31</v>
      </c>
      <c r="AE6" s="26">
        <v>2.8320865641906501E-3</v>
      </c>
      <c r="AF6" s="26">
        <v>2.8906814586200369E-3</v>
      </c>
      <c r="AG6" s="26">
        <v>2.851618195670369E-3</v>
      </c>
      <c r="AH6" s="26">
        <v>2.9688079845300308E-3</v>
      </c>
      <c r="AI6" s="26">
        <v>2.9102130900966472E-3</v>
      </c>
      <c r="AJ6" s="30">
        <f>AVERAGE(AE6:AI6)</f>
        <v>2.890681458621547E-3</v>
      </c>
      <c r="AK6" s="2"/>
      <c r="AL6" s="3">
        <f t="shared" ref="AL6:AL19" si="7">K6</f>
        <v>1.6615859430054534</v>
      </c>
      <c r="AM6" s="27">
        <f t="shared" ref="AM6:AM19" si="8">S6</f>
        <v>0.19980314960629944</v>
      </c>
      <c r="AN6" s="36">
        <f t="shared" ref="AN6:AN19" si="9">AJ6</f>
        <v>2.890681458621547E-3</v>
      </c>
      <c r="AO6" s="46">
        <f t="shared" ref="AO6:AO8" si="10">N6</f>
        <v>0.89008626635008214</v>
      </c>
      <c r="AP6" s="47">
        <v>0.215</v>
      </c>
      <c r="AQ6" s="53">
        <v>0.75816786595245822</v>
      </c>
    </row>
    <row r="7" spans="2:43" ht="19.25" customHeight="1" x14ac:dyDescent="0.45">
      <c r="B7" s="48"/>
      <c r="C7" s="4" t="s">
        <v>10</v>
      </c>
      <c r="D7" s="4" t="s">
        <v>3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17">
        <v>2.65</v>
      </c>
      <c r="M7" s="17">
        <f t="shared" si="4"/>
        <v>0.75861957617545905</v>
      </c>
      <c r="N7" s="20">
        <f t="shared" si="5"/>
        <v>0.93239651547725655</v>
      </c>
      <c r="O7" s="2"/>
      <c r="P7" s="4">
        <v>19.059999999999999</v>
      </c>
      <c r="Q7" s="4">
        <v>55.94</v>
      </c>
      <c r="R7" s="4">
        <v>48.17</v>
      </c>
      <c r="S7" s="8">
        <f t="shared" si="6"/>
        <v>0.26691858467880425</v>
      </c>
      <c r="AB7" s="20">
        <v>0.18099999999999999</v>
      </c>
      <c r="AC7" s="25">
        <v>1.67</v>
      </c>
      <c r="AE7" s="26">
        <v>3.1836559307798495E-3</v>
      </c>
      <c r="AF7" s="26">
        <v>3.0469345104400247E-3</v>
      </c>
      <c r="AG7" s="26">
        <v>3.2422508252167859E-3</v>
      </c>
      <c r="AH7" s="26">
        <v>3.0274028789705199E-3</v>
      </c>
      <c r="AI7" s="3"/>
      <c r="AJ7" s="30">
        <f>AVERAGE(AE7:AI7)</f>
        <v>3.125061036351795E-3</v>
      </c>
      <c r="AK7" s="2"/>
      <c r="AL7" s="3">
        <f t="shared" si="7"/>
        <v>1.5068636991765223</v>
      </c>
      <c r="AM7" s="27">
        <f t="shared" si="8"/>
        <v>0.26691858467880425</v>
      </c>
      <c r="AN7" s="36">
        <f t="shared" si="9"/>
        <v>3.125061036351795E-3</v>
      </c>
      <c r="AO7" s="46">
        <f t="shared" si="10"/>
        <v>0.93239651547725655</v>
      </c>
      <c r="AP7" s="47">
        <v>0.215</v>
      </c>
      <c r="AQ7" s="53">
        <v>0.32720703518982408</v>
      </c>
    </row>
    <row r="8" spans="2:43" ht="19.25" customHeight="1" x14ac:dyDescent="0.45">
      <c r="B8" s="48"/>
      <c r="C8" s="4" t="s">
        <v>10</v>
      </c>
      <c r="D8" s="4" t="s">
        <v>4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17">
        <v>2.65</v>
      </c>
      <c r="M8" s="17">
        <f>L8/K8-1</f>
        <v>0.68277652909200293</v>
      </c>
      <c r="N8" s="20">
        <f t="shared" si="5"/>
        <v>0.45406540028031028</v>
      </c>
      <c r="O8" s="2"/>
      <c r="P8" s="4">
        <v>18.47</v>
      </c>
      <c r="Q8" s="4">
        <v>49.5</v>
      </c>
      <c r="R8" s="4">
        <v>46.25</v>
      </c>
      <c r="S8" s="8">
        <f t="shared" si="6"/>
        <v>0.11699064074874009</v>
      </c>
      <c r="AE8" s="26">
        <v>1.6211254126066166E-3</v>
      </c>
      <c r="AF8" s="26">
        <v>1.6015937811282299E-3</v>
      </c>
      <c r="AG8" s="26">
        <v>1.6015937811282299E-3</v>
      </c>
      <c r="AH8" s="26">
        <v>1.6015937811317826E-3</v>
      </c>
      <c r="AI8" s="26">
        <v>1.5820621496516196E-3</v>
      </c>
      <c r="AJ8" s="30">
        <f>AVERAGE(AE8:AI8)</f>
        <v>1.6015937811292957E-3</v>
      </c>
      <c r="AL8" s="32">
        <f t="shared" si="7"/>
        <v>1.5747783227223249</v>
      </c>
      <c r="AM8" s="27">
        <f t="shared" si="8"/>
        <v>0.11699064074874009</v>
      </c>
      <c r="AN8" s="37">
        <f t="shared" si="9"/>
        <v>1.6015937811292957E-3</v>
      </c>
      <c r="AO8" s="46">
        <f t="shared" si="10"/>
        <v>0.45406540028031028</v>
      </c>
      <c r="AP8" s="47">
        <v>0.18</v>
      </c>
      <c r="AQ8" s="53">
        <v>77.674196234164967</v>
      </c>
    </row>
    <row r="9" spans="2:43" ht="67.900000000000006" customHeight="1" x14ac:dyDescent="0.45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2"/>
      <c r="Q9" s="2"/>
      <c r="R9" s="2"/>
      <c r="S9" s="12"/>
      <c r="AL9" s="34"/>
      <c r="AM9" s="35"/>
      <c r="AN9" s="34"/>
      <c r="AQ9" s="54"/>
    </row>
    <row r="10" spans="2:43" ht="19.25" customHeight="1" x14ac:dyDescent="0.45">
      <c r="B10" s="48" t="s">
        <v>25</v>
      </c>
      <c r="C10" s="4" t="s">
        <v>25</v>
      </c>
      <c r="D10" s="4" t="s">
        <v>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17">
        <v>2.65</v>
      </c>
      <c r="M10" s="17">
        <f>L10/K10-1</f>
        <v>0.52160745682404963</v>
      </c>
      <c r="N10" s="20">
        <f>I10*(L10/M10)</f>
        <v>0.54014282865007168</v>
      </c>
      <c r="O10" s="2"/>
      <c r="P10" s="4">
        <v>18.84</v>
      </c>
      <c r="Q10" s="4">
        <v>51.41</v>
      </c>
      <c r="R10" s="4">
        <v>48.28</v>
      </c>
      <c r="S10" s="10">
        <f t="shared" si="6"/>
        <v>0.10631793478260841</v>
      </c>
      <c r="AB10" s="49" t="s">
        <v>32</v>
      </c>
      <c r="AC10" s="49"/>
      <c r="AE10" s="26">
        <v>1.1914295201123082E-3</v>
      </c>
      <c r="AF10" s="26">
        <v>1.2109611515853658E-3</v>
      </c>
      <c r="AG10" s="26">
        <v>1.2890876774935833E-3</v>
      </c>
      <c r="AH10" s="26">
        <v>1.2500244145385864E-3</v>
      </c>
      <c r="AI10" s="26">
        <v>1.1523662571590876E-3</v>
      </c>
      <c r="AJ10" s="31">
        <f>AVERAGE(AG10:AH10)</f>
        <v>1.2695560460160848E-3</v>
      </c>
      <c r="AL10" s="33">
        <f t="shared" si="7"/>
        <v>1.741579267448629</v>
      </c>
      <c r="AM10" s="27">
        <f t="shared" si="8"/>
        <v>0.10631793478260841</v>
      </c>
      <c r="AN10" s="38">
        <f t="shared" si="9"/>
        <v>1.2695560460160848E-3</v>
      </c>
      <c r="AO10" s="46">
        <f t="shared" ref="AO10" si="11">N10</f>
        <v>0.54014282865007168</v>
      </c>
      <c r="AP10" s="47">
        <v>0.19</v>
      </c>
      <c r="AQ10" s="53">
        <v>269.20592640339328</v>
      </c>
    </row>
    <row r="11" spans="2:43" ht="19.25" customHeight="1" x14ac:dyDescent="0.45">
      <c r="B11" s="48"/>
      <c r="C11" s="4" t="s">
        <v>25</v>
      </c>
      <c r="D11" s="4" t="s">
        <v>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17">
        <v>2.65</v>
      </c>
      <c r="M11" s="17">
        <f t="shared" ref="M11:M14" si="12">L11/K11-1</f>
        <v>0.4809179942863604</v>
      </c>
      <c r="N11" s="20">
        <f t="shared" ref="N11:N14" si="13">I11*(L11/M11)</f>
        <v>0.80036410954764581</v>
      </c>
      <c r="O11" s="2"/>
      <c r="P11" s="4">
        <v>14.74</v>
      </c>
      <c r="Q11" s="4">
        <v>40.049999999999997</v>
      </c>
      <c r="R11" s="4">
        <v>36.840000000000003</v>
      </c>
      <c r="S11" s="10">
        <f t="shared" si="6"/>
        <v>0.14524886877828025</v>
      </c>
      <c r="AB11" s="6" t="s">
        <v>30</v>
      </c>
      <c r="AC11" s="6" t="s">
        <v>31</v>
      </c>
      <c r="AE11" s="26">
        <v>1.2695560460187494E-3</v>
      </c>
      <c r="AF11" s="26">
        <v>1.2695560460151967E-3</v>
      </c>
      <c r="AG11" s="26">
        <v>1.2500244145385864E-3</v>
      </c>
      <c r="AH11" s="26">
        <v>1.2304927830655288E-3</v>
      </c>
      <c r="AI11" s="3"/>
      <c r="AJ11" s="30">
        <f>AVERAGE(AE11:AI11)</f>
        <v>1.2549073224095153E-3</v>
      </c>
      <c r="AL11" s="3">
        <f t="shared" si="7"/>
        <v>1.7894306168364227</v>
      </c>
      <c r="AM11" s="27">
        <f t="shared" si="8"/>
        <v>0.14524886877828025</v>
      </c>
      <c r="AN11" s="36">
        <f t="shared" si="9"/>
        <v>1.2549073224095153E-3</v>
      </c>
      <c r="AO11" s="46">
        <f t="shared" ref="AO11:AO14" si="14">N11</f>
        <v>0.80036410954764581</v>
      </c>
      <c r="AP11" s="47">
        <v>0.215</v>
      </c>
      <c r="AQ11" s="53">
        <v>283.13080849310757</v>
      </c>
    </row>
    <row r="12" spans="2:43" ht="19.25" customHeight="1" x14ac:dyDescent="0.45">
      <c r="B12" s="48"/>
      <c r="C12" s="4" t="s">
        <v>25</v>
      </c>
      <c r="D12" s="4" t="s">
        <v>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17">
        <v>2.65</v>
      </c>
      <c r="M12" s="17">
        <f>L12/K12-1</f>
        <v>0.46717291891701906</v>
      </c>
      <c r="N12" s="20">
        <f t="shared" si="13"/>
        <v>0.93541380997219403</v>
      </c>
      <c r="O12" s="2"/>
      <c r="P12" s="4">
        <v>19.059999999999999</v>
      </c>
      <c r="Q12" s="4">
        <v>49.93</v>
      </c>
      <c r="R12" s="4">
        <v>45.56</v>
      </c>
      <c r="S12" s="10">
        <f t="shared" si="6"/>
        <v>0.16490566037735838</v>
      </c>
      <c r="AB12" s="20">
        <v>0.15</v>
      </c>
      <c r="AC12" s="25">
        <v>1.7949999999999999</v>
      </c>
      <c r="AE12" s="26">
        <v>1.4844039922650154E-3</v>
      </c>
      <c r="AF12" s="26">
        <v>1.4648723607919578E-3</v>
      </c>
      <c r="AG12" s="26">
        <v>1.4648723607919578E-3</v>
      </c>
      <c r="AH12" s="26">
        <v>1.4453407293189002E-3</v>
      </c>
      <c r="AI12" s="26">
        <v>1.4648723607990632E-3</v>
      </c>
      <c r="AJ12" s="30">
        <f>AVERAGE(AE12:AI12)</f>
        <v>1.464872360793379E-3</v>
      </c>
      <c r="AL12" s="3">
        <f t="shared" si="7"/>
        <v>1.8061947339895521</v>
      </c>
      <c r="AM12" s="27">
        <f t="shared" si="8"/>
        <v>0.16490566037735838</v>
      </c>
      <c r="AN12" s="36">
        <f t="shared" si="9"/>
        <v>1.464872360793379E-3</v>
      </c>
      <c r="AO12" s="46">
        <f t="shared" si="14"/>
        <v>0.93541380997219403</v>
      </c>
      <c r="AP12" s="47">
        <v>0.215</v>
      </c>
      <c r="AQ12" s="53">
        <v>127.56596110477381</v>
      </c>
    </row>
    <row r="13" spans="2:43" ht="19.25" customHeight="1" x14ac:dyDescent="0.45">
      <c r="B13" s="48"/>
      <c r="C13" s="4" t="s">
        <v>25</v>
      </c>
      <c r="D13" s="4" t="s">
        <v>26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17">
        <v>2.65</v>
      </c>
      <c r="M13" s="17">
        <f t="shared" si="12"/>
        <v>0.58936921039543555</v>
      </c>
      <c r="N13" s="20">
        <f t="shared" si="13"/>
        <v>0.35917937301889064</v>
      </c>
      <c r="O13" s="2"/>
      <c r="P13" s="4">
        <v>19.02</v>
      </c>
      <c r="Q13" s="4">
        <v>48.49</v>
      </c>
      <c r="R13" s="4">
        <v>46.31</v>
      </c>
      <c r="S13" s="10">
        <f t="shared" si="6"/>
        <v>7.9882740930743851E-2</v>
      </c>
      <c r="AE13" s="26">
        <v>1.2109611515853658E-3</v>
      </c>
      <c r="AF13" s="26">
        <v>1.2109611515853658E-3</v>
      </c>
      <c r="AG13" s="26">
        <v>1.3867458348792994E-3</v>
      </c>
      <c r="AH13" s="26">
        <v>1.2109611515853658E-3</v>
      </c>
      <c r="AI13" s="26">
        <v>1.1914295201052028E-3</v>
      </c>
      <c r="AJ13" s="30">
        <f>AVERAGE(AF13:AG13)</f>
        <v>1.2988534932323326E-3</v>
      </c>
      <c r="AL13" s="3">
        <f t="shared" si="7"/>
        <v>1.6673281341222654</v>
      </c>
      <c r="AM13" s="27">
        <f t="shared" si="8"/>
        <v>7.9882740930743851E-2</v>
      </c>
      <c r="AN13" s="36">
        <f t="shared" si="9"/>
        <v>1.2988534932323326E-3</v>
      </c>
      <c r="AO13" s="46">
        <f t="shared" si="14"/>
        <v>0.35917937301889064</v>
      </c>
      <c r="AP13" s="47">
        <v>0.17499999999999999</v>
      </c>
      <c r="AQ13" s="53">
        <v>241.60329115998658</v>
      </c>
    </row>
    <row r="14" spans="2:43" ht="19.25" customHeight="1" x14ac:dyDescent="0.45">
      <c r="B14" s="48"/>
      <c r="C14" s="4" t="s">
        <v>25</v>
      </c>
      <c r="D14" s="4" t="s">
        <v>26</v>
      </c>
      <c r="E14" s="4">
        <v>3625.2</v>
      </c>
      <c r="F14" s="3">
        <v>939.61803067669177</v>
      </c>
      <c r="G14" s="4">
        <v>5409.4</v>
      </c>
      <c r="H14" s="4">
        <f>G14-E14</f>
        <v>1784.1999999999998</v>
      </c>
      <c r="I14" s="9">
        <f>S14</f>
        <v>0.22849968612680469</v>
      </c>
      <c r="J14" s="4">
        <f>H14/F14</f>
        <v>1.8988567074591567</v>
      </c>
      <c r="K14" s="4">
        <f>J14/(1+I14)</f>
        <v>1.5456713004509131</v>
      </c>
      <c r="L14" s="17">
        <v>2.65</v>
      </c>
      <c r="M14" s="17">
        <f t="shared" si="12"/>
        <v>0.71446542303459015</v>
      </c>
      <c r="N14" s="20">
        <f t="shared" si="13"/>
        <v>0.84752060591561551</v>
      </c>
      <c r="O14" s="2"/>
      <c r="P14" s="4">
        <v>19.559999999999999</v>
      </c>
      <c r="Q14" s="4">
        <v>58.7</v>
      </c>
      <c r="R14" s="4">
        <v>51.42</v>
      </c>
      <c r="S14" s="10">
        <f>((Q14-P14)-(R14-P14))/(R14-P14)</f>
        <v>0.22849968612680469</v>
      </c>
      <c r="AE14" s="26">
        <v>2.2461376198754657E-3</v>
      </c>
      <c r="AF14" s="26">
        <v>1.7578468329464414E-3</v>
      </c>
      <c r="AG14" s="26">
        <v>1.6406570440814505E-3</v>
      </c>
      <c r="AH14" s="26">
        <v>1.6406570440850032E-3</v>
      </c>
      <c r="AI14" s="26">
        <v>1.6015937811282299E-3</v>
      </c>
      <c r="AJ14" s="30">
        <f>AVERAGE(AE14:AI14)</f>
        <v>1.7773784644233182E-3</v>
      </c>
      <c r="AL14" s="32">
        <f t="shared" si="7"/>
        <v>1.5456713004509131</v>
      </c>
      <c r="AM14" s="27">
        <f t="shared" si="8"/>
        <v>0.22849968612680469</v>
      </c>
      <c r="AN14" s="37">
        <f t="shared" si="9"/>
        <v>1.7773784644233182E-3</v>
      </c>
      <c r="AO14" s="46">
        <f t="shared" si="14"/>
        <v>0.84752060591561551</v>
      </c>
      <c r="AP14" s="47">
        <v>0.215</v>
      </c>
      <c r="AQ14" s="53">
        <v>41.043405804825191</v>
      </c>
    </row>
    <row r="15" spans="2:43" ht="67.900000000000006" customHeight="1" x14ac:dyDescent="0.45">
      <c r="AL15" s="34"/>
      <c r="AM15" s="35"/>
      <c r="AN15" s="39"/>
      <c r="AO15" s="41"/>
      <c r="AP15" s="41"/>
      <c r="AQ15" s="55"/>
    </row>
    <row r="16" spans="2:43" ht="19.25" customHeight="1" x14ac:dyDescent="0.45">
      <c r="B16" s="48" t="s">
        <v>29</v>
      </c>
      <c r="C16" s="4" t="s">
        <v>27</v>
      </c>
      <c r="D16" s="4" t="s">
        <v>1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L16" s="17">
        <v>2.65</v>
      </c>
      <c r="M16" s="17">
        <f>L16/K16-1</f>
        <v>0.4934949320473947</v>
      </c>
      <c r="N16" s="20">
        <f>I16*(L16/M16)</f>
        <v>0.48563206852537144</v>
      </c>
      <c r="P16" s="4">
        <v>18.39</v>
      </c>
      <c r="Q16" s="4">
        <v>39.369999999999997</v>
      </c>
      <c r="R16" s="4">
        <v>37.630000000000003</v>
      </c>
      <c r="S16" s="10">
        <f>((Q16-P16)-(R16-P16))/(R16-P16)</f>
        <v>9.0436590436590164E-2</v>
      </c>
      <c r="AB16" s="49" t="s">
        <v>32</v>
      </c>
      <c r="AC16" s="49"/>
      <c r="AE16" s="26">
        <v>1.2695560460187494E-3</v>
      </c>
      <c r="AF16" s="26">
        <v>1.1914295201123082E-3</v>
      </c>
      <c r="AG16" s="26">
        <v>1.2109611515853658E-3</v>
      </c>
      <c r="AH16" s="26">
        <v>1.1914295201052028E-3</v>
      </c>
      <c r="AI16" s="26">
        <v>1.1718978886250397E-3</v>
      </c>
      <c r="AJ16" s="30">
        <f>AVERAGE(AE16:AI16)</f>
        <v>1.2070548252893331E-3</v>
      </c>
      <c r="AL16" s="33">
        <f t="shared" si="7"/>
        <v>1.7743615616875121</v>
      </c>
      <c r="AM16" s="27">
        <f t="shared" si="8"/>
        <v>9.0436590436590164E-2</v>
      </c>
      <c r="AN16" s="38">
        <f t="shared" si="9"/>
        <v>1.2070548252893331E-3</v>
      </c>
      <c r="AO16" s="46">
        <f t="shared" ref="AO16:AO19" si="15">N16</f>
        <v>0.48563206852537144</v>
      </c>
      <c r="AP16" s="47">
        <v>0.185</v>
      </c>
      <c r="AQ16" s="53">
        <v>349.3458640206116</v>
      </c>
    </row>
    <row r="17" spans="2:43" ht="19.25" customHeight="1" x14ac:dyDescent="0.45">
      <c r="B17" s="48"/>
      <c r="C17" s="4" t="s">
        <v>27</v>
      </c>
      <c r="D17" s="4" t="s">
        <v>2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L17" s="17">
        <v>2.65</v>
      </c>
      <c r="M17" s="17">
        <f>L17/K17-1</f>
        <v>0.45580490552641617</v>
      </c>
      <c r="N17" s="20">
        <f>I17*(L17/M17)</f>
        <v>0.87703463949314364</v>
      </c>
      <c r="P17" s="4">
        <v>19.03</v>
      </c>
      <c r="Q17" s="4">
        <v>47.41</v>
      </c>
      <c r="R17" s="4">
        <v>43.69</v>
      </c>
      <c r="S17" s="10">
        <f t="shared" si="6"/>
        <v>0.1508515815085158</v>
      </c>
      <c r="AB17" s="6" t="s">
        <v>30</v>
      </c>
      <c r="AC17" s="6" t="s">
        <v>31</v>
      </c>
      <c r="AE17" s="26">
        <v>1.0937713627185985E-3</v>
      </c>
      <c r="AF17" s="26">
        <v>1.1914295201123082E-3</v>
      </c>
      <c r="AG17" s="26">
        <v>1.074239731245541E-3</v>
      </c>
      <c r="AH17" s="26">
        <v>1.0742397312384355E-3</v>
      </c>
      <c r="AI17" s="26">
        <v>1.0742397312526464E-3</v>
      </c>
      <c r="AJ17" s="30">
        <f>AVERAGE(AE17:AI17)</f>
        <v>1.101584015313506E-3</v>
      </c>
      <c r="AL17" s="3">
        <f t="shared" si="7"/>
        <v>1.8202988531912971</v>
      </c>
      <c r="AM17" s="27">
        <f t="shared" si="8"/>
        <v>0.1508515815085158</v>
      </c>
      <c r="AN17" s="36">
        <f t="shared" si="9"/>
        <v>1.101584015313506E-3</v>
      </c>
      <c r="AO17" s="46">
        <f t="shared" si="15"/>
        <v>0.87703463949314364</v>
      </c>
      <c r="AP17" s="47">
        <v>0.215</v>
      </c>
      <c r="AQ17" s="53">
        <v>562.17161141874726</v>
      </c>
    </row>
    <row r="18" spans="2:43" ht="19.25" customHeight="1" x14ac:dyDescent="0.45">
      <c r="B18" s="48"/>
      <c r="C18" s="4" t="s">
        <v>27</v>
      </c>
      <c r="D18" s="4" t="s">
        <v>3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L18" s="17">
        <v>2.65</v>
      </c>
      <c r="M18" s="17">
        <f>L18/K18-1</f>
        <v>0.50254541794440155</v>
      </c>
      <c r="N18" s="20">
        <f>I18*(L18/M18)</f>
        <v>0.97821310228622105</v>
      </c>
      <c r="P18" s="4">
        <v>18.98</v>
      </c>
      <c r="Q18" s="4">
        <v>58.41</v>
      </c>
      <c r="R18" s="4">
        <v>52.24</v>
      </c>
      <c r="S18" s="10">
        <f t="shared" si="6"/>
        <v>0.18550811785929003</v>
      </c>
      <c r="AB18" s="20">
        <v>0.14499999999999999</v>
      </c>
      <c r="AC18" s="25">
        <v>1.82</v>
      </c>
      <c r="AE18" s="26">
        <v>1.4258090978351845E-3</v>
      </c>
      <c r="AF18" s="26">
        <v>1.3867458348855166E-3</v>
      </c>
      <c r="AG18" s="26">
        <v>1.4062774663585742E-3</v>
      </c>
      <c r="AH18" s="26">
        <v>1.4062774663514688E-3</v>
      </c>
      <c r="AI18" s="26">
        <v>1.3672142033982482E-3</v>
      </c>
      <c r="AJ18" s="30">
        <f>AVERAGE(AE18:AI18)</f>
        <v>1.3984648137657985E-3</v>
      </c>
      <c r="AL18" s="3">
        <f t="shared" si="7"/>
        <v>1.7636738086928547</v>
      </c>
      <c r="AM18" s="27">
        <f t="shared" si="8"/>
        <v>0.18550811785929003</v>
      </c>
      <c r="AN18" s="36">
        <f t="shared" si="9"/>
        <v>1.3984648137657985E-3</v>
      </c>
      <c r="AO18" s="46">
        <f t="shared" si="15"/>
        <v>0.97821310228622105</v>
      </c>
      <c r="AP18" s="47">
        <v>0.215</v>
      </c>
      <c r="AQ18" s="53">
        <v>164.15237412481562</v>
      </c>
    </row>
    <row r="19" spans="2:43" ht="19.25" customHeight="1" x14ac:dyDescent="0.45">
      <c r="B19" s="48"/>
      <c r="C19" s="4" t="s">
        <v>27</v>
      </c>
      <c r="D19" s="4" t="s">
        <v>4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L19" s="17">
        <v>2.65</v>
      </c>
      <c r="M19" s="17">
        <f>L19/K19-1</f>
        <v>0.61307500936714443</v>
      </c>
      <c r="N19" s="20">
        <f>I19*(L19/M19)</f>
        <v>0.97159218533661007</v>
      </c>
      <c r="P19" s="4">
        <v>19.18</v>
      </c>
      <c r="Q19" s="4">
        <v>54.87</v>
      </c>
      <c r="R19" s="4">
        <v>48.32</v>
      </c>
      <c r="S19" s="10">
        <f t="shared" si="6"/>
        <v>0.22477693891557984</v>
      </c>
      <c r="AE19" s="26">
        <v>2.5195804605502303E-3</v>
      </c>
      <c r="AF19" s="26">
        <v>2.4414539346508946E-3</v>
      </c>
      <c r="AG19" s="26">
        <v>2.2461376198776861E-3</v>
      </c>
      <c r="AH19" s="26">
        <v>2.1289478310109189E-3</v>
      </c>
      <c r="AI19" s="26">
        <v>2.1680110939570341E-3</v>
      </c>
      <c r="AJ19" s="30">
        <f>AVERAGE(AE19:AI19)</f>
        <v>2.3008261880093526E-3</v>
      </c>
      <c r="AL19" s="3">
        <f t="shared" si="7"/>
        <v>1.642825029593429</v>
      </c>
      <c r="AM19" s="27">
        <f t="shared" si="8"/>
        <v>0.22477693891557984</v>
      </c>
      <c r="AN19" s="36">
        <f t="shared" si="9"/>
        <v>2.3008261880093526E-3</v>
      </c>
      <c r="AO19" s="46">
        <f t="shared" si="15"/>
        <v>0.97159218533661007</v>
      </c>
      <c r="AP19" s="47">
        <v>0.215</v>
      </c>
      <c r="AQ19" s="53">
        <v>6.283543183542128</v>
      </c>
    </row>
    <row r="40" spans="19:19" x14ac:dyDescent="0.45">
      <c r="S40" s="13"/>
    </row>
    <row r="41" spans="19:19" x14ac:dyDescent="0.45">
      <c r="S41" s="13"/>
    </row>
  </sheetData>
  <mergeCells count="10">
    <mergeCell ref="AL2:AQ2"/>
    <mergeCell ref="AE2:AJ2"/>
    <mergeCell ref="B16:B19"/>
    <mergeCell ref="AB5:AC5"/>
    <mergeCell ref="AB10:AC10"/>
    <mergeCell ref="AB16:AC16"/>
    <mergeCell ref="P2:S2"/>
    <mergeCell ref="B5:B8"/>
    <mergeCell ref="B10:B14"/>
    <mergeCell ref="C2:N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Q46"/>
  <sheetViews>
    <sheetView zoomScale="70" zoomScaleNormal="70" workbookViewId="0">
      <selection activeCell="L24" sqref="L24"/>
    </sheetView>
  </sheetViews>
  <sheetFormatPr defaultColWidth="9" defaultRowHeight="14.25" x14ac:dyDescent="0.45"/>
  <cols>
    <col min="1" max="1" width="9" style="1"/>
    <col min="2" max="2" width="4.59765625" style="1" customWidth="1"/>
    <col min="3" max="3" width="10.1328125" style="1" customWidth="1"/>
    <col min="4" max="6" width="9" style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27" width="9" style="1"/>
    <col min="28" max="28" width="10.73046875" style="1" customWidth="1"/>
    <col min="29" max="29" width="13.53125" style="1" customWidth="1"/>
    <col min="30" max="16384" width="9" style="1"/>
  </cols>
  <sheetData>
    <row r="2" spans="2:43" x14ac:dyDescent="0.45">
      <c r="C2" s="50" t="s">
        <v>56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2"/>
      <c r="P2" s="50" t="s">
        <v>11</v>
      </c>
      <c r="Q2" s="50"/>
      <c r="R2" s="50"/>
      <c r="S2" s="50"/>
      <c r="AE2" s="50" t="s">
        <v>33</v>
      </c>
      <c r="AF2" s="50"/>
      <c r="AG2" s="50"/>
      <c r="AH2" s="50"/>
      <c r="AI2" s="50"/>
      <c r="AJ2" s="50"/>
      <c r="AL2" s="50" t="s">
        <v>54</v>
      </c>
      <c r="AM2" s="50"/>
      <c r="AN2" s="50"/>
      <c r="AO2" s="50"/>
      <c r="AP2" s="50"/>
      <c r="AQ2" s="50"/>
    </row>
    <row r="3" spans="2:43" x14ac:dyDescent="0.45">
      <c r="C3" s="6" t="s">
        <v>9</v>
      </c>
      <c r="D3" s="6" t="s">
        <v>0</v>
      </c>
      <c r="E3" s="6" t="s">
        <v>18</v>
      </c>
      <c r="F3" s="6" t="s">
        <v>19</v>
      </c>
      <c r="G3" s="6" t="s">
        <v>21</v>
      </c>
      <c r="H3" s="6" t="s">
        <v>22</v>
      </c>
      <c r="I3" s="6" t="s">
        <v>11</v>
      </c>
      <c r="J3" s="7" t="s">
        <v>12</v>
      </c>
      <c r="K3" s="7" t="s">
        <v>13</v>
      </c>
      <c r="L3" s="7" t="s">
        <v>46</v>
      </c>
      <c r="M3" s="7" t="s">
        <v>47</v>
      </c>
      <c r="N3" s="7" t="s">
        <v>48</v>
      </c>
      <c r="O3" s="2"/>
      <c r="P3" s="6" t="s">
        <v>17</v>
      </c>
      <c r="Q3" s="6" t="s">
        <v>23</v>
      </c>
      <c r="R3" s="6" t="s">
        <v>24</v>
      </c>
      <c r="S3" s="6" t="s">
        <v>11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L3" s="7" t="s">
        <v>13</v>
      </c>
      <c r="AM3" s="6" t="s">
        <v>11</v>
      </c>
      <c r="AN3" s="6" t="s">
        <v>39</v>
      </c>
      <c r="AO3" s="6" t="s">
        <v>48</v>
      </c>
      <c r="AP3" s="6" t="s">
        <v>53</v>
      </c>
      <c r="AQ3" s="6" t="s">
        <v>51</v>
      </c>
    </row>
    <row r="4" spans="2:43" ht="22.15" customHeight="1" x14ac:dyDescent="0.45">
      <c r="C4" s="19" t="s">
        <v>14</v>
      </c>
      <c r="D4" s="19" t="s">
        <v>14</v>
      </c>
      <c r="E4" s="19" t="s">
        <v>8</v>
      </c>
      <c r="F4" s="19" t="s">
        <v>20</v>
      </c>
      <c r="G4" s="19" t="s">
        <v>8</v>
      </c>
      <c r="H4" s="19" t="s">
        <v>8</v>
      </c>
      <c r="I4" s="19" t="s">
        <v>16</v>
      </c>
      <c r="J4" s="24" t="s">
        <v>15</v>
      </c>
      <c r="K4" s="24" t="s">
        <v>15</v>
      </c>
      <c r="L4" s="24" t="s">
        <v>49</v>
      </c>
      <c r="M4" s="24" t="s">
        <v>49</v>
      </c>
      <c r="N4" s="24" t="s">
        <v>50</v>
      </c>
      <c r="O4" s="19"/>
      <c r="P4" s="19" t="s">
        <v>8</v>
      </c>
      <c r="Q4" s="19" t="s">
        <v>8</v>
      </c>
      <c r="R4" s="19" t="s">
        <v>8</v>
      </c>
      <c r="S4" s="19" t="s">
        <v>16</v>
      </c>
      <c r="AE4" s="19" t="s">
        <v>40</v>
      </c>
      <c r="AF4" s="19" t="s">
        <v>40</v>
      </c>
      <c r="AG4" s="19" t="s">
        <v>40</v>
      </c>
      <c r="AH4" s="19" t="s">
        <v>40</v>
      </c>
      <c r="AI4" s="19" t="s">
        <v>40</v>
      </c>
      <c r="AJ4" s="19" t="s">
        <v>40</v>
      </c>
      <c r="AK4" s="45"/>
      <c r="AL4" s="24" t="s">
        <v>15</v>
      </c>
      <c r="AM4" s="19" t="s">
        <v>16</v>
      </c>
      <c r="AN4" s="19" t="s">
        <v>40</v>
      </c>
      <c r="AO4" s="19" t="s">
        <v>16</v>
      </c>
      <c r="AP4" s="19" t="s">
        <v>14</v>
      </c>
      <c r="AQ4" s="19" t="s">
        <v>52</v>
      </c>
    </row>
    <row r="5" spans="2:43" ht="18.399999999999999" customHeight="1" x14ac:dyDescent="0.45">
      <c r="B5" s="48" t="s">
        <v>28</v>
      </c>
      <c r="C5" s="17" t="s">
        <v>10</v>
      </c>
      <c r="D5" s="17" t="s">
        <v>1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S5</f>
        <v>0.11302982731554165</v>
      </c>
      <c r="J5" s="17">
        <f>H5/F5</f>
        <v>1.5263649197611941</v>
      </c>
      <c r="K5" s="17">
        <f>J5/(1+I5)</f>
        <v>1.371360301675431</v>
      </c>
      <c r="L5" s="17">
        <v>2.65</v>
      </c>
      <c r="M5" s="17">
        <f>L5/K5-1</f>
        <v>0.93238786098913429</v>
      </c>
      <c r="N5" s="20">
        <f>I5*(L5/M5)</f>
        <v>0.3212494015831851</v>
      </c>
      <c r="O5" s="19"/>
      <c r="P5" s="17">
        <v>18.79</v>
      </c>
      <c r="Q5" s="17">
        <v>54.24</v>
      </c>
      <c r="R5" s="17">
        <v>50.64</v>
      </c>
      <c r="S5" s="20">
        <f>((Q5-P5)-(R5-P5))/(R5-P5)</f>
        <v>0.11302982731554165</v>
      </c>
      <c r="AB5" s="49" t="s">
        <v>32</v>
      </c>
      <c r="AC5" s="49"/>
      <c r="AE5" s="26">
        <v>1.9531631477178735E-3</v>
      </c>
      <c r="AF5" s="26">
        <v>1.8555049903312693E-3</v>
      </c>
      <c r="AG5" s="26">
        <v>1.8164417273780487E-3</v>
      </c>
      <c r="AH5" s="26">
        <v>1.8164417273780487E-3</v>
      </c>
      <c r="AI5" s="26">
        <v>1.7969100958978856E-3</v>
      </c>
      <c r="AJ5" s="40">
        <f>AVERAGE(AE5:AI5)</f>
        <v>1.8476923377406251E-3</v>
      </c>
      <c r="AL5" s="3">
        <f>K5</f>
        <v>1.371360301675431</v>
      </c>
      <c r="AM5" s="27">
        <f>S5</f>
        <v>0.11302982731554165</v>
      </c>
      <c r="AN5" s="36">
        <f>AJ5</f>
        <v>1.8476923377406251E-3</v>
      </c>
      <c r="AO5" s="46">
        <f>N5</f>
        <v>0.3212494015831851</v>
      </c>
      <c r="AP5" s="36">
        <v>0.19</v>
      </c>
      <c r="AQ5" s="53">
        <v>32.625908938905432</v>
      </c>
    </row>
    <row r="6" spans="2:43" ht="18.399999999999999" customHeight="1" x14ac:dyDescent="0.45">
      <c r="B6" s="48"/>
      <c r="C6" s="17" t="s">
        <v>10</v>
      </c>
      <c r="D6" s="17" t="s">
        <v>2</v>
      </c>
      <c r="E6" s="17">
        <v>3573.4</v>
      </c>
      <c r="F6" s="17">
        <v>939.61803067669177</v>
      </c>
      <c r="G6" s="17">
        <v>5134.2</v>
      </c>
      <c r="H6" s="17">
        <f>G6-E6</f>
        <v>1560.7999999999997</v>
      </c>
      <c r="I6" s="18">
        <f t="shared" ref="I6:I19" si="0">S6</f>
        <v>0.14261363636363625</v>
      </c>
      <c r="J6" s="17">
        <f t="shared" ref="J6:J19" si="1">H6/F6</f>
        <v>1.6611005206827998</v>
      </c>
      <c r="K6" s="17">
        <f t="shared" ref="K6:K19" si="2">J6/(1+I6)</f>
        <v>1.4537727083051852</v>
      </c>
      <c r="L6" s="17">
        <v>2.65</v>
      </c>
      <c r="M6" s="17">
        <f t="shared" ref="M6:M9" si="3">L6/K6-1</f>
        <v>0.82284340933142275</v>
      </c>
      <c r="N6" s="20">
        <f t="shared" ref="N6:N9" si="4">I6*(L6/M6)</f>
        <v>0.45929290078498514</v>
      </c>
      <c r="O6" s="19"/>
      <c r="P6" s="17">
        <v>18.329999999999998</v>
      </c>
      <c r="Q6" s="17">
        <v>38.44</v>
      </c>
      <c r="R6" s="17">
        <v>35.93</v>
      </c>
      <c r="S6" s="20">
        <f>((Q6-P6)-(R6-P6))/(R6-P6)</f>
        <v>0.14261363636363625</v>
      </c>
      <c r="AB6" s="6" t="s">
        <v>30</v>
      </c>
      <c r="AC6" s="6" t="s">
        <v>31</v>
      </c>
      <c r="AE6" s="26">
        <v>1.796910095899662E-3</v>
      </c>
      <c r="AF6" s="26">
        <v>1.7773784644248281E-3</v>
      </c>
      <c r="AG6" s="26">
        <v>1.6015937811246772E-3</v>
      </c>
      <c r="AH6" s="26">
        <v>1.6211254125977348E-3</v>
      </c>
      <c r="AI6" s="26">
        <v>1.5625305181714566E-3</v>
      </c>
      <c r="AJ6" s="40">
        <f>AVERAGE(AE6,AF6,AH6)</f>
        <v>1.7318046576407415E-3</v>
      </c>
      <c r="AL6" s="3">
        <f>K6</f>
        <v>1.4537727083051852</v>
      </c>
      <c r="AM6" s="27">
        <f>S6</f>
        <v>0.14261363636363625</v>
      </c>
      <c r="AN6" s="36">
        <f>AJ6</f>
        <v>1.7318046576407415E-3</v>
      </c>
      <c r="AO6" s="46">
        <f t="shared" ref="AO6:AO9" si="5">N6</f>
        <v>0.45929290078498514</v>
      </c>
      <c r="AP6" s="36">
        <v>0.19</v>
      </c>
      <c r="AQ6" s="53">
        <v>50.23345741286181</v>
      </c>
    </row>
    <row r="7" spans="2:43" ht="18.399999999999999" customHeight="1" x14ac:dyDescent="0.45">
      <c r="B7" s="48"/>
      <c r="C7" s="17" t="s">
        <v>10</v>
      </c>
      <c r="D7" s="17" t="s">
        <v>3</v>
      </c>
      <c r="E7" s="17">
        <v>3525.8</v>
      </c>
      <c r="F7" s="17">
        <v>939.61803067669177</v>
      </c>
      <c r="G7" s="17">
        <v>5224</v>
      </c>
      <c r="H7" s="17">
        <f>G7-E7</f>
        <v>1698.1999999999998</v>
      </c>
      <c r="I7" s="18">
        <f t="shared" si="0"/>
        <v>0.19204244031830223</v>
      </c>
      <c r="J7" s="17">
        <f t="shared" si="1"/>
        <v>1.8073301539105144</v>
      </c>
      <c r="K7" s="17">
        <f t="shared" si="2"/>
        <v>1.5161625901741522</v>
      </c>
      <c r="L7" s="17">
        <v>2.65</v>
      </c>
      <c r="M7" s="17">
        <f t="shared" si="3"/>
        <v>0.74783365397217105</v>
      </c>
      <c r="N7" s="20">
        <f t="shared" si="4"/>
        <v>0.68051559881047952</v>
      </c>
      <c r="O7" s="19"/>
      <c r="P7" s="17">
        <v>18.71</v>
      </c>
      <c r="Q7" s="17">
        <v>41.18</v>
      </c>
      <c r="R7" s="17">
        <v>37.56</v>
      </c>
      <c r="S7" s="20">
        <f>((Q7-P7)-(R7-P7))/(R7-P7)</f>
        <v>0.19204244031830223</v>
      </c>
      <c r="AB7" s="20">
        <v>0.21</v>
      </c>
      <c r="AC7" s="25">
        <v>1.54</v>
      </c>
      <c r="AE7" s="26">
        <v>1.6992519385183869E-3</v>
      </c>
      <c r="AF7" s="26">
        <v>1.8359733588511062E-3</v>
      </c>
      <c r="AG7" s="26">
        <v>1.6601886755722717E-3</v>
      </c>
      <c r="AH7" s="26">
        <v>1.6797203070382238E-3</v>
      </c>
      <c r="AI7" s="26">
        <v>1.6601886755722717E-3</v>
      </c>
      <c r="AJ7" s="40">
        <f>AI7</f>
        <v>1.6601886755722717E-3</v>
      </c>
      <c r="AL7" s="3">
        <f>K7</f>
        <v>1.5161625901741522</v>
      </c>
      <c r="AM7" s="27">
        <f>S7</f>
        <v>0.19204244031830223</v>
      </c>
      <c r="AN7" s="36">
        <f>AJ7</f>
        <v>1.6601886755722717E-3</v>
      </c>
      <c r="AO7" s="46">
        <f t="shared" si="5"/>
        <v>0.68051559881047952</v>
      </c>
      <c r="AP7" s="36">
        <v>0.19</v>
      </c>
      <c r="AQ7" s="53">
        <v>65.587469744581185</v>
      </c>
    </row>
    <row r="8" spans="2:43" ht="18.399999999999999" customHeight="1" x14ac:dyDescent="0.45">
      <c r="B8" s="48"/>
      <c r="C8" s="17" t="s">
        <v>10</v>
      </c>
      <c r="D8" s="17" t="s">
        <v>4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0"/>
        <v>0.24606215410813118</v>
      </c>
      <c r="J8" s="17">
        <f t="shared" si="1"/>
        <v>1.9020494942108539</v>
      </c>
      <c r="K8" s="17">
        <f t="shared" si="2"/>
        <v>1.5264483299970262</v>
      </c>
      <c r="L8" s="17">
        <v>2.65</v>
      </c>
      <c r="M8" s="17">
        <f t="shared" si="3"/>
        <v>0.73605614282742393</v>
      </c>
      <c r="N8" s="20">
        <f t="shared" si="4"/>
        <v>0.88588990763905762</v>
      </c>
      <c r="O8" s="19"/>
      <c r="P8" s="17">
        <v>18.87</v>
      </c>
      <c r="Q8" s="17">
        <v>48.14</v>
      </c>
      <c r="R8" s="17">
        <v>42.36</v>
      </c>
      <c r="S8" s="20">
        <f>((Q8-P8)-(R8-P8))/(R8-P8)</f>
        <v>0.24606215410813118</v>
      </c>
      <c r="AE8" s="26">
        <v>2.7344284068036018E-3</v>
      </c>
      <c r="AF8" s="26">
        <v>2.5391120920339461E-3</v>
      </c>
      <c r="AG8" s="26">
        <v>2.7148967753305442E-3</v>
      </c>
      <c r="AH8" s="26">
        <v>2.6367702494169976E-3</v>
      </c>
      <c r="AI8" s="26">
        <v>2.6563018808900551E-3</v>
      </c>
      <c r="AJ8" s="40">
        <f t="shared" ref="AJ8:AJ9" si="6">AVERAGE(AE8:AI8)</f>
        <v>2.656301880895029E-3</v>
      </c>
      <c r="AL8" s="3">
        <f>K8</f>
        <v>1.5264483299970262</v>
      </c>
      <c r="AM8" s="27">
        <f>S8</f>
        <v>0.24606215410813118</v>
      </c>
      <c r="AN8" s="36">
        <f>AJ8</f>
        <v>2.656301880895029E-3</v>
      </c>
      <c r="AO8" s="46">
        <f t="shared" si="5"/>
        <v>0.88588990763905762</v>
      </c>
      <c r="AP8" s="36">
        <v>0.19</v>
      </c>
      <c r="AQ8" s="53">
        <v>1.606058593920398</v>
      </c>
    </row>
    <row r="9" spans="2:43" ht="18.399999999999999" customHeight="1" x14ac:dyDescent="0.45">
      <c r="B9" s="48"/>
      <c r="C9" s="17" t="s">
        <v>10</v>
      </c>
      <c r="D9" s="17" t="s">
        <v>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>S9</f>
        <v>0.29512735326688799</v>
      </c>
      <c r="J9" s="17">
        <f>H9/F9</f>
        <v>1.7773179584445644</v>
      </c>
      <c r="K9" s="17">
        <f>J9/(1+I9)</f>
        <v>1.3723113437156407</v>
      </c>
      <c r="L9" s="17">
        <v>2.65</v>
      </c>
      <c r="M9" s="17">
        <f t="shared" si="3"/>
        <v>0.93104867356478804</v>
      </c>
      <c r="N9" s="20">
        <f t="shared" si="4"/>
        <v>0.84000708917054345</v>
      </c>
      <c r="O9" s="19"/>
      <c r="P9" s="17">
        <v>17.87</v>
      </c>
      <c r="Q9" s="17">
        <v>64.650000000000006</v>
      </c>
      <c r="R9" s="17">
        <v>53.99</v>
      </c>
      <c r="S9" s="20">
        <f>((Q9-P9)-(R9-P9))/(R9-P9)</f>
        <v>0.29512735326688799</v>
      </c>
      <c r="AE9" s="26">
        <v>3.3008457196430641E-3</v>
      </c>
      <c r="AF9" s="26">
        <v>2.8711498271434266E-3</v>
      </c>
      <c r="AG9" s="26">
        <v>3.1250610363500186E-3</v>
      </c>
      <c r="AH9" s="26">
        <v>3.1055294048769611E-3</v>
      </c>
      <c r="AI9" s="26">
        <v>3.066466141916635E-3</v>
      </c>
      <c r="AJ9" s="40">
        <f t="shared" si="6"/>
        <v>3.093810425986021E-3</v>
      </c>
      <c r="AL9" s="3">
        <f>K9</f>
        <v>1.3723113437156407</v>
      </c>
      <c r="AM9" s="27">
        <f>S9</f>
        <v>0.29512735326688799</v>
      </c>
      <c r="AN9" s="36">
        <f>AJ9</f>
        <v>3.093810425986021E-3</v>
      </c>
      <c r="AO9" s="46">
        <f t="shared" si="5"/>
        <v>0.84000708917054345</v>
      </c>
      <c r="AP9" s="36">
        <v>0.19</v>
      </c>
      <c r="AQ9" s="53">
        <v>0.31488993954243338</v>
      </c>
    </row>
    <row r="10" spans="2:43" ht="90.85" customHeight="1" x14ac:dyDescent="0.45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22"/>
      <c r="AJ10" s="41"/>
      <c r="AM10" s="15"/>
      <c r="AN10" s="41"/>
      <c r="AO10" s="14"/>
      <c r="AP10" s="41"/>
      <c r="AQ10" s="56"/>
    </row>
    <row r="11" spans="2:43" ht="18.399999999999999" customHeight="1" x14ac:dyDescent="0.45">
      <c r="B11" s="48" t="s">
        <v>25</v>
      </c>
      <c r="C11" s="17" t="s">
        <v>25</v>
      </c>
      <c r="D11" s="17" t="s">
        <v>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S11</f>
        <v>0.11079723791588189</v>
      </c>
      <c r="J11" s="17">
        <f>H11/F11</f>
        <v>1.735173173322166</v>
      </c>
      <c r="K11" s="17">
        <f>J11/(1+I11)</f>
        <v>1.5620971263646288</v>
      </c>
      <c r="L11" s="17">
        <v>2.65</v>
      </c>
      <c r="M11" s="17">
        <f>L11/K11-1</f>
        <v>0.69643740793965847</v>
      </c>
      <c r="N11" s="20">
        <f>I11*(L11/M11)</f>
        <v>0.42159234574390719</v>
      </c>
      <c r="O11" s="19"/>
      <c r="P11" s="17">
        <v>18.989999999999998</v>
      </c>
      <c r="Q11" s="17">
        <v>54.38</v>
      </c>
      <c r="R11" s="17">
        <v>50.85</v>
      </c>
      <c r="S11" s="23">
        <f>((Q11-P11)-(R11-P11))/(R11-P11)</f>
        <v>0.11079723791588189</v>
      </c>
      <c r="AB11" s="49" t="s">
        <v>32</v>
      </c>
      <c r="AC11" s="49"/>
      <c r="AE11" s="26">
        <v>1.4453407293117948E-3</v>
      </c>
      <c r="AF11" s="26">
        <v>1.4062774663585742E-3</v>
      </c>
      <c r="AG11" s="26">
        <v>1.6797203070373357E-3</v>
      </c>
      <c r="AH11" s="26">
        <v>1.6015937811246772E-3</v>
      </c>
      <c r="AI11" s="26">
        <v>1.5820621496516196E-3</v>
      </c>
      <c r="AJ11" s="40">
        <f>AVERAGE(AG11:AI11)</f>
        <v>1.6211254126045442E-3</v>
      </c>
      <c r="AL11" s="3">
        <f>K11</f>
        <v>1.5620971263646288</v>
      </c>
      <c r="AM11" s="27">
        <f>S11</f>
        <v>0.11079723791588189</v>
      </c>
      <c r="AN11" s="36">
        <f>AJ11</f>
        <v>1.6211254126045442E-3</v>
      </c>
      <c r="AO11" s="46">
        <f>N11</f>
        <v>0.42159234574390719</v>
      </c>
      <c r="AP11" s="36">
        <v>0.19</v>
      </c>
      <c r="AQ11" s="53">
        <v>75.857701690571744</v>
      </c>
    </row>
    <row r="12" spans="2:43" ht="18.399999999999999" customHeight="1" x14ac:dyDescent="0.45">
      <c r="B12" s="48"/>
      <c r="C12" s="17" t="s">
        <v>25</v>
      </c>
      <c r="D12" s="17" t="s">
        <v>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S12</f>
        <v>0.16014588859416429</v>
      </c>
      <c r="J12" s="17">
        <f>H12/F12</f>
        <v>1.9175877230691118</v>
      </c>
      <c r="K12" s="17">
        <f>J12/(1+I12)</f>
        <v>1.6528849879326786</v>
      </c>
      <c r="L12" s="17">
        <v>2.65</v>
      </c>
      <c r="M12" s="17">
        <f t="shared" ref="M12:M14" si="7">L12/K12-1</f>
        <v>0.60325734660730879</v>
      </c>
      <c r="N12" s="20">
        <f t="shared" ref="N12:N14" si="8">I12*(L12/M12)</f>
        <v>0.70349181350424639</v>
      </c>
      <c r="O12" s="19"/>
      <c r="P12" s="17">
        <v>19.2</v>
      </c>
      <c r="Q12" s="17">
        <v>54.19</v>
      </c>
      <c r="R12" s="17">
        <v>49.36</v>
      </c>
      <c r="S12" s="23">
        <f>((Q12-P12)-(R12-P12))/(R12-P12)</f>
        <v>0.16014588859416429</v>
      </c>
      <c r="AB12" s="6" t="s">
        <v>30</v>
      </c>
      <c r="AC12" s="6" t="s">
        <v>31</v>
      </c>
      <c r="AE12" s="26">
        <v>1.6015937811282299E-3</v>
      </c>
      <c r="AF12" s="26">
        <v>1.5820621496516196E-3</v>
      </c>
      <c r="AG12" s="26">
        <v>1.5625305181856675E-3</v>
      </c>
      <c r="AH12" s="26">
        <v>1.8359733588653171E-3</v>
      </c>
      <c r="AI12" s="26">
        <v>1.8164417273851541E-3</v>
      </c>
      <c r="AJ12" s="40">
        <f>AVERAGE(AE12:AG12)</f>
        <v>1.5820621496551723E-3</v>
      </c>
      <c r="AL12" s="3">
        <f>K12</f>
        <v>1.6528849879326786</v>
      </c>
      <c r="AM12" s="27">
        <f>S12</f>
        <v>0.16014588859416429</v>
      </c>
      <c r="AN12" s="36">
        <f>AJ12</f>
        <v>1.5820621496551723E-3</v>
      </c>
      <c r="AO12" s="46">
        <f t="shared" ref="AO12:AO14" si="9">N12</f>
        <v>0.70349181350424639</v>
      </c>
      <c r="AP12" s="36">
        <v>0.19</v>
      </c>
      <c r="AQ12" s="53">
        <v>87.736132035461452</v>
      </c>
    </row>
    <row r="13" spans="2:43" ht="18.399999999999999" customHeight="1" x14ac:dyDescent="0.45">
      <c r="B13" s="48"/>
      <c r="C13" s="17" t="s">
        <v>25</v>
      </c>
      <c r="D13" s="17" t="s">
        <v>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S13</f>
        <v>0.18882395909422914</v>
      </c>
      <c r="J13" s="17">
        <f>H13/F13</f>
        <v>1.9784635238014647</v>
      </c>
      <c r="K13" s="17">
        <f>J13/(1+I13)</f>
        <v>1.6642190869949036</v>
      </c>
      <c r="L13" s="17">
        <v>2.65</v>
      </c>
      <c r="M13" s="17">
        <f t="shared" si="7"/>
        <v>0.59233842509589918</v>
      </c>
      <c r="N13" s="20">
        <f t="shared" si="8"/>
        <v>0.84475946587239459</v>
      </c>
      <c r="O13" s="19"/>
      <c r="P13" s="17">
        <v>18.39</v>
      </c>
      <c r="Q13" s="17">
        <v>50.94</v>
      </c>
      <c r="R13" s="17">
        <v>45.77</v>
      </c>
      <c r="S13" s="23">
        <f>((Q13-P13)-(R13-P13))/(R13-P13)</f>
        <v>0.18882395909422914</v>
      </c>
      <c r="AB13" s="20">
        <v>0.17199999999999999</v>
      </c>
      <c r="AC13" s="25">
        <v>1.665</v>
      </c>
      <c r="AE13" s="26">
        <v>1.7773784644212753E-3</v>
      </c>
      <c r="AF13" s="26">
        <v>1.7187835699914444E-3</v>
      </c>
      <c r="AG13" s="26">
        <v>1.738315201464502E-3</v>
      </c>
      <c r="AH13" s="26">
        <v>1.738315201464502E-3</v>
      </c>
      <c r="AI13" s="26">
        <v>1.7383152014787129E-3</v>
      </c>
      <c r="AJ13" s="40">
        <f>AVERAGE(AE13:AI13)</f>
        <v>1.7422215277640874E-3</v>
      </c>
      <c r="AL13" s="3">
        <f>K13</f>
        <v>1.6642190869949036</v>
      </c>
      <c r="AM13" s="27">
        <f>S13</f>
        <v>0.18882395909422914</v>
      </c>
      <c r="AN13" s="36">
        <f>AJ13</f>
        <v>1.7422215277640874E-3</v>
      </c>
      <c r="AO13" s="46">
        <f t="shared" si="9"/>
        <v>0.84475946587239459</v>
      </c>
      <c r="AP13" s="36">
        <v>0.19</v>
      </c>
      <c r="AQ13" s="53">
        <v>48.322054338171974</v>
      </c>
    </row>
    <row r="14" spans="2:43" ht="18.399999999999999" customHeight="1" x14ac:dyDescent="0.45">
      <c r="B14" s="48"/>
      <c r="C14" s="17" t="s">
        <v>25</v>
      </c>
      <c r="D14" s="17" t="s">
        <v>26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S14</f>
        <v>0.24161849710982658</v>
      </c>
      <c r="J14" s="17">
        <f>H14/F14</f>
        <v>1.8826799212505596</v>
      </c>
      <c r="K14" s="17">
        <f>J14/(1+I14)</f>
        <v>1.516311109759529</v>
      </c>
      <c r="L14" s="17">
        <v>2.65</v>
      </c>
      <c r="M14" s="17">
        <f t="shared" si="7"/>
        <v>0.74766245722506253</v>
      </c>
      <c r="N14" s="20">
        <f t="shared" si="8"/>
        <v>0.85638781398421826</v>
      </c>
      <c r="O14" s="19"/>
      <c r="P14" s="17">
        <v>14.66</v>
      </c>
      <c r="Q14" s="17">
        <v>46.88</v>
      </c>
      <c r="R14" s="17">
        <v>40.61</v>
      </c>
      <c r="S14" s="23">
        <f>((Q14-P14)-(R14-P14))/(R14-P14)</f>
        <v>0.24161849710982658</v>
      </c>
      <c r="AE14" s="26">
        <v>2.3828590402104055E-3</v>
      </c>
      <c r="AF14" s="26">
        <v>2.3828590402104055E-3</v>
      </c>
      <c r="AG14" s="26">
        <v>2.3828590402175109E-3</v>
      </c>
      <c r="AH14" s="26">
        <v>2.3828590402246164E-3</v>
      </c>
      <c r="AI14" s="26">
        <v>3.2813140881700065E-3</v>
      </c>
      <c r="AJ14" s="40">
        <f>AVERAGE(AE14:AI14)</f>
        <v>2.5625500498065888E-3</v>
      </c>
      <c r="AL14" s="3">
        <f>K14</f>
        <v>1.516311109759529</v>
      </c>
      <c r="AM14" s="27">
        <f>S14</f>
        <v>0.24161849710982658</v>
      </c>
      <c r="AN14" s="36">
        <f>AJ14</f>
        <v>2.5625500498065888E-3</v>
      </c>
      <c r="AO14" s="46">
        <f t="shared" si="9"/>
        <v>0.85638781398421826</v>
      </c>
      <c r="AP14" s="36">
        <v>0.19</v>
      </c>
      <c r="AQ14" s="53">
        <v>2.2771441006533286</v>
      </c>
    </row>
    <row r="15" spans="2:43" ht="90.85" customHeight="1" x14ac:dyDescent="0.45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AJ15" s="41"/>
      <c r="AM15" s="15"/>
      <c r="AN15" s="41"/>
      <c r="AO15" s="14"/>
      <c r="AP15" s="41"/>
      <c r="AQ15" s="56"/>
    </row>
    <row r="16" spans="2:43" ht="18.399999999999999" customHeight="1" x14ac:dyDescent="0.45">
      <c r="B16" s="48" t="s">
        <v>29</v>
      </c>
      <c r="C16" s="17" t="s">
        <v>27</v>
      </c>
      <c r="D16" s="17" t="s">
        <v>1</v>
      </c>
      <c r="E16" s="17">
        <v>3579</v>
      </c>
      <c r="F16" s="17">
        <v>939.61803067669177</v>
      </c>
      <c r="G16" s="17">
        <v>5415</v>
      </c>
      <c r="H16" s="17">
        <f>G16-E16</f>
        <v>1836</v>
      </c>
      <c r="I16" s="18">
        <f t="shared" si="0"/>
        <v>0.13227722772277212</v>
      </c>
      <c r="J16" s="17">
        <f t="shared" si="1"/>
        <v>1.9539854920384554</v>
      </c>
      <c r="K16" s="17">
        <f t="shared" si="2"/>
        <v>1.7257129651616301</v>
      </c>
      <c r="L16" s="17">
        <v>2.65</v>
      </c>
      <c r="M16" s="17">
        <f>L16/K16-1</f>
        <v>0.53559720156115365</v>
      </c>
      <c r="N16" s="20">
        <f>I16*(L16/M16)</f>
        <v>0.65447439315144107</v>
      </c>
      <c r="O16" s="19"/>
      <c r="P16" s="17">
        <v>18.88</v>
      </c>
      <c r="Q16" s="17">
        <v>47.47</v>
      </c>
      <c r="R16" s="17">
        <v>44.13</v>
      </c>
      <c r="S16" s="23">
        <f>((Q16-P16)-(R16-P16))/(R16-P16)</f>
        <v>0.13227722772277212</v>
      </c>
      <c r="AB16" s="49" t="s">
        <v>32</v>
      </c>
      <c r="AC16" s="49"/>
      <c r="AE16" s="26">
        <v>1.1523662571519822E-3</v>
      </c>
      <c r="AF16" s="26">
        <v>1.2109611515853658E-3</v>
      </c>
      <c r="AG16" s="26">
        <v>1.2109611515853658E-3</v>
      </c>
      <c r="AH16" s="26">
        <v>1.269556046011644E-3</v>
      </c>
      <c r="AI16" s="26">
        <v>1.1914295201194136E-3</v>
      </c>
      <c r="AJ16" s="40">
        <f>AVERAGE(AE16:AI16)</f>
        <v>1.2070548252907543E-3</v>
      </c>
      <c r="AL16" s="3">
        <f>K16</f>
        <v>1.7257129651616301</v>
      </c>
      <c r="AM16" s="27">
        <f>S16</f>
        <v>0.13227722772277212</v>
      </c>
      <c r="AN16" s="36">
        <f>AJ16</f>
        <v>1.2070548252907543E-3</v>
      </c>
      <c r="AO16" s="46">
        <f>N16</f>
        <v>0.65447439315144107</v>
      </c>
      <c r="AP16" s="36">
        <v>0.19</v>
      </c>
      <c r="AQ16" s="53">
        <v>370.78150112778985</v>
      </c>
    </row>
    <row r="17" spans="2:43" ht="18.399999999999999" customHeight="1" x14ac:dyDescent="0.45">
      <c r="B17" s="48"/>
      <c r="C17" s="17" t="s">
        <v>27</v>
      </c>
      <c r="D17" s="17" t="s">
        <v>2</v>
      </c>
      <c r="E17" s="17">
        <v>3573.4</v>
      </c>
      <c r="F17" s="17">
        <v>939.61803067669177</v>
      </c>
      <c r="G17" s="17">
        <v>5490.4</v>
      </c>
      <c r="H17" s="17">
        <f>G17-E17</f>
        <v>1916.9999999999995</v>
      </c>
      <c r="I17" s="18">
        <f t="shared" si="0"/>
        <v>0.15978994748687164</v>
      </c>
      <c r="J17" s="17">
        <f t="shared" si="1"/>
        <v>2.0401907343342689</v>
      </c>
      <c r="K17" s="17">
        <f t="shared" si="2"/>
        <v>1.7591036538600133</v>
      </c>
      <c r="L17" s="17">
        <v>2.65</v>
      </c>
      <c r="M17" s="17">
        <f t="shared" ref="M17:M19" si="10">L17/K17-1</f>
        <v>0.50644903396402285</v>
      </c>
      <c r="N17" s="20">
        <f t="shared" ref="N17:N19" si="11">I17*(L17/M17)</f>
        <v>0.83610261337825054</v>
      </c>
      <c r="O17" s="19"/>
      <c r="P17" s="17">
        <v>18.559999999999999</v>
      </c>
      <c r="Q17" s="17">
        <v>49.48</v>
      </c>
      <c r="R17" s="17">
        <v>45.22</v>
      </c>
      <c r="S17" s="23">
        <f>((Q17-P17)-(R17-P17))/(R17-P17)</f>
        <v>0.15978994748687164</v>
      </c>
      <c r="AB17" s="6" t="s">
        <v>30</v>
      </c>
      <c r="AC17" s="6" t="s">
        <v>31</v>
      </c>
      <c r="AE17" s="26">
        <v>1.4453407293117948E-3</v>
      </c>
      <c r="AF17" s="26">
        <v>1.4453407293117948E-3</v>
      </c>
      <c r="AG17" s="26">
        <v>1.4453407293117948E-3</v>
      </c>
      <c r="AH17" s="26">
        <v>1.4258090978316318E-3</v>
      </c>
      <c r="AI17" s="26">
        <v>1.4453407293117948E-3</v>
      </c>
      <c r="AJ17" s="40">
        <f>AVERAGE(AE17:AI17)</f>
        <v>1.4414344030157622E-3</v>
      </c>
      <c r="AL17" s="3">
        <f>K17</f>
        <v>1.7591036538600133</v>
      </c>
      <c r="AM17" s="27">
        <f>S17</f>
        <v>0.15978994748687164</v>
      </c>
      <c r="AN17" s="36">
        <f>AJ17</f>
        <v>1.4414344030157622E-3</v>
      </c>
      <c r="AO17" s="46">
        <f t="shared" ref="AO17:AO19" si="12">N17</f>
        <v>0.83610261337825054</v>
      </c>
      <c r="AP17" s="36">
        <v>0.19</v>
      </c>
      <c r="AQ17" s="53">
        <v>148.8424139248626</v>
      </c>
    </row>
    <row r="18" spans="2:43" ht="18.399999999999999" customHeight="1" x14ac:dyDescent="0.45">
      <c r="B18" s="48"/>
      <c r="C18" s="17" t="s">
        <v>27</v>
      </c>
      <c r="D18" s="17" t="s">
        <v>3</v>
      </c>
      <c r="E18" s="17">
        <v>3575.8</v>
      </c>
      <c r="F18" s="17">
        <v>939.61803067669177</v>
      </c>
      <c r="G18" s="17">
        <v>5483.8</v>
      </c>
      <c r="H18" s="17">
        <f>G18-E18</f>
        <v>1908</v>
      </c>
      <c r="I18" s="18">
        <f t="shared" si="0"/>
        <v>0.18811394891944982</v>
      </c>
      <c r="J18" s="17">
        <f t="shared" si="1"/>
        <v>2.0306123740791793</v>
      </c>
      <c r="K18" s="17">
        <f t="shared" si="2"/>
        <v>1.7091057435408057</v>
      </c>
      <c r="L18" s="17">
        <v>2.65</v>
      </c>
      <c r="M18" s="17">
        <f t="shared" si="10"/>
        <v>0.55051845681000122</v>
      </c>
      <c r="N18" s="20">
        <f t="shared" si="11"/>
        <v>0.90551362714545369</v>
      </c>
      <c r="O18" s="19"/>
      <c r="P18" s="17">
        <v>18.43</v>
      </c>
      <c r="Q18" s="17">
        <v>42.62</v>
      </c>
      <c r="R18" s="17">
        <v>38.79</v>
      </c>
      <c r="S18" s="23">
        <f>((Q18-P18)-(R18-P18))/(R18-P18)</f>
        <v>0.18811394891944982</v>
      </c>
      <c r="AB18" s="20">
        <v>0.16</v>
      </c>
      <c r="AC18" s="25">
        <v>1.76</v>
      </c>
      <c r="AE18" s="26">
        <v>2.0117580421494807E-3</v>
      </c>
      <c r="AF18" s="26">
        <v>2.070352936581088E-3</v>
      </c>
      <c r="AG18" s="26">
        <v>2.0312896736278674E-3</v>
      </c>
      <c r="AH18" s="26">
        <v>2.0312896736243147E-3</v>
      </c>
      <c r="AI18" s="26">
        <v>1.9922264106710941E-3</v>
      </c>
      <c r="AJ18" s="40">
        <f>AVERAGE(AE18:AI18)</f>
        <v>2.027383347330769E-3</v>
      </c>
      <c r="AL18" s="3">
        <f>K18</f>
        <v>1.7091057435408057</v>
      </c>
      <c r="AM18" s="27">
        <f>S18</f>
        <v>0.18811394891944982</v>
      </c>
      <c r="AN18" s="36">
        <f>AJ18</f>
        <v>2.027383347330769E-3</v>
      </c>
      <c r="AO18" s="46">
        <f t="shared" si="12"/>
        <v>0.90551362714545369</v>
      </c>
      <c r="AP18" s="36">
        <v>0.19</v>
      </c>
      <c r="AQ18" s="53">
        <v>16.708602347103685</v>
      </c>
    </row>
    <row r="19" spans="2:43" ht="18.399999999999999" customHeight="1" x14ac:dyDescent="0.45">
      <c r="B19" s="48"/>
      <c r="C19" s="17" t="s">
        <v>27</v>
      </c>
      <c r="D19" s="17" t="s">
        <v>4</v>
      </c>
      <c r="E19" s="17">
        <v>3981.6</v>
      </c>
      <c r="F19" s="17">
        <v>939.618030676692</v>
      </c>
      <c r="G19" s="17">
        <v>5770.8</v>
      </c>
      <c r="H19" s="17">
        <f>G19-E19</f>
        <v>1789.2000000000003</v>
      </c>
      <c r="I19" s="18">
        <f t="shared" si="0"/>
        <v>0.22389937106918242</v>
      </c>
      <c r="J19" s="17">
        <f t="shared" si="1"/>
        <v>1.9041780187119848</v>
      </c>
      <c r="K19" s="17">
        <f t="shared" si="2"/>
        <v>1.5558289053196588</v>
      </c>
      <c r="L19" s="17">
        <v>2.65</v>
      </c>
      <c r="M19" s="17">
        <f t="shared" si="10"/>
        <v>0.70327212133620431</v>
      </c>
      <c r="N19" s="20">
        <f t="shared" si="11"/>
        <v>0.84367532187400063</v>
      </c>
      <c r="O19" s="19"/>
      <c r="P19" s="17">
        <v>19.02</v>
      </c>
      <c r="Q19" s="17">
        <v>57.94</v>
      </c>
      <c r="R19" s="17">
        <v>50.82</v>
      </c>
      <c r="S19" s="23">
        <f>((Q19-P19)-(R19-P19))/(R19-P19)</f>
        <v>0.22389937106918242</v>
      </c>
      <c r="AE19" s="26">
        <v>2.3242641457841273E-3</v>
      </c>
      <c r="AF19" s="26">
        <v>2.3633274087373479E-3</v>
      </c>
      <c r="AG19" s="26">
        <v>2.3633274087373479E-3</v>
      </c>
      <c r="AH19" s="26">
        <v>2.3828590402175109E-3</v>
      </c>
      <c r="AI19" s="26">
        <v>2.3437957772571849E-3</v>
      </c>
      <c r="AJ19" s="40">
        <f>AVERAGE(AE19:AI19)</f>
        <v>2.3555147561467038E-3</v>
      </c>
      <c r="AL19" s="3">
        <f>K19</f>
        <v>1.5558289053196588</v>
      </c>
      <c r="AM19" s="27">
        <f>S19</f>
        <v>0.22389937106918242</v>
      </c>
      <c r="AN19" s="36">
        <f>AJ19</f>
        <v>2.3555147561467038E-3</v>
      </c>
      <c r="AO19" s="46">
        <f t="shared" si="12"/>
        <v>0.84367532187400063</v>
      </c>
      <c r="AP19" s="36">
        <v>0.19</v>
      </c>
      <c r="AQ19" s="53">
        <v>4.9230945106328168</v>
      </c>
    </row>
    <row r="20" spans="2:43" x14ac:dyDescent="0.45">
      <c r="AJ20" s="41"/>
    </row>
    <row r="21" spans="2:43" x14ac:dyDescent="0.45">
      <c r="AJ21" s="41"/>
    </row>
    <row r="46" spans="20:20" x14ac:dyDescent="0.45">
      <c r="T46" s="14"/>
    </row>
  </sheetData>
  <mergeCells count="10">
    <mergeCell ref="AL2:AQ2"/>
    <mergeCell ref="AE2:AJ2"/>
    <mergeCell ref="B16:B19"/>
    <mergeCell ref="AB5:AC5"/>
    <mergeCell ref="AB11:AC11"/>
    <mergeCell ref="AB16:AC16"/>
    <mergeCell ref="P2:S2"/>
    <mergeCell ref="B5:B9"/>
    <mergeCell ref="B11:B14"/>
    <mergeCell ref="C2:N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DFA6-7666-43AD-A8AF-2ABD0E725009}">
  <dimension ref="B2:J392"/>
  <sheetViews>
    <sheetView zoomScale="98" workbookViewId="0">
      <selection activeCell="Q21" sqref="Q21"/>
    </sheetView>
  </sheetViews>
  <sheetFormatPr defaultRowHeight="14.25" x14ac:dyDescent="0.45"/>
  <cols>
    <col min="1" max="16384" width="9.06640625" style="1"/>
  </cols>
  <sheetData>
    <row r="2" spans="2:3" x14ac:dyDescent="0.45">
      <c r="B2" s="4" t="s">
        <v>41</v>
      </c>
      <c r="C2" s="4" t="s">
        <v>42</v>
      </c>
    </row>
    <row r="3" spans="2:3" x14ac:dyDescent="0.45">
      <c r="B3" s="4">
        <v>21.108663940295699</v>
      </c>
      <c r="C3" s="4">
        <v>1.63902694E-4</v>
      </c>
    </row>
    <row r="4" spans="2:3" x14ac:dyDescent="0.45">
      <c r="B4" s="4">
        <v>21.108683471927201</v>
      </c>
      <c r="C4" s="4">
        <v>1.9197525199999999E-4</v>
      </c>
    </row>
    <row r="5" spans="2:3" x14ac:dyDescent="0.45">
      <c r="B5" s="4">
        <v>21.108703003558698</v>
      </c>
      <c r="C5" s="4">
        <v>2.1028344199999999E-4</v>
      </c>
    </row>
    <row r="6" spans="2:3" x14ac:dyDescent="0.45">
      <c r="B6" s="4">
        <v>21.1087225351901</v>
      </c>
      <c r="C6" s="4">
        <v>2.7619292600000001E-4</v>
      </c>
    </row>
    <row r="7" spans="2:3" x14ac:dyDescent="0.45">
      <c r="B7" s="4">
        <v>21.108742066821598</v>
      </c>
      <c r="C7" s="4">
        <v>2.42017638E-4</v>
      </c>
    </row>
    <row r="8" spans="2:3" x14ac:dyDescent="0.45">
      <c r="B8" s="4">
        <v>21.1087615984531</v>
      </c>
      <c r="C8" s="4">
        <v>2.3896627300000001E-4</v>
      </c>
    </row>
    <row r="9" spans="2:3" x14ac:dyDescent="0.45">
      <c r="B9" s="4">
        <v>21.108781130084601</v>
      </c>
      <c r="C9" s="4">
        <v>2.5544364399999997E-4</v>
      </c>
    </row>
    <row r="10" spans="2:3" x14ac:dyDescent="0.45">
      <c r="B10" s="4">
        <v>21.108800661716099</v>
      </c>
      <c r="C10" s="4">
        <v>1.773287E-4</v>
      </c>
    </row>
    <row r="11" spans="2:3" x14ac:dyDescent="0.45">
      <c r="B11" s="4">
        <v>21.108820193347501</v>
      </c>
      <c r="C11" s="4">
        <v>1.9929852799999999E-4</v>
      </c>
    </row>
    <row r="12" spans="2:3" x14ac:dyDescent="0.45">
      <c r="B12" s="4">
        <v>21.108839724978999</v>
      </c>
      <c r="C12" s="4">
        <v>2.5727446299999998E-4</v>
      </c>
    </row>
    <row r="13" spans="2:3" x14ac:dyDescent="0.45">
      <c r="B13" s="4">
        <v>21.108859256610501</v>
      </c>
      <c r="C13" s="4">
        <v>3.0182439200000002E-4</v>
      </c>
    </row>
    <row r="14" spans="2:3" x14ac:dyDescent="0.45">
      <c r="B14" s="4">
        <v>21.108878788241999</v>
      </c>
      <c r="C14" s="4">
        <v>1.88923887E-4</v>
      </c>
    </row>
    <row r="15" spans="2:3" x14ac:dyDescent="0.45">
      <c r="B15" s="4">
        <v>21.108898319873401</v>
      </c>
      <c r="C15" s="4">
        <v>2.6764910399999998E-4</v>
      </c>
    </row>
    <row r="16" spans="2:3" x14ac:dyDescent="0.45">
      <c r="B16" s="4">
        <v>21.108917851504899</v>
      </c>
      <c r="C16" s="4">
        <v>2.4751009499999999E-4</v>
      </c>
    </row>
    <row r="17" spans="2:10" x14ac:dyDescent="0.45">
      <c r="B17" s="4">
        <v>21.1089373831364</v>
      </c>
      <c r="C17" s="4">
        <v>2.5056146000000001E-4</v>
      </c>
    </row>
    <row r="18" spans="2:10" x14ac:dyDescent="0.45">
      <c r="B18" s="4">
        <v>21.108956914767901</v>
      </c>
      <c r="C18" s="4">
        <v>2.9206002399999998E-4</v>
      </c>
    </row>
    <row r="19" spans="2:10" x14ac:dyDescent="0.45">
      <c r="B19" s="4">
        <v>21.1089764463993</v>
      </c>
      <c r="C19" s="4">
        <v>3.5003595900000002E-4</v>
      </c>
    </row>
    <row r="20" spans="2:10" x14ac:dyDescent="0.45">
      <c r="B20" s="4">
        <v>21.108995978030801</v>
      </c>
      <c r="C20" s="4">
        <v>2.6947992299999998E-4</v>
      </c>
    </row>
    <row r="21" spans="2:10" x14ac:dyDescent="0.45">
      <c r="B21" s="4">
        <v>21.109015509662299</v>
      </c>
      <c r="C21" s="4">
        <v>2.9999357300000001E-4</v>
      </c>
    </row>
    <row r="22" spans="2:10" x14ac:dyDescent="0.45">
      <c r="B22" s="4">
        <v>21.109035041293801</v>
      </c>
      <c r="C22" s="4">
        <v>2.6764910399999998E-4</v>
      </c>
    </row>
    <row r="23" spans="2:10" x14ac:dyDescent="0.45">
      <c r="B23" s="4">
        <v>21.109054572925299</v>
      </c>
      <c r="C23" s="4">
        <v>3.0670657599999999E-4</v>
      </c>
    </row>
    <row r="24" spans="2:10" x14ac:dyDescent="0.45">
      <c r="B24" s="4">
        <v>21.109074104556701</v>
      </c>
      <c r="C24" s="4">
        <v>2.5056146000000001E-4</v>
      </c>
      <c r="H24" s="43" t="s">
        <v>44</v>
      </c>
      <c r="I24" s="4">
        <v>21.10926942</v>
      </c>
      <c r="J24" s="3">
        <v>1.2E-2</v>
      </c>
    </row>
    <row r="25" spans="2:10" x14ac:dyDescent="0.45">
      <c r="B25" s="4">
        <v>21.109093636188199</v>
      </c>
      <c r="C25" s="4">
        <v>1.9624716300000001E-4</v>
      </c>
      <c r="H25" s="43" t="s">
        <v>45</v>
      </c>
      <c r="I25" s="4">
        <v>21.110695230000001</v>
      </c>
      <c r="J25" s="3">
        <v>5.0000000000000001E-3</v>
      </c>
    </row>
    <row r="26" spans="2:10" x14ac:dyDescent="0.45">
      <c r="B26" s="4">
        <v>21.1091131678197</v>
      </c>
      <c r="C26" s="4">
        <v>2.37135454E-4</v>
      </c>
    </row>
    <row r="27" spans="2:10" x14ac:dyDescent="0.45">
      <c r="B27" s="4">
        <v>21.109132699451202</v>
      </c>
      <c r="C27" s="4">
        <v>3.3538940700000001E-4</v>
      </c>
      <c r="H27" s="43" t="s">
        <v>43</v>
      </c>
      <c r="I27" s="44">
        <f>I25-I24</f>
        <v>1.425810000000638E-3</v>
      </c>
    </row>
    <row r="28" spans="2:10" x14ac:dyDescent="0.45">
      <c r="B28" s="4">
        <v>21.1091522310826</v>
      </c>
      <c r="C28" s="4">
        <v>3.1586067099999998E-4</v>
      </c>
    </row>
    <row r="29" spans="2:10" x14ac:dyDescent="0.45">
      <c r="B29" s="4">
        <v>21.109171762714102</v>
      </c>
      <c r="C29" s="4">
        <v>3.1036821400000001E-4</v>
      </c>
    </row>
    <row r="30" spans="2:10" x14ac:dyDescent="0.45">
      <c r="B30" s="4">
        <v>21.109191294345599</v>
      </c>
      <c r="C30" s="4">
        <v>8.5656254900000003E-4</v>
      </c>
    </row>
    <row r="31" spans="2:10" x14ac:dyDescent="0.45">
      <c r="B31" s="4">
        <v>21.109210825977101</v>
      </c>
      <c r="C31" s="4">
        <v>2.9333215679999999E-3</v>
      </c>
    </row>
    <row r="32" spans="2:10" x14ac:dyDescent="0.45">
      <c r="B32" s="4">
        <v>21.109230357608599</v>
      </c>
      <c r="C32" s="4">
        <v>6.6035033900000003E-3</v>
      </c>
    </row>
    <row r="33" spans="2:3" x14ac:dyDescent="0.45">
      <c r="B33" s="4">
        <v>21.109249889240001</v>
      </c>
      <c r="C33" s="4">
        <v>1.0894943125999999E-2</v>
      </c>
    </row>
    <row r="34" spans="2:3" x14ac:dyDescent="0.45">
      <c r="B34" s="4">
        <v>21.109269420871499</v>
      </c>
      <c r="C34" s="4">
        <v>1.1867108015000001E-2</v>
      </c>
    </row>
    <row r="35" spans="2:3" x14ac:dyDescent="0.45">
      <c r="B35" s="4">
        <v>21.109288952503</v>
      </c>
      <c r="C35" s="4">
        <v>8.3037239680000003E-3</v>
      </c>
    </row>
    <row r="36" spans="2:3" x14ac:dyDescent="0.45">
      <c r="B36" s="4">
        <v>21.109308484134498</v>
      </c>
      <c r="C36" s="4">
        <v>3.9414925639999999E-3</v>
      </c>
    </row>
    <row r="37" spans="2:3" x14ac:dyDescent="0.45">
      <c r="B37" s="4">
        <v>21.1093280157659</v>
      </c>
      <c r="C37" s="4">
        <v>7.3450794900000002E-4</v>
      </c>
    </row>
    <row r="38" spans="2:3" x14ac:dyDescent="0.45">
      <c r="B38" s="4">
        <v>21.109347547397402</v>
      </c>
      <c r="C38" s="4">
        <v>-2.3699508019999998E-3</v>
      </c>
    </row>
    <row r="39" spans="2:3" x14ac:dyDescent="0.45">
      <c r="B39" s="4">
        <v>21.1093670790289</v>
      </c>
      <c r="C39" s="4">
        <v>-4.1952773449999998E-3</v>
      </c>
    </row>
    <row r="40" spans="2:3" x14ac:dyDescent="0.45">
      <c r="B40" s="4">
        <v>21.109386610660401</v>
      </c>
      <c r="C40" s="4">
        <v>-4.7451333179999999E-3</v>
      </c>
    </row>
    <row r="41" spans="2:3" x14ac:dyDescent="0.45">
      <c r="B41" s="4">
        <v>21.1094061422918</v>
      </c>
      <c r="C41" s="4">
        <v>-4.8702392830000003E-3</v>
      </c>
    </row>
    <row r="42" spans="2:3" x14ac:dyDescent="0.45">
      <c r="B42" s="4">
        <v>21.109425673923301</v>
      </c>
      <c r="C42" s="4">
        <v>-4.3936160700000001E-3</v>
      </c>
    </row>
    <row r="43" spans="2:3" x14ac:dyDescent="0.45">
      <c r="B43" s="4">
        <v>21.109445205554799</v>
      </c>
      <c r="C43" s="4">
        <v>-3.2249432749999998E-3</v>
      </c>
    </row>
    <row r="44" spans="2:3" x14ac:dyDescent="0.45">
      <c r="B44" s="4">
        <v>21.1094647371863</v>
      </c>
      <c r="C44" s="4">
        <v>-2.747709789E-3</v>
      </c>
    </row>
    <row r="45" spans="2:3" x14ac:dyDescent="0.45">
      <c r="B45" s="4">
        <v>21.109484268817798</v>
      </c>
      <c r="C45" s="4">
        <v>-2.6262654619999999E-3</v>
      </c>
    </row>
    <row r="46" spans="2:3" x14ac:dyDescent="0.45">
      <c r="B46" s="4">
        <v>21.1095038004492</v>
      </c>
      <c r="C46" s="4">
        <v>-1.8310797430000001E-3</v>
      </c>
    </row>
    <row r="47" spans="2:3" x14ac:dyDescent="0.45">
      <c r="B47" s="4">
        <v>21.109523332080698</v>
      </c>
      <c r="C47" s="4">
        <v>-1.479562495E-3</v>
      </c>
    </row>
    <row r="48" spans="2:3" x14ac:dyDescent="0.45">
      <c r="B48" s="4">
        <v>21.1095428637122</v>
      </c>
      <c r="C48" s="4">
        <v>-9.3031679500000001E-4</v>
      </c>
    </row>
    <row r="49" spans="2:3" x14ac:dyDescent="0.45">
      <c r="B49" s="4">
        <v>21.109562395343701</v>
      </c>
      <c r="C49" s="4">
        <v>-8.8698741199999998E-4</v>
      </c>
    </row>
    <row r="50" spans="2:3" x14ac:dyDescent="0.45">
      <c r="B50" s="4">
        <v>21.1095819269751</v>
      </c>
      <c r="C50" s="4">
        <v>-6.4104739300000001E-4</v>
      </c>
    </row>
    <row r="51" spans="2:3" x14ac:dyDescent="0.45">
      <c r="B51" s="4">
        <v>21.109601458606601</v>
      </c>
      <c r="C51" s="4">
        <v>-8.8332577399999996E-4</v>
      </c>
    </row>
    <row r="52" spans="2:3" x14ac:dyDescent="0.45">
      <c r="B52" s="4">
        <v>21.109620990238099</v>
      </c>
      <c r="C52" s="4">
        <v>-6.9047950599999996E-4</v>
      </c>
    </row>
    <row r="53" spans="2:3" x14ac:dyDescent="0.45">
      <c r="B53" s="4">
        <v>21.109640521869601</v>
      </c>
      <c r="C53" s="4">
        <v>-6.75832954E-4</v>
      </c>
    </row>
    <row r="54" spans="2:3" x14ac:dyDescent="0.45">
      <c r="B54" s="4">
        <v>21.109660053500999</v>
      </c>
      <c r="C54" s="4">
        <v>-5.7391736300000003E-4</v>
      </c>
    </row>
    <row r="55" spans="2:3" x14ac:dyDescent="0.45">
      <c r="B55" s="4">
        <v>21.109679585132501</v>
      </c>
      <c r="C55" s="4">
        <v>-4.36605938E-4</v>
      </c>
    </row>
    <row r="56" spans="2:3" x14ac:dyDescent="0.45">
      <c r="B56" s="4">
        <v>21.109699116763998</v>
      </c>
      <c r="C56" s="4">
        <v>-3.0783833500000002E-4</v>
      </c>
    </row>
    <row r="57" spans="2:3" x14ac:dyDescent="0.45">
      <c r="B57" s="4">
        <v>21.1097186483955</v>
      </c>
      <c r="C57" s="4">
        <v>-1.5221871999999999E-4</v>
      </c>
    </row>
    <row r="58" spans="2:3" x14ac:dyDescent="0.45">
      <c r="B58" s="4">
        <v>21.109738180027001</v>
      </c>
      <c r="C58" s="4">
        <v>-1.47946809E-4</v>
      </c>
    </row>
    <row r="59" spans="2:3" x14ac:dyDescent="0.45">
      <c r="B59" s="4">
        <v>21.1097577116584</v>
      </c>
      <c r="C59" s="42">
        <v>-1.49072949999999E-5</v>
      </c>
    </row>
    <row r="60" spans="2:3" x14ac:dyDescent="0.45">
      <c r="B60" s="4">
        <v>21.109777243289901</v>
      </c>
      <c r="C60" s="42">
        <v>4.0111680000001404E-6</v>
      </c>
    </row>
    <row r="61" spans="2:3" x14ac:dyDescent="0.45">
      <c r="B61" s="4">
        <v>21.109796774921399</v>
      </c>
      <c r="C61" s="42">
        <v>4.9171369999999999E-5</v>
      </c>
    </row>
    <row r="62" spans="2:3" x14ac:dyDescent="0.45">
      <c r="B62" s="4">
        <v>21.109816306552901</v>
      </c>
      <c r="C62" s="42">
        <v>1.9878266000000301E-5</v>
      </c>
    </row>
    <row r="63" spans="2:3" x14ac:dyDescent="0.45">
      <c r="B63" s="4">
        <v>21.109835838184299</v>
      </c>
      <c r="C63" s="42">
        <v>2.29296310000002E-5</v>
      </c>
    </row>
    <row r="64" spans="2:3" x14ac:dyDescent="0.45">
      <c r="B64" s="4">
        <v>21.109855369815801</v>
      </c>
      <c r="C64" s="42">
        <v>7.0530925000000306E-5</v>
      </c>
    </row>
    <row r="65" spans="2:3" x14ac:dyDescent="0.45">
      <c r="B65" s="4">
        <v>21.109874901447299</v>
      </c>
      <c r="C65" s="42">
        <v>-4.6641490999999803E-5</v>
      </c>
    </row>
    <row r="66" spans="2:3" x14ac:dyDescent="0.45">
      <c r="B66" s="4">
        <v>21.1098944330788</v>
      </c>
      <c r="C66" s="42">
        <v>6.9310379000000206E-5</v>
      </c>
    </row>
    <row r="67" spans="2:3" x14ac:dyDescent="0.45">
      <c r="B67" s="4">
        <v>21.109913964710302</v>
      </c>
      <c r="C67" s="4">
        <v>1.08367851E-4</v>
      </c>
    </row>
    <row r="68" spans="2:3" x14ac:dyDescent="0.45">
      <c r="B68" s="4">
        <v>21.1099334963417</v>
      </c>
      <c r="C68" s="42">
        <v>8.4567204000000302E-5</v>
      </c>
    </row>
    <row r="69" spans="2:3" x14ac:dyDescent="0.45">
      <c r="B69" s="4">
        <v>21.109953027973202</v>
      </c>
      <c r="C69" s="42">
        <v>9.8603483000000297E-5</v>
      </c>
    </row>
    <row r="70" spans="2:3" x14ac:dyDescent="0.45">
      <c r="B70" s="4">
        <v>21.109972559604699</v>
      </c>
      <c r="C70" s="4">
        <v>2.0540125799999999E-4</v>
      </c>
    </row>
    <row r="71" spans="2:3" x14ac:dyDescent="0.45">
      <c r="B71" s="4">
        <v>21.109992091236201</v>
      </c>
      <c r="C71" s="4">
        <v>1.0409594E-4</v>
      </c>
    </row>
    <row r="72" spans="2:3" x14ac:dyDescent="0.45">
      <c r="B72" s="4">
        <v>21.110011622867599</v>
      </c>
      <c r="C72" s="4">
        <v>1.3155822500000001E-4</v>
      </c>
    </row>
    <row r="73" spans="2:3" x14ac:dyDescent="0.45">
      <c r="B73" s="4">
        <v>21.110031154499101</v>
      </c>
      <c r="C73" s="4">
        <v>1.8526224900000001E-4</v>
      </c>
    </row>
    <row r="74" spans="2:3" x14ac:dyDescent="0.45">
      <c r="B74" s="4">
        <v>21.110050686130599</v>
      </c>
      <c r="C74" s="4">
        <v>1.6329242099999999E-4</v>
      </c>
    </row>
    <row r="75" spans="2:3" x14ac:dyDescent="0.45">
      <c r="B75" s="4">
        <v>21.1100702177621</v>
      </c>
      <c r="C75" s="4">
        <v>1.5902051E-4</v>
      </c>
    </row>
    <row r="76" spans="2:3" x14ac:dyDescent="0.45">
      <c r="B76" s="4">
        <v>21.110089749393499</v>
      </c>
      <c r="C76" s="4">
        <v>2.0479098499999999E-4</v>
      </c>
    </row>
    <row r="77" spans="2:3" x14ac:dyDescent="0.45">
      <c r="B77" s="4">
        <v>21.110109281025</v>
      </c>
      <c r="C77" s="4">
        <v>2.6337719300000001E-4</v>
      </c>
    </row>
    <row r="78" spans="2:3" x14ac:dyDescent="0.45">
      <c r="B78" s="4">
        <v>21.110128812656502</v>
      </c>
      <c r="C78" s="4">
        <v>2.9206002399999998E-4</v>
      </c>
    </row>
    <row r="79" spans="2:3" x14ac:dyDescent="0.45">
      <c r="B79" s="4">
        <v>21.110148344288</v>
      </c>
      <c r="C79" s="4">
        <v>1.4254313900000001E-4</v>
      </c>
    </row>
    <row r="80" spans="2:3" x14ac:dyDescent="0.45">
      <c r="B80" s="4">
        <v>21.110167875919501</v>
      </c>
      <c r="C80" s="4">
        <v>2.0173962E-4</v>
      </c>
    </row>
    <row r="81" spans="2:3" x14ac:dyDescent="0.45">
      <c r="B81" s="4">
        <v>21.1101874075509</v>
      </c>
      <c r="C81" s="4">
        <v>2.4628954899999999E-4</v>
      </c>
    </row>
    <row r="82" spans="2:3" x14ac:dyDescent="0.45">
      <c r="B82" s="4">
        <v>21.110206939182401</v>
      </c>
      <c r="C82" s="4">
        <v>2.3408408899999999E-4</v>
      </c>
    </row>
    <row r="83" spans="2:3" x14ac:dyDescent="0.45">
      <c r="B83" s="4">
        <v>21.110226470813899</v>
      </c>
      <c r="C83" s="4">
        <v>2.0967316900000001E-4</v>
      </c>
    </row>
    <row r="84" spans="2:3" x14ac:dyDescent="0.45">
      <c r="B84" s="4">
        <v>21.1102460024454</v>
      </c>
      <c r="C84" s="4">
        <v>2.42627911E-4</v>
      </c>
    </row>
    <row r="85" spans="2:3" x14ac:dyDescent="0.45">
      <c r="B85" s="4">
        <v>21.110265534076799</v>
      </c>
      <c r="C85" s="4">
        <v>2.3225327000000001E-4</v>
      </c>
    </row>
    <row r="86" spans="2:3" x14ac:dyDescent="0.45">
      <c r="B86" s="4">
        <v>21.1102850657083</v>
      </c>
      <c r="C86" s="4">
        <v>2.0845262300000001E-4</v>
      </c>
    </row>
    <row r="87" spans="2:3" x14ac:dyDescent="0.45">
      <c r="B87" s="4">
        <v>21.110304597339798</v>
      </c>
      <c r="C87" s="4">
        <v>2.7436210700000001E-4</v>
      </c>
    </row>
    <row r="88" spans="2:3" x14ac:dyDescent="0.45">
      <c r="B88" s="4">
        <v>21.1103241289713</v>
      </c>
      <c r="C88" s="4">
        <v>2.9144975099999997E-4</v>
      </c>
    </row>
    <row r="89" spans="2:3" x14ac:dyDescent="0.45">
      <c r="B89" s="4">
        <v>21.110343660602702</v>
      </c>
      <c r="C89" s="4">
        <v>1.4315341200000001E-4</v>
      </c>
    </row>
    <row r="90" spans="2:3" x14ac:dyDescent="0.45">
      <c r="B90" s="4">
        <v>21.1103631922342</v>
      </c>
      <c r="C90" s="4">
        <v>2.5361282500000002E-4</v>
      </c>
    </row>
    <row r="91" spans="2:3" x14ac:dyDescent="0.45">
      <c r="B91" s="4">
        <v>21.110382723865701</v>
      </c>
      <c r="C91" s="4">
        <v>2.3896627300000001E-4</v>
      </c>
    </row>
    <row r="92" spans="2:3" x14ac:dyDescent="0.45">
      <c r="B92" s="4">
        <v>21.110402255497199</v>
      </c>
      <c r="C92" s="4">
        <v>2.4689982199999999E-4</v>
      </c>
    </row>
    <row r="93" spans="2:3" x14ac:dyDescent="0.45">
      <c r="B93" s="4">
        <v>21.110421787128701</v>
      </c>
      <c r="C93" s="4">
        <v>1.9380607099999999E-4</v>
      </c>
    </row>
    <row r="94" spans="2:3" x14ac:dyDescent="0.45">
      <c r="B94" s="4">
        <v>21.110441318760099</v>
      </c>
      <c r="C94" s="4">
        <v>2.2737108600000001E-4</v>
      </c>
    </row>
    <row r="95" spans="2:3" x14ac:dyDescent="0.45">
      <c r="B95" s="4">
        <v>21.1104608503916</v>
      </c>
      <c r="C95" s="4">
        <v>2.3896627300000001E-4</v>
      </c>
    </row>
    <row r="96" spans="2:3" x14ac:dyDescent="0.45">
      <c r="B96" s="4">
        <v>21.110480382023098</v>
      </c>
      <c r="C96" s="4">
        <v>2.84736748E-4</v>
      </c>
    </row>
    <row r="97" spans="2:3" x14ac:dyDescent="0.45">
      <c r="B97" s="4">
        <v>21.1104999136546</v>
      </c>
      <c r="C97" s="4">
        <v>1.52307507E-4</v>
      </c>
    </row>
    <row r="98" spans="2:3" x14ac:dyDescent="0.45">
      <c r="B98" s="4">
        <v>21.110519445285998</v>
      </c>
      <c r="C98" s="4">
        <v>2.2309917499999999E-4</v>
      </c>
    </row>
    <row r="99" spans="2:3" x14ac:dyDescent="0.45">
      <c r="B99" s="4">
        <v>21.1105389769175</v>
      </c>
      <c r="C99" s="4">
        <v>2.00519074E-4</v>
      </c>
    </row>
    <row r="100" spans="2:3" x14ac:dyDescent="0.45">
      <c r="B100" s="4">
        <v>21.110558508549001</v>
      </c>
      <c r="C100" s="4">
        <v>2.5300255200000002E-4</v>
      </c>
    </row>
    <row r="101" spans="2:3" x14ac:dyDescent="0.45">
      <c r="B101" s="4">
        <v>21.110578040180499</v>
      </c>
      <c r="C101" s="4">
        <v>1.3888150099999999E-4</v>
      </c>
    </row>
    <row r="102" spans="2:3" x14ac:dyDescent="0.45">
      <c r="B102" s="4">
        <v>21.110597571812001</v>
      </c>
      <c r="C102" s="4">
        <v>2.48120368E-4</v>
      </c>
    </row>
    <row r="103" spans="2:3" x14ac:dyDescent="0.45">
      <c r="B103" s="4">
        <v>21.110617103443399</v>
      </c>
      <c r="C103" s="4">
        <v>1.2545549500000001E-4</v>
      </c>
    </row>
    <row r="104" spans="2:3" x14ac:dyDescent="0.45">
      <c r="B104" s="4">
        <v>21.110636635074901</v>
      </c>
      <c r="C104" s="4">
        <v>3.3722022600000002E-4</v>
      </c>
    </row>
    <row r="105" spans="2:3" x14ac:dyDescent="0.45">
      <c r="B105" s="4">
        <v>21.110656166706399</v>
      </c>
      <c r="C105" s="42">
        <v>6.1376830000000305E-5</v>
      </c>
    </row>
    <row r="106" spans="2:3" x14ac:dyDescent="0.45">
      <c r="B106" s="4">
        <v>21.1106756983379</v>
      </c>
      <c r="C106" s="4">
        <v>1.073819737E-3</v>
      </c>
    </row>
    <row r="107" spans="2:3" x14ac:dyDescent="0.45">
      <c r="B107" s="4">
        <v>21.110695229969298</v>
      </c>
      <c r="C107" s="4">
        <v>4.8154035E-3</v>
      </c>
    </row>
    <row r="108" spans="2:3" x14ac:dyDescent="0.45">
      <c r="B108" s="4">
        <v>21.1107147616008</v>
      </c>
      <c r="C108" s="4">
        <v>5.1260324570000003E-3</v>
      </c>
    </row>
    <row r="109" spans="2:3" x14ac:dyDescent="0.45">
      <c r="B109" s="4">
        <v>21.110734293232301</v>
      </c>
      <c r="C109" s="4">
        <v>3.5063679150000001E-3</v>
      </c>
    </row>
    <row r="110" spans="2:3" x14ac:dyDescent="0.45">
      <c r="B110" s="4">
        <v>21.110753824863799</v>
      </c>
      <c r="C110" s="4">
        <v>7.5769832300000002E-4</v>
      </c>
    </row>
    <row r="111" spans="2:3" x14ac:dyDescent="0.45">
      <c r="B111" s="4">
        <v>21.110773356495201</v>
      </c>
      <c r="C111" s="4">
        <v>-1.5064145069999999E-3</v>
      </c>
    </row>
    <row r="112" spans="2:3" x14ac:dyDescent="0.45">
      <c r="B112" s="4">
        <v>21.110792888126699</v>
      </c>
      <c r="C112" s="4">
        <v>-7.6005062799999995E-4</v>
      </c>
    </row>
    <row r="113" spans="2:3" x14ac:dyDescent="0.45">
      <c r="B113" s="4">
        <v>21.110812419758201</v>
      </c>
      <c r="C113" s="4">
        <v>1.0958839699999999E-4</v>
      </c>
    </row>
    <row r="114" spans="2:3" x14ac:dyDescent="0.45">
      <c r="B114" s="4">
        <v>21.110831951389699</v>
      </c>
      <c r="C114" s="4">
        <v>3.1525039799999997E-4</v>
      </c>
    </row>
    <row r="115" spans="2:3" x14ac:dyDescent="0.45">
      <c r="B115" s="4">
        <v>21.1108514830212</v>
      </c>
      <c r="C115" s="42">
        <v>8.4567204000000302E-5</v>
      </c>
    </row>
    <row r="116" spans="2:3" x14ac:dyDescent="0.45">
      <c r="B116" s="4">
        <v>21.110871014652599</v>
      </c>
      <c r="C116" s="4">
        <v>-1.89445373E-4</v>
      </c>
    </row>
    <row r="117" spans="2:3" x14ac:dyDescent="0.45">
      <c r="B117" s="4">
        <v>21.1108905462841</v>
      </c>
      <c r="C117" s="4">
        <v>-3.8290191399999998E-4</v>
      </c>
    </row>
    <row r="118" spans="2:3" x14ac:dyDescent="0.45">
      <c r="B118" s="4">
        <v>21.110910077915602</v>
      </c>
      <c r="C118" s="4">
        <v>-7.1855206399999998E-4</v>
      </c>
    </row>
    <row r="119" spans="2:3" x14ac:dyDescent="0.45">
      <c r="B119" s="4">
        <v>21.1109296095471</v>
      </c>
      <c r="C119" s="4">
        <v>4.7025974000000002E-4</v>
      </c>
    </row>
    <row r="120" spans="2:3" x14ac:dyDescent="0.45">
      <c r="B120" s="4">
        <v>21.110949141178502</v>
      </c>
      <c r="C120" s="4">
        <v>-7.60660901E-4</v>
      </c>
    </row>
    <row r="121" spans="2:3" x14ac:dyDescent="0.45">
      <c r="B121" s="4">
        <v>21.110968672809999</v>
      </c>
      <c r="C121" s="4">
        <v>-5.0556678700000004E-4</v>
      </c>
    </row>
    <row r="122" spans="2:3" x14ac:dyDescent="0.45">
      <c r="B122" s="4">
        <v>21.110988204441501</v>
      </c>
      <c r="C122" s="4">
        <v>-7.2648561299999996E-4</v>
      </c>
    </row>
    <row r="123" spans="2:3" x14ac:dyDescent="0.45">
      <c r="B123" s="4">
        <v>21.111007736072999</v>
      </c>
      <c r="C123" s="4">
        <v>-7.49065714E-4</v>
      </c>
    </row>
    <row r="124" spans="2:3" x14ac:dyDescent="0.45">
      <c r="B124" s="4">
        <v>21.111027267704401</v>
      </c>
      <c r="C124" s="4">
        <v>-6.1419538099999999E-4</v>
      </c>
    </row>
    <row r="125" spans="2:3" x14ac:dyDescent="0.45">
      <c r="B125" s="4">
        <v>21.111046799335899</v>
      </c>
      <c r="C125" s="4">
        <v>-3.3652116599999999E-4</v>
      </c>
    </row>
    <row r="126" spans="2:3" x14ac:dyDescent="0.45">
      <c r="B126" s="4">
        <v>21.1110663309674</v>
      </c>
      <c r="C126" s="4">
        <v>-3.3285952800000002E-4</v>
      </c>
    </row>
    <row r="127" spans="2:3" x14ac:dyDescent="0.45">
      <c r="B127" s="4">
        <v>21.111085862598902</v>
      </c>
      <c r="C127" s="4">
        <v>-1.6320363399999999E-4</v>
      </c>
    </row>
    <row r="128" spans="2:3" x14ac:dyDescent="0.45">
      <c r="B128" s="4">
        <v>21.1111053942304</v>
      </c>
      <c r="C128" s="4">
        <v>-1.34520803E-4</v>
      </c>
    </row>
    <row r="129" spans="2:3" x14ac:dyDescent="0.45">
      <c r="B129" s="4">
        <v>21.111124925861802</v>
      </c>
      <c r="C129" s="42">
        <v>1.1944716999999999E-5</v>
      </c>
    </row>
    <row r="130" spans="2:3" x14ac:dyDescent="0.45">
      <c r="B130" s="4">
        <v>21.1111444574933</v>
      </c>
      <c r="C130" s="4">
        <v>1.01044575E-4</v>
      </c>
    </row>
    <row r="131" spans="2:3" x14ac:dyDescent="0.45">
      <c r="B131" s="4">
        <v>21.111163989124801</v>
      </c>
      <c r="C131" s="4">
        <v>1.7244651600000001E-4</v>
      </c>
    </row>
    <row r="132" spans="2:3" x14ac:dyDescent="0.45">
      <c r="B132" s="4">
        <v>21.111183520756299</v>
      </c>
      <c r="C132" s="4">
        <v>-1.14381794E-4</v>
      </c>
    </row>
    <row r="133" spans="2:3" x14ac:dyDescent="0.45">
      <c r="B133" s="4">
        <v>21.111203052387701</v>
      </c>
      <c r="C133" s="4">
        <v>1.8953416E-4</v>
      </c>
    </row>
    <row r="134" spans="2:3" x14ac:dyDescent="0.45">
      <c r="B134" s="4">
        <v>21.111222584019199</v>
      </c>
      <c r="C134" s="4">
        <v>-1.3207971100000001E-4</v>
      </c>
    </row>
    <row r="135" spans="2:3" x14ac:dyDescent="0.45">
      <c r="B135" s="4">
        <v>21.1112421156507</v>
      </c>
      <c r="C135" s="4">
        <v>3.9946807199999997E-4</v>
      </c>
    </row>
    <row r="136" spans="2:3" x14ac:dyDescent="0.45">
      <c r="B136" s="4">
        <v>21.111261647282198</v>
      </c>
      <c r="C136" s="42">
        <v>1.6826900999999999E-5</v>
      </c>
    </row>
    <row r="137" spans="2:3" x14ac:dyDescent="0.45">
      <c r="B137" s="4">
        <v>21.1112811789137</v>
      </c>
      <c r="C137" s="4">
        <v>3.9946807199999997E-4</v>
      </c>
    </row>
    <row r="138" spans="2:3" x14ac:dyDescent="0.45">
      <c r="B138" s="4">
        <v>21.111300710545098</v>
      </c>
      <c r="C138" s="4">
        <v>-3.86563552E-4</v>
      </c>
    </row>
    <row r="139" spans="2:3" x14ac:dyDescent="0.45">
      <c r="B139" s="4">
        <v>21.1113202421766</v>
      </c>
      <c r="C139" s="4">
        <v>2.9845844999999999E-3</v>
      </c>
    </row>
    <row r="140" spans="2:3" x14ac:dyDescent="0.45">
      <c r="B140" s="4">
        <v>21.111339773808101</v>
      </c>
      <c r="C140" s="4">
        <v>2.7001972819999998E-3</v>
      </c>
    </row>
    <row r="141" spans="2:3" x14ac:dyDescent="0.45">
      <c r="B141" s="4">
        <v>21.111359305439599</v>
      </c>
      <c r="C141" s="4">
        <v>1.3045029310000001E-3</v>
      </c>
    </row>
    <row r="142" spans="2:3" x14ac:dyDescent="0.45">
      <c r="B142" s="4">
        <v>21.111378837071001</v>
      </c>
      <c r="C142" s="4">
        <v>1.53528053E-4</v>
      </c>
    </row>
    <row r="143" spans="2:3" x14ac:dyDescent="0.45">
      <c r="B143" s="4">
        <v>21.111398368702499</v>
      </c>
      <c r="C143" s="4">
        <v>2.7619292600000001E-4</v>
      </c>
    </row>
    <row r="144" spans="2:3" x14ac:dyDescent="0.45">
      <c r="B144" s="4">
        <v>21.111417900334001</v>
      </c>
      <c r="C144" s="4">
        <v>1.494297834E-3</v>
      </c>
    </row>
    <row r="145" spans="2:3" x14ac:dyDescent="0.45">
      <c r="B145" s="4">
        <v>21.111437431965498</v>
      </c>
      <c r="C145" s="4">
        <v>1.591331241E-3</v>
      </c>
    </row>
    <row r="146" spans="2:3" x14ac:dyDescent="0.45">
      <c r="B146" s="4">
        <v>21.1114569635969</v>
      </c>
      <c r="C146" s="4">
        <v>1.094569019E-3</v>
      </c>
    </row>
    <row r="147" spans="2:3" x14ac:dyDescent="0.45">
      <c r="B147" s="4">
        <v>21.111476495228398</v>
      </c>
      <c r="C147" s="4">
        <v>1.2111311620000001E-3</v>
      </c>
    </row>
    <row r="148" spans="2:3" x14ac:dyDescent="0.45">
      <c r="B148" s="4">
        <v>21.1114960268599</v>
      </c>
      <c r="C148" s="4">
        <v>5.4776441100000005E-4</v>
      </c>
    </row>
    <row r="149" spans="2:3" x14ac:dyDescent="0.45">
      <c r="B149" s="4">
        <v>21.111515558491401</v>
      </c>
      <c r="C149" s="4">
        <v>1.2587324559999999E-3</v>
      </c>
    </row>
    <row r="150" spans="2:3" x14ac:dyDescent="0.45">
      <c r="B150" s="4">
        <v>21.111535090122899</v>
      </c>
      <c r="C150" s="4">
        <v>-6.0504128600000001E-4</v>
      </c>
    </row>
    <row r="151" spans="2:3" x14ac:dyDescent="0.45">
      <c r="B151" s="4">
        <v>21.111554621754301</v>
      </c>
      <c r="C151" s="4">
        <v>-5.1350033600000003E-4</v>
      </c>
    </row>
    <row r="152" spans="2:3" x14ac:dyDescent="0.45">
      <c r="B152" s="4">
        <v>21.111574153385799</v>
      </c>
      <c r="C152" s="4">
        <v>-1.2177553780000001E-3</v>
      </c>
    </row>
    <row r="153" spans="2:3" x14ac:dyDescent="0.45">
      <c r="B153" s="4">
        <v>21.111593685017301</v>
      </c>
      <c r="C153" s="4">
        <v>-1.3038038710000001E-3</v>
      </c>
    </row>
    <row r="154" spans="2:3" x14ac:dyDescent="0.45">
      <c r="B154" s="4">
        <v>21.111613216648799</v>
      </c>
      <c r="C154" s="4">
        <v>-3.9144573600000002E-4</v>
      </c>
    </row>
    <row r="155" spans="2:3" x14ac:dyDescent="0.45">
      <c r="B155" s="4">
        <v>21.111632748280201</v>
      </c>
      <c r="C155" s="4">
        <v>-1.033452932E-3</v>
      </c>
    </row>
    <row r="156" spans="2:3" x14ac:dyDescent="0.45">
      <c r="B156" s="4">
        <v>21.111652279911699</v>
      </c>
      <c r="C156" s="4">
        <v>-2.26061753E-4</v>
      </c>
    </row>
    <row r="157" spans="2:3" x14ac:dyDescent="0.45">
      <c r="B157" s="4">
        <v>21.1116718115432</v>
      </c>
      <c r="C157" s="4">
        <v>-8.4487857499999995E-4</v>
      </c>
    </row>
    <row r="158" spans="2:3" x14ac:dyDescent="0.45">
      <c r="B158" s="4">
        <v>21.111691343174702</v>
      </c>
      <c r="C158" s="4">
        <v>-1.3391052999999999E-4</v>
      </c>
    </row>
    <row r="159" spans="2:3" x14ac:dyDescent="0.45">
      <c r="B159" s="4">
        <v>21.111710874806199</v>
      </c>
      <c r="C159" s="4">
        <v>-2.4009803200000001E-4</v>
      </c>
    </row>
    <row r="160" spans="2:3" x14ac:dyDescent="0.45">
      <c r="B160" s="4">
        <v>21.111730406437601</v>
      </c>
      <c r="C160" s="4">
        <v>-1.6137281500000001E-4</v>
      </c>
    </row>
    <row r="161" spans="2:3" x14ac:dyDescent="0.45">
      <c r="B161" s="4">
        <v>21.111749938069099</v>
      </c>
      <c r="C161" s="4">
        <v>-2.54744584E-4</v>
      </c>
    </row>
    <row r="162" spans="2:3" x14ac:dyDescent="0.45">
      <c r="B162" s="4">
        <v>21.111769469700601</v>
      </c>
      <c r="C162" s="42">
        <v>-2.8943573999999899E-5</v>
      </c>
    </row>
    <row r="163" spans="2:3" x14ac:dyDescent="0.45">
      <c r="B163" s="4">
        <v>21.111789001332099</v>
      </c>
      <c r="C163" s="4">
        <v>-2.2240011500000001E-4</v>
      </c>
    </row>
    <row r="164" spans="2:3" x14ac:dyDescent="0.45">
      <c r="B164" s="4">
        <v>21.111808532963501</v>
      </c>
      <c r="C164" s="4">
        <v>4.8734738399999999E-4</v>
      </c>
    </row>
    <row r="165" spans="2:3" x14ac:dyDescent="0.45">
      <c r="B165" s="4">
        <v>21.111828064594999</v>
      </c>
      <c r="C165" s="4">
        <v>7.6746269099999995E-4</v>
      </c>
    </row>
    <row r="166" spans="2:3" x14ac:dyDescent="0.45">
      <c r="B166" s="4">
        <v>21.1118475962265</v>
      </c>
      <c r="C166" s="4">
        <v>8.7792210399999997E-4</v>
      </c>
    </row>
    <row r="167" spans="2:3" x14ac:dyDescent="0.45">
      <c r="B167" s="4">
        <v>21.111867127858002</v>
      </c>
      <c r="C167" s="4">
        <v>7.2596412699999998E-4</v>
      </c>
    </row>
    <row r="168" spans="2:3" x14ac:dyDescent="0.45">
      <c r="B168" s="4">
        <v>21.1118866594894</v>
      </c>
      <c r="C168" s="4">
        <v>1.58410237E-4</v>
      </c>
    </row>
    <row r="169" spans="2:3" x14ac:dyDescent="0.45">
      <c r="B169" s="4">
        <v>21.111906191120902</v>
      </c>
      <c r="C169" s="42">
        <v>8.5177477000000304E-5</v>
      </c>
    </row>
    <row r="170" spans="2:3" x14ac:dyDescent="0.45">
      <c r="B170" s="4">
        <v>21.1119257227524</v>
      </c>
      <c r="C170" s="4">
        <v>-1.7540909399999999E-4</v>
      </c>
    </row>
    <row r="171" spans="2:3" x14ac:dyDescent="0.45">
      <c r="B171" s="4">
        <v>21.111945254383901</v>
      </c>
      <c r="C171" s="4">
        <v>1.0043430199999999E-4</v>
      </c>
    </row>
    <row r="172" spans="2:3" x14ac:dyDescent="0.45">
      <c r="B172" s="4">
        <v>21.111964786015399</v>
      </c>
      <c r="C172" s="42">
        <v>-3.01641199999996E-5</v>
      </c>
    </row>
    <row r="173" spans="2:3" x14ac:dyDescent="0.45">
      <c r="B173" s="4">
        <v>21.111984317646801</v>
      </c>
      <c r="C173" s="4">
        <v>-1.7418854800000001E-4</v>
      </c>
    </row>
    <row r="174" spans="2:3" x14ac:dyDescent="0.45">
      <c r="B174" s="4">
        <v>21.112003849278299</v>
      </c>
      <c r="C174" s="4">
        <v>-1.11940702E-4</v>
      </c>
    </row>
    <row r="175" spans="2:3" x14ac:dyDescent="0.45">
      <c r="B175" s="4">
        <v>21.1120233809098</v>
      </c>
      <c r="C175" s="4">
        <v>2.5849500899999999E-4</v>
      </c>
    </row>
    <row r="176" spans="2:3" x14ac:dyDescent="0.45">
      <c r="B176" s="4">
        <v>21.112042912541298</v>
      </c>
      <c r="C176" s="42">
        <v>-4.9082582999999597E-5</v>
      </c>
    </row>
    <row r="177" spans="2:3" x14ac:dyDescent="0.45">
      <c r="B177" s="4">
        <v>21.1120624441727</v>
      </c>
      <c r="C177" s="4">
        <v>3.7993933599999999E-4</v>
      </c>
    </row>
    <row r="178" spans="2:3" x14ac:dyDescent="0.45">
      <c r="B178" s="4">
        <v>21.112081975804202</v>
      </c>
      <c r="C178" s="42">
        <v>-4.1149033999999697E-5</v>
      </c>
    </row>
    <row r="179" spans="2:3" x14ac:dyDescent="0.45">
      <c r="B179" s="4">
        <v>21.1121015074357</v>
      </c>
      <c r="C179" s="4">
        <v>4.7148028599999997E-4</v>
      </c>
    </row>
    <row r="180" spans="2:3" x14ac:dyDescent="0.45">
      <c r="B180" s="4">
        <v>21.112121039067201</v>
      </c>
      <c r="C180" s="4">
        <v>2.36525181E-4</v>
      </c>
    </row>
    <row r="181" spans="2:3" x14ac:dyDescent="0.45">
      <c r="B181" s="4">
        <v>21.1121405706986</v>
      </c>
      <c r="C181" s="4">
        <v>1.64512967E-4</v>
      </c>
    </row>
    <row r="182" spans="2:3" x14ac:dyDescent="0.45">
      <c r="B182" s="4">
        <v>21.112160102330101</v>
      </c>
      <c r="C182" s="42">
        <v>-4.5326539999997898E-6</v>
      </c>
    </row>
    <row r="183" spans="2:3" x14ac:dyDescent="0.45">
      <c r="B183" s="4">
        <v>21.112179633961599</v>
      </c>
      <c r="C183" s="4">
        <v>1.399095246E-3</v>
      </c>
    </row>
    <row r="184" spans="2:3" x14ac:dyDescent="0.45">
      <c r="B184" s="4">
        <v>21.112199165593101</v>
      </c>
      <c r="C184" s="4">
        <v>9.2674394399999997E-4</v>
      </c>
    </row>
    <row r="185" spans="2:3" x14ac:dyDescent="0.45">
      <c r="B185" s="4">
        <v>21.112218697224598</v>
      </c>
      <c r="C185" s="4">
        <v>1.024387624E-3</v>
      </c>
    </row>
    <row r="186" spans="2:3" x14ac:dyDescent="0.45">
      <c r="B186" s="4">
        <v>21.112238228856</v>
      </c>
      <c r="C186" s="4">
        <v>-2.5230349199999999E-4</v>
      </c>
    </row>
    <row r="187" spans="2:3" x14ac:dyDescent="0.45">
      <c r="B187" s="4">
        <v>21.112257760487498</v>
      </c>
      <c r="C187" s="4">
        <v>2.9450111599999999E-4</v>
      </c>
    </row>
    <row r="188" spans="2:3" x14ac:dyDescent="0.45">
      <c r="B188" s="4">
        <v>21.112277292119</v>
      </c>
      <c r="C188" s="4">
        <v>-1.9188646500000001E-4</v>
      </c>
    </row>
    <row r="189" spans="2:3" x14ac:dyDescent="0.45">
      <c r="B189" s="4">
        <v>21.112296823750501</v>
      </c>
      <c r="C189" s="42">
        <v>-2.7723027999999799E-5</v>
      </c>
    </row>
    <row r="190" spans="2:3" x14ac:dyDescent="0.45">
      <c r="B190" s="4">
        <v>21.1123163553819</v>
      </c>
      <c r="C190" s="42">
        <v>6.8700106000000094E-5</v>
      </c>
    </row>
    <row r="191" spans="2:3" x14ac:dyDescent="0.45">
      <c r="B191" s="4">
        <v>21.112335887013401</v>
      </c>
      <c r="C191" s="42">
        <v>-2.7723027999999799E-5</v>
      </c>
    </row>
    <row r="192" spans="2:3" x14ac:dyDescent="0.45">
      <c r="B192" s="4">
        <v>21.112355418644899</v>
      </c>
      <c r="C192" s="4">
        <v>2.4445872999999998E-4</v>
      </c>
    </row>
    <row r="193" spans="2:3" x14ac:dyDescent="0.45">
      <c r="B193" s="4">
        <v>21.112374950276401</v>
      </c>
      <c r="C193" s="4">
        <v>-1.0400715299999999E-4</v>
      </c>
    </row>
    <row r="194" spans="2:3" x14ac:dyDescent="0.45">
      <c r="B194" s="4">
        <v>21.112394481907899</v>
      </c>
      <c r="C194" s="4">
        <v>1.2118358400000001E-4</v>
      </c>
    </row>
    <row r="195" spans="2:3" x14ac:dyDescent="0.45">
      <c r="B195" s="4">
        <v>21.112414013539301</v>
      </c>
      <c r="C195" s="42">
        <v>-6.8001045999999601E-5</v>
      </c>
    </row>
    <row r="196" spans="2:3" x14ac:dyDescent="0.45">
      <c r="B196" s="4">
        <v>21.112433545170799</v>
      </c>
      <c r="C196" s="4">
        <v>1.1019867E-4</v>
      </c>
    </row>
    <row r="197" spans="2:3" x14ac:dyDescent="0.45">
      <c r="B197" s="4">
        <v>21.1124530768023</v>
      </c>
      <c r="C197" s="42">
        <v>-2.9553847E-5</v>
      </c>
    </row>
    <row r="198" spans="2:3" x14ac:dyDescent="0.45">
      <c r="B198" s="4">
        <v>21.112472608433801</v>
      </c>
      <c r="C198" s="42">
        <v>-1.49072949999999E-5</v>
      </c>
    </row>
    <row r="199" spans="2:3" x14ac:dyDescent="0.45">
      <c r="B199" s="4">
        <v>21.1124921400652</v>
      </c>
      <c r="C199" s="42">
        <v>-7.58401899999964E-6</v>
      </c>
    </row>
    <row r="200" spans="2:3" x14ac:dyDescent="0.45">
      <c r="B200" s="4">
        <v>21.112511671696701</v>
      </c>
      <c r="C200" s="42">
        <v>5.95460110000001E-5</v>
      </c>
    </row>
    <row r="201" spans="2:3" x14ac:dyDescent="0.45">
      <c r="B201" s="4">
        <v>21.112531203328199</v>
      </c>
      <c r="C201" s="42">
        <v>7.7243927999999997E-5</v>
      </c>
    </row>
    <row r="202" spans="2:3" x14ac:dyDescent="0.45">
      <c r="B202" s="4">
        <v>21.112550734959701</v>
      </c>
      <c r="C202" s="4">
        <v>2.18216991E-4</v>
      </c>
    </row>
    <row r="203" spans="2:3" x14ac:dyDescent="0.45">
      <c r="B203" s="4">
        <v>21.112570266591099</v>
      </c>
      <c r="C203" s="4">
        <v>2.6886964999999998E-4</v>
      </c>
    </row>
    <row r="204" spans="2:3" x14ac:dyDescent="0.45">
      <c r="B204" s="4">
        <v>21.112589798222601</v>
      </c>
      <c r="C204" s="4">
        <v>2.8778811300000001E-4</v>
      </c>
    </row>
    <row r="205" spans="2:3" x14ac:dyDescent="0.45">
      <c r="B205" s="4">
        <v>21.112609329854099</v>
      </c>
      <c r="C205" s="4">
        <v>3.1891203599999999E-4</v>
      </c>
    </row>
    <row r="206" spans="2:3" x14ac:dyDescent="0.45">
      <c r="B206" s="4">
        <v>21.1126288614856</v>
      </c>
      <c r="C206" s="4">
        <v>1.4925614200000001E-4</v>
      </c>
    </row>
    <row r="207" spans="2:3" x14ac:dyDescent="0.45">
      <c r="B207" s="4">
        <v>21.112648393117102</v>
      </c>
      <c r="C207" s="4">
        <v>6.0940198399999995E-4</v>
      </c>
    </row>
    <row r="208" spans="2:3" x14ac:dyDescent="0.45">
      <c r="B208" s="4">
        <v>21.1126679247485</v>
      </c>
      <c r="C208" s="4">
        <v>1.1586476839999999E-3</v>
      </c>
    </row>
    <row r="209" spans="2:3" x14ac:dyDescent="0.45">
      <c r="B209" s="4">
        <v>21.112687456380002</v>
      </c>
      <c r="C209" s="4">
        <v>1.106164206E-3</v>
      </c>
    </row>
    <row r="210" spans="2:3" x14ac:dyDescent="0.45">
      <c r="B210" s="4">
        <v>21.112706988011499</v>
      </c>
      <c r="C210" s="4">
        <v>8.7792210399999997E-4</v>
      </c>
    </row>
    <row r="211" spans="2:3" x14ac:dyDescent="0.45">
      <c r="B211" s="4">
        <v>21.112726519643001</v>
      </c>
      <c r="C211" s="4">
        <v>4.9222956799999996E-4</v>
      </c>
    </row>
    <row r="212" spans="2:3" x14ac:dyDescent="0.45">
      <c r="B212" s="4">
        <v>21.112746051274399</v>
      </c>
      <c r="C212" s="4">
        <v>3.5125650499999997E-4</v>
      </c>
    </row>
    <row r="213" spans="2:3" x14ac:dyDescent="0.45">
      <c r="B213" s="4">
        <v>21.112765582905901</v>
      </c>
      <c r="C213" s="42">
        <v>4.7950824000000299E-5</v>
      </c>
    </row>
    <row r="214" spans="2:3" x14ac:dyDescent="0.45">
      <c r="B214" s="4">
        <v>21.112785114537399</v>
      </c>
      <c r="C214" s="42">
        <v>5.8325465E-5</v>
      </c>
    </row>
    <row r="215" spans="2:3" x14ac:dyDescent="0.45">
      <c r="B215" s="4">
        <v>21.1128046461689</v>
      </c>
      <c r="C215" s="4">
        <v>-2.0531247099999999E-4</v>
      </c>
    </row>
    <row r="216" spans="2:3" x14ac:dyDescent="0.45">
      <c r="B216" s="4">
        <v>21.112824177800402</v>
      </c>
      <c r="C216" s="4">
        <v>-1.8090155099999999E-4</v>
      </c>
    </row>
    <row r="217" spans="2:3" x14ac:dyDescent="0.45">
      <c r="B217" s="4">
        <v>21.1128437094318</v>
      </c>
      <c r="C217" s="4">
        <v>-2.79765777E-4</v>
      </c>
    </row>
    <row r="218" spans="2:3" x14ac:dyDescent="0.45">
      <c r="B218" s="4">
        <v>21.112863241063302</v>
      </c>
      <c r="C218" s="4">
        <v>-1.02786607E-4</v>
      </c>
    </row>
    <row r="219" spans="2:3" x14ac:dyDescent="0.45">
      <c r="B219" s="4">
        <v>21.1128827726948</v>
      </c>
      <c r="C219" s="4">
        <v>-1.6259336099999999E-4</v>
      </c>
    </row>
    <row r="220" spans="2:3" x14ac:dyDescent="0.45">
      <c r="B220" s="4">
        <v>21.112902304326301</v>
      </c>
      <c r="C220" s="42">
        <v>-8.8750327999999803E-5</v>
      </c>
    </row>
    <row r="221" spans="2:3" x14ac:dyDescent="0.45">
      <c r="B221" s="4">
        <v>21.1129218359577</v>
      </c>
      <c r="C221" s="4">
        <v>-1.2658725399999999E-4</v>
      </c>
    </row>
    <row r="222" spans="2:3" x14ac:dyDescent="0.45">
      <c r="B222" s="4">
        <v>21.112941367589201</v>
      </c>
      <c r="C222" s="42">
        <v>-8.1942919999997004E-6</v>
      </c>
    </row>
    <row r="223" spans="2:3" x14ac:dyDescent="0.45">
      <c r="B223" s="4">
        <v>21.112960899220699</v>
      </c>
      <c r="C223" s="42">
        <v>-4.2369579999999899E-5</v>
      </c>
    </row>
    <row r="224" spans="2:3" x14ac:dyDescent="0.45">
      <c r="B224" s="4">
        <v>21.1129804308522</v>
      </c>
      <c r="C224" s="42">
        <v>3.87967290000004E-5</v>
      </c>
    </row>
    <row r="225" spans="2:3" x14ac:dyDescent="0.45">
      <c r="B225" s="4">
        <v>21.112999962483599</v>
      </c>
      <c r="C225" s="42">
        <v>6.8089833000000105E-5</v>
      </c>
    </row>
    <row r="226" spans="2:3" x14ac:dyDescent="0.45">
      <c r="B226" s="4">
        <v>21.1130194941151</v>
      </c>
      <c r="C226" s="42">
        <v>8.4567204000000302E-5</v>
      </c>
    </row>
    <row r="227" spans="2:3" x14ac:dyDescent="0.45">
      <c r="B227" s="4">
        <v>21.113039025746598</v>
      </c>
      <c r="C227" s="4">
        <v>1.1569112699999999E-4</v>
      </c>
    </row>
    <row r="228" spans="2:3" x14ac:dyDescent="0.45">
      <c r="B228" s="4">
        <v>21.1130585573781</v>
      </c>
      <c r="C228" s="4">
        <v>1.20573311E-4</v>
      </c>
    </row>
    <row r="229" spans="2:3" x14ac:dyDescent="0.45">
      <c r="B229" s="4">
        <v>21.113078089009601</v>
      </c>
      <c r="C229" s="4">
        <v>1.3644040900000001E-4</v>
      </c>
    </row>
    <row r="230" spans="2:3" x14ac:dyDescent="0.45">
      <c r="B230" s="4">
        <v>21.113097620641</v>
      </c>
      <c r="C230" s="4">
        <v>2.3347381600000001E-4</v>
      </c>
    </row>
    <row r="231" spans="2:3" x14ac:dyDescent="0.45">
      <c r="B231" s="4">
        <v>21.113117152272501</v>
      </c>
      <c r="C231" s="4">
        <v>2.0479098499999999E-4</v>
      </c>
    </row>
    <row r="232" spans="2:3" x14ac:dyDescent="0.45">
      <c r="B232" s="4">
        <v>21.113136683903999</v>
      </c>
      <c r="C232" s="4">
        <v>1.71836243E-4</v>
      </c>
    </row>
    <row r="233" spans="2:3" x14ac:dyDescent="0.45">
      <c r="B233" s="4">
        <v>21.113156215535501</v>
      </c>
      <c r="C233" s="4">
        <v>2.07232077E-4</v>
      </c>
    </row>
    <row r="234" spans="2:3" x14ac:dyDescent="0.45">
      <c r="B234" s="4">
        <v>21.113175747166899</v>
      </c>
      <c r="C234" s="4">
        <v>1.4864586900000001E-4</v>
      </c>
    </row>
    <row r="235" spans="2:3" x14ac:dyDescent="0.45">
      <c r="B235" s="4">
        <v>21.113195278798401</v>
      </c>
      <c r="C235" s="4">
        <v>2.5422309800000002E-4</v>
      </c>
    </row>
    <row r="236" spans="2:3" x14ac:dyDescent="0.45">
      <c r="B236" s="4">
        <v>21.113214810429898</v>
      </c>
      <c r="C236" s="4">
        <v>2.6276692000000001E-4</v>
      </c>
    </row>
    <row r="237" spans="2:3" x14ac:dyDescent="0.45">
      <c r="B237" s="4">
        <v>21.1132343420614</v>
      </c>
      <c r="C237" s="4">
        <v>2.0234989300000001E-4</v>
      </c>
    </row>
    <row r="238" spans="2:3" x14ac:dyDescent="0.45">
      <c r="B238" s="4">
        <v>21.113253873692798</v>
      </c>
      <c r="C238" s="4">
        <v>2.5666418999999998E-4</v>
      </c>
    </row>
    <row r="239" spans="2:3" x14ac:dyDescent="0.45">
      <c r="B239" s="4">
        <v>21.1132734053243</v>
      </c>
      <c r="C239" s="4">
        <v>2.73141561E-4</v>
      </c>
    </row>
    <row r="240" spans="2:3" x14ac:dyDescent="0.45">
      <c r="B240" s="4">
        <v>21.113292936955801</v>
      </c>
      <c r="C240" s="4">
        <v>6.0818143800000005E-4</v>
      </c>
    </row>
    <row r="241" spans="2:3" x14ac:dyDescent="0.45">
      <c r="B241" s="4">
        <v>21.113312468587299</v>
      </c>
      <c r="C241" s="4">
        <v>4.9528093300000003E-4</v>
      </c>
    </row>
    <row r="242" spans="2:3" x14ac:dyDescent="0.45">
      <c r="B242" s="4">
        <v>21.113332000218801</v>
      </c>
      <c r="C242" s="4">
        <v>5.1847130700000002E-4</v>
      </c>
    </row>
    <row r="243" spans="2:3" x14ac:dyDescent="0.45">
      <c r="B243" s="4">
        <v>21.113351531850199</v>
      </c>
      <c r="C243" s="4">
        <v>6.6737791900000005E-4</v>
      </c>
    </row>
    <row r="244" spans="2:3" x14ac:dyDescent="0.45">
      <c r="B244" s="4">
        <v>21.113371063481701</v>
      </c>
      <c r="C244" s="4">
        <v>3.8299070100000001E-4</v>
      </c>
    </row>
    <row r="245" spans="2:3" x14ac:dyDescent="0.45">
      <c r="B245" s="4">
        <v>21.113390595113199</v>
      </c>
      <c r="C245" s="4">
        <v>5.4715413799999999E-4</v>
      </c>
    </row>
    <row r="246" spans="2:3" x14ac:dyDescent="0.45">
      <c r="B246" s="4">
        <v>21.1134101267447</v>
      </c>
      <c r="C246" s="4">
        <v>3.8421124700000001E-4</v>
      </c>
    </row>
    <row r="247" spans="2:3" x14ac:dyDescent="0.45">
      <c r="B247" s="4">
        <v>21.113429658376099</v>
      </c>
      <c r="C247" s="4">
        <v>3.8909343099999998E-4</v>
      </c>
    </row>
    <row r="248" spans="2:3" x14ac:dyDescent="0.45">
      <c r="B248" s="4">
        <v>21.1134491900076</v>
      </c>
      <c r="C248" s="4">
        <v>-1.0095578799999999E-4</v>
      </c>
    </row>
    <row r="249" spans="2:3" x14ac:dyDescent="0.45">
      <c r="B249" s="4">
        <v>21.113468721639101</v>
      </c>
      <c r="C249" s="4">
        <v>3.45153775E-4</v>
      </c>
    </row>
    <row r="250" spans="2:3" x14ac:dyDescent="0.45">
      <c r="B250" s="4">
        <v>21.113488253270599</v>
      </c>
      <c r="C250" s="42">
        <v>8.3956931000000204E-5</v>
      </c>
    </row>
    <row r="251" spans="2:3" x14ac:dyDescent="0.45">
      <c r="B251" s="4">
        <v>21.113507784902101</v>
      </c>
      <c r="C251" s="4">
        <v>1.5657941799999999E-4</v>
      </c>
    </row>
    <row r="252" spans="2:3" x14ac:dyDescent="0.45">
      <c r="B252" s="4">
        <v>21.113527316533499</v>
      </c>
      <c r="C252" s="4">
        <v>3.57969508E-4</v>
      </c>
    </row>
    <row r="253" spans="2:3" x14ac:dyDescent="0.45">
      <c r="B253" s="4">
        <v>21.113546848165001</v>
      </c>
      <c r="C253" s="4">
        <v>6.1306362199999996E-4</v>
      </c>
    </row>
    <row r="254" spans="2:3" x14ac:dyDescent="0.45">
      <c r="B254" s="4">
        <v>21.113566379796499</v>
      </c>
      <c r="C254" s="4">
        <v>1.452188997E-3</v>
      </c>
    </row>
    <row r="255" spans="2:3" x14ac:dyDescent="0.45">
      <c r="B255" s="4">
        <v>21.113585911428</v>
      </c>
      <c r="C255" s="4">
        <v>1.4015363380000001E-3</v>
      </c>
    </row>
    <row r="256" spans="2:3" x14ac:dyDescent="0.45">
      <c r="B256" s="4">
        <v>21.113605443059399</v>
      </c>
      <c r="C256" s="4">
        <v>1.579736054E-3</v>
      </c>
    </row>
    <row r="257" spans="2:3" x14ac:dyDescent="0.45">
      <c r="B257" s="4">
        <v>21.1136249746909</v>
      </c>
      <c r="C257" s="4">
        <v>8.2665917199999995E-4</v>
      </c>
    </row>
    <row r="258" spans="2:3" x14ac:dyDescent="0.45">
      <c r="B258" s="4">
        <v>21.113644506322402</v>
      </c>
      <c r="C258" s="4">
        <v>3.7444687900000002E-4</v>
      </c>
    </row>
    <row r="259" spans="2:3" x14ac:dyDescent="0.45">
      <c r="B259" s="4">
        <v>21.1136640379539</v>
      </c>
      <c r="C259" s="4">
        <v>-1.4855708200000001E-4</v>
      </c>
    </row>
    <row r="260" spans="2:3" x14ac:dyDescent="0.45">
      <c r="B260" s="4">
        <v>21.113683569585302</v>
      </c>
      <c r="C260" s="4">
        <v>-1.3207971100000001E-4</v>
      </c>
    </row>
    <row r="261" spans="2:3" x14ac:dyDescent="0.45">
      <c r="B261" s="4">
        <v>21.113703101216799</v>
      </c>
      <c r="C261" s="4">
        <v>-3.9266628200000002E-4</v>
      </c>
    </row>
    <row r="262" spans="2:3" x14ac:dyDescent="0.45">
      <c r="B262" s="4">
        <v>21.113722632848301</v>
      </c>
      <c r="C262" s="4">
        <v>-4.5186276300000002E-4</v>
      </c>
    </row>
    <row r="263" spans="2:3" x14ac:dyDescent="0.45">
      <c r="B263" s="4">
        <v>21.113742164479799</v>
      </c>
      <c r="C263" s="4">
        <v>-3.7313754599999999E-4</v>
      </c>
    </row>
    <row r="264" spans="2:3" x14ac:dyDescent="0.45">
      <c r="B264" s="4">
        <v>21.1137616961113</v>
      </c>
      <c r="C264" s="4">
        <v>-1.29638619E-4</v>
      </c>
    </row>
    <row r="265" spans="2:3" x14ac:dyDescent="0.45">
      <c r="B265" s="4">
        <v>21.113781227742699</v>
      </c>
      <c r="C265" s="4">
        <v>-1.01566061E-4</v>
      </c>
    </row>
    <row r="266" spans="2:3" x14ac:dyDescent="0.45">
      <c r="B266" s="4">
        <v>21.1138007593742</v>
      </c>
      <c r="C266" s="42">
        <v>-6.3634729999999598E-6</v>
      </c>
    </row>
    <row r="267" spans="2:3" x14ac:dyDescent="0.45">
      <c r="B267" s="4">
        <v>21.113820291005698</v>
      </c>
      <c r="C267" s="4">
        <v>1.05926759E-4</v>
      </c>
    </row>
    <row r="268" spans="2:3" x14ac:dyDescent="0.45">
      <c r="B268" s="4">
        <v>21.1138398226372</v>
      </c>
      <c r="C268" s="42">
        <v>4.8561097000000403E-5</v>
      </c>
    </row>
    <row r="269" spans="2:3" x14ac:dyDescent="0.45">
      <c r="B269" s="4">
        <v>21.113859354268602</v>
      </c>
      <c r="C269" s="42">
        <v>-3.5046303999999601E-5</v>
      </c>
    </row>
    <row r="270" spans="2:3" x14ac:dyDescent="0.45">
      <c r="B270" s="4">
        <v>21.1138788859001</v>
      </c>
      <c r="C270" s="42">
        <v>7.9685020000000307E-5</v>
      </c>
    </row>
    <row r="271" spans="2:3" x14ac:dyDescent="0.45">
      <c r="B271" s="4">
        <v>21.113898417531601</v>
      </c>
      <c r="C271" s="4">
        <v>1.10808943E-4</v>
      </c>
    </row>
    <row r="272" spans="2:3" x14ac:dyDescent="0.45">
      <c r="B272" s="4">
        <v>21.113917949163099</v>
      </c>
      <c r="C272" s="4">
        <v>1.21793857E-4</v>
      </c>
    </row>
    <row r="273" spans="2:3" x14ac:dyDescent="0.45">
      <c r="B273" s="4">
        <v>21.113937480794501</v>
      </c>
      <c r="C273" s="4">
        <v>1.3766095500000001E-4</v>
      </c>
    </row>
    <row r="274" spans="2:3" x14ac:dyDescent="0.45">
      <c r="B274" s="4">
        <v>21.113957012425999</v>
      </c>
      <c r="C274" s="42">
        <v>9.7382937000000197E-5</v>
      </c>
    </row>
    <row r="275" spans="2:3" x14ac:dyDescent="0.45">
      <c r="B275" s="4">
        <v>21.1139765440575</v>
      </c>
      <c r="C275" s="42">
        <v>4.8561097000000403E-5</v>
      </c>
    </row>
    <row r="276" spans="2:3" x14ac:dyDescent="0.45">
      <c r="B276" s="4">
        <v>21.113996075688998</v>
      </c>
      <c r="C276" s="4">
        <v>1.1874249199999999E-4</v>
      </c>
    </row>
    <row r="277" spans="2:3" x14ac:dyDescent="0.45">
      <c r="B277" s="4">
        <v>21.1140156073205</v>
      </c>
      <c r="C277" s="42">
        <v>4.9171369999999999E-5</v>
      </c>
    </row>
    <row r="278" spans="2:3" x14ac:dyDescent="0.45">
      <c r="B278" s="4">
        <v>21.114035138951898</v>
      </c>
      <c r="C278" s="42">
        <v>9.1890480000000104E-5</v>
      </c>
    </row>
    <row r="279" spans="2:3" x14ac:dyDescent="0.45">
      <c r="B279" s="4">
        <v>21.1140546705834</v>
      </c>
      <c r="C279" s="42">
        <v>5.1002189000000197E-5</v>
      </c>
    </row>
    <row r="280" spans="2:3" x14ac:dyDescent="0.45">
      <c r="B280" s="4">
        <v>21.114074202214901</v>
      </c>
      <c r="C280" s="4">
        <v>1.6756433200000001E-4</v>
      </c>
    </row>
    <row r="281" spans="2:3" x14ac:dyDescent="0.45">
      <c r="B281" s="4">
        <v>21.114093733846399</v>
      </c>
      <c r="C281" s="4">
        <v>1.3094795200000001E-4</v>
      </c>
    </row>
    <row r="282" spans="2:3" x14ac:dyDescent="0.45">
      <c r="B282" s="4">
        <v>21.114113265477801</v>
      </c>
      <c r="C282" s="4">
        <v>1.0653703199999999E-4</v>
      </c>
    </row>
    <row r="283" spans="2:3" x14ac:dyDescent="0.45">
      <c r="B283" s="4">
        <v>21.114132797109299</v>
      </c>
      <c r="C283" s="4">
        <v>2.2309917499999999E-4</v>
      </c>
    </row>
    <row r="284" spans="2:3" x14ac:dyDescent="0.45">
      <c r="B284" s="4">
        <v>21.114152328740801</v>
      </c>
      <c r="C284" s="4">
        <v>2.4628954899999999E-4</v>
      </c>
    </row>
    <row r="285" spans="2:3" x14ac:dyDescent="0.45">
      <c r="B285" s="4">
        <v>21.114171860372299</v>
      </c>
      <c r="C285" s="4">
        <v>5.1297885000000005E-4</v>
      </c>
    </row>
    <row r="286" spans="2:3" x14ac:dyDescent="0.45">
      <c r="B286" s="4">
        <v>21.1141913920038</v>
      </c>
      <c r="C286" s="4">
        <v>9.0111247799999996E-4</v>
      </c>
    </row>
    <row r="287" spans="2:3" x14ac:dyDescent="0.45">
      <c r="B287" s="4">
        <v>21.114210923635198</v>
      </c>
      <c r="C287" s="4">
        <v>8.9745084000000005E-4</v>
      </c>
    </row>
    <row r="288" spans="2:3" x14ac:dyDescent="0.45">
      <c r="B288" s="4">
        <v>21.1142304552667</v>
      </c>
      <c r="C288" s="4">
        <v>7.7417569400000004E-4</v>
      </c>
    </row>
    <row r="289" spans="2:3" x14ac:dyDescent="0.45">
      <c r="B289" s="4">
        <v>21.114249986898201</v>
      </c>
      <c r="C289" s="4">
        <v>5.5874932499999999E-4</v>
      </c>
    </row>
    <row r="290" spans="2:3" x14ac:dyDescent="0.45">
      <c r="B290" s="4">
        <v>21.114269518529699</v>
      </c>
      <c r="C290" s="4">
        <v>1.02265121E-4</v>
      </c>
    </row>
    <row r="291" spans="2:3" x14ac:dyDescent="0.45">
      <c r="B291" s="4">
        <v>21.114289050161101</v>
      </c>
      <c r="C291" s="4">
        <v>1.9319579799999999E-4</v>
      </c>
    </row>
    <row r="292" spans="2:3" x14ac:dyDescent="0.45">
      <c r="B292" s="4">
        <v>21.114308581792599</v>
      </c>
      <c r="C292" s="4">
        <v>-1.1316124799999999E-4</v>
      </c>
    </row>
    <row r="293" spans="2:3" x14ac:dyDescent="0.45">
      <c r="B293" s="4">
        <v>21.114328113424101</v>
      </c>
      <c r="C293" s="42">
        <v>4.6120005000000203E-5</v>
      </c>
    </row>
    <row r="294" spans="2:3" x14ac:dyDescent="0.45">
      <c r="B294" s="4">
        <v>21.114347645055599</v>
      </c>
      <c r="C294" s="42">
        <v>4.7950824000000299E-5</v>
      </c>
    </row>
    <row r="295" spans="2:3" x14ac:dyDescent="0.45">
      <c r="B295" s="4">
        <v>21.114367176687001</v>
      </c>
      <c r="C295" s="4">
        <v>1.10808943E-4</v>
      </c>
    </row>
    <row r="296" spans="2:3" x14ac:dyDescent="0.45">
      <c r="B296" s="4">
        <v>21.114386708318499</v>
      </c>
      <c r="C296" s="4">
        <v>1.04706213E-4</v>
      </c>
    </row>
    <row r="297" spans="2:3" x14ac:dyDescent="0.45">
      <c r="B297" s="4">
        <v>21.11440623995</v>
      </c>
      <c r="C297" s="42">
        <v>-3.7487395999999802E-5</v>
      </c>
    </row>
    <row r="298" spans="2:3" x14ac:dyDescent="0.45">
      <c r="B298" s="4">
        <v>21.114425771581502</v>
      </c>
      <c r="C298" s="42">
        <v>7.9074747000000195E-5</v>
      </c>
    </row>
    <row r="299" spans="2:3" x14ac:dyDescent="0.45">
      <c r="B299" s="4">
        <v>21.114445303213</v>
      </c>
      <c r="C299" s="42">
        <v>-4.8472310000000001E-5</v>
      </c>
    </row>
    <row r="300" spans="2:3" x14ac:dyDescent="0.45">
      <c r="B300" s="4">
        <v>21.114464834844402</v>
      </c>
      <c r="C300" s="42">
        <v>2.53707230000004E-5</v>
      </c>
    </row>
    <row r="301" spans="2:3" x14ac:dyDescent="0.45">
      <c r="B301" s="4">
        <v>21.114484366475899</v>
      </c>
      <c r="C301" s="4">
        <v>1.1019867E-4</v>
      </c>
    </row>
    <row r="302" spans="2:3" x14ac:dyDescent="0.45">
      <c r="B302" s="4">
        <v>21.114503898107401</v>
      </c>
      <c r="C302" s="4">
        <v>1.41322593E-4</v>
      </c>
    </row>
    <row r="303" spans="2:3" x14ac:dyDescent="0.45">
      <c r="B303" s="4">
        <v>21.114523429738899</v>
      </c>
      <c r="C303" s="42">
        <v>9.4941845000000403E-5</v>
      </c>
    </row>
    <row r="304" spans="2:3" x14ac:dyDescent="0.45">
      <c r="B304" s="4">
        <v>21.114542961370301</v>
      </c>
      <c r="C304" s="42">
        <v>9.5552117999999999E-5</v>
      </c>
    </row>
    <row r="305" spans="2:3" x14ac:dyDescent="0.45">
      <c r="B305" s="4">
        <v>21.114562493001799</v>
      </c>
      <c r="C305" s="4">
        <v>1.6329242099999999E-4</v>
      </c>
    </row>
    <row r="306" spans="2:3" x14ac:dyDescent="0.45">
      <c r="B306" s="4">
        <v>21.1145820246333</v>
      </c>
      <c r="C306" s="4">
        <v>1.23624676E-4</v>
      </c>
    </row>
    <row r="307" spans="2:3" x14ac:dyDescent="0.45">
      <c r="B307" s="4">
        <v>21.114601556264802</v>
      </c>
      <c r="C307" s="4">
        <v>1.70005424E-4</v>
      </c>
    </row>
    <row r="308" spans="2:3" x14ac:dyDescent="0.45">
      <c r="B308" s="4">
        <v>21.1146210878963</v>
      </c>
      <c r="C308" s="4">
        <v>2.01129347E-4</v>
      </c>
    </row>
    <row r="309" spans="2:3" x14ac:dyDescent="0.45">
      <c r="B309" s="4">
        <v>21.114640619527702</v>
      </c>
      <c r="C309" s="4">
        <v>1.0348566699999999E-4</v>
      </c>
    </row>
    <row r="310" spans="2:3" x14ac:dyDescent="0.45">
      <c r="B310" s="4">
        <v>21.1146601511592</v>
      </c>
      <c r="C310" s="4">
        <v>2.2859163199999999E-4</v>
      </c>
    </row>
    <row r="311" spans="2:3" x14ac:dyDescent="0.45">
      <c r="B311" s="4">
        <v>21.114679682790701</v>
      </c>
      <c r="C311" s="4">
        <v>2.1638617199999999E-4</v>
      </c>
    </row>
    <row r="312" spans="2:3" x14ac:dyDescent="0.45">
      <c r="B312" s="4">
        <v>21.114699214422199</v>
      </c>
      <c r="C312" s="4">
        <v>2.18827264E-4</v>
      </c>
    </row>
    <row r="313" spans="2:3" x14ac:dyDescent="0.45">
      <c r="B313" s="4">
        <v>21.114718746053601</v>
      </c>
      <c r="C313" s="4">
        <v>2.5361282500000002E-4</v>
      </c>
    </row>
    <row r="314" spans="2:3" x14ac:dyDescent="0.45">
      <c r="B314" s="4">
        <v>21.114738277685099</v>
      </c>
      <c r="C314" s="4">
        <v>1.6268214799999999E-4</v>
      </c>
    </row>
    <row r="315" spans="2:3" x14ac:dyDescent="0.45">
      <c r="B315" s="4">
        <v>21.1147578093166</v>
      </c>
      <c r="C315" s="4">
        <v>2.0906289600000001E-4</v>
      </c>
    </row>
    <row r="316" spans="2:3" x14ac:dyDescent="0.45">
      <c r="B316" s="4">
        <v>21.114777340948098</v>
      </c>
      <c r="C316" s="4">
        <v>4.28761176E-4</v>
      </c>
    </row>
    <row r="317" spans="2:3" x14ac:dyDescent="0.45">
      <c r="B317" s="4">
        <v>21.1147968725795</v>
      </c>
      <c r="C317" s="4">
        <v>4.16555716E-4</v>
      </c>
    </row>
    <row r="318" spans="2:3" x14ac:dyDescent="0.45">
      <c r="B318" s="4">
        <v>21.114816404210998</v>
      </c>
      <c r="C318" s="4">
        <v>2.9450111599999999E-4</v>
      </c>
    </row>
    <row r="319" spans="2:3" x14ac:dyDescent="0.45">
      <c r="B319" s="4">
        <v>21.1148359358425</v>
      </c>
      <c r="C319" s="4">
        <v>2.4628954899999999E-4</v>
      </c>
    </row>
    <row r="320" spans="2:3" x14ac:dyDescent="0.45">
      <c r="B320" s="4">
        <v>21.114855467474001</v>
      </c>
      <c r="C320" s="4">
        <v>1.47425323E-4</v>
      </c>
    </row>
    <row r="321" spans="2:3" x14ac:dyDescent="0.45">
      <c r="B321" s="4">
        <v>21.114874999105499</v>
      </c>
      <c r="C321" s="42">
        <v>5.3443281000000398E-5</v>
      </c>
    </row>
    <row r="322" spans="2:3" x14ac:dyDescent="0.45">
      <c r="B322" s="4">
        <v>21.114894530736901</v>
      </c>
      <c r="C322" s="4">
        <v>1.2545549500000001E-4</v>
      </c>
    </row>
    <row r="323" spans="2:3" x14ac:dyDescent="0.45">
      <c r="B323" s="4">
        <v>21.114914062368399</v>
      </c>
      <c r="C323" s="4">
        <v>2.1028344199999999E-4</v>
      </c>
    </row>
    <row r="324" spans="2:3" x14ac:dyDescent="0.45">
      <c r="B324" s="4">
        <v>21.114933593999901</v>
      </c>
      <c r="C324" s="4">
        <v>3.1769148999999998E-4</v>
      </c>
    </row>
    <row r="325" spans="2:3" x14ac:dyDescent="0.45">
      <c r="B325" s="4">
        <v>21.114953125631398</v>
      </c>
      <c r="C325" s="4">
        <v>2.3530463499999999E-4</v>
      </c>
    </row>
    <row r="326" spans="2:3" x14ac:dyDescent="0.45">
      <c r="B326" s="4">
        <v>21.1149726572628</v>
      </c>
      <c r="C326" s="4">
        <v>1.6146160200000001E-4</v>
      </c>
    </row>
    <row r="327" spans="2:3" x14ac:dyDescent="0.45">
      <c r="B327" s="4">
        <v>21.114992188894298</v>
      </c>
      <c r="C327" s="4">
        <v>2.24929994E-4</v>
      </c>
    </row>
    <row r="328" spans="2:3" x14ac:dyDescent="0.45">
      <c r="B328" s="4">
        <v>21.1150117205258</v>
      </c>
      <c r="C328" s="4">
        <v>2.3469436199999999E-4</v>
      </c>
    </row>
    <row r="329" spans="2:3" x14ac:dyDescent="0.45">
      <c r="B329" s="4">
        <v>21.115031252157301</v>
      </c>
      <c r="C329" s="4">
        <v>2.9999357300000001E-4</v>
      </c>
    </row>
    <row r="330" spans="2:3" x14ac:dyDescent="0.45">
      <c r="B330" s="4">
        <v>21.1150507837887</v>
      </c>
      <c r="C330" s="4">
        <v>2.18827264E-4</v>
      </c>
    </row>
    <row r="331" spans="2:3" x14ac:dyDescent="0.45">
      <c r="B331" s="4">
        <v>21.115070315420201</v>
      </c>
      <c r="C331" s="4">
        <v>1.95026617E-4</v>
      </c>
    </row>
    <row r="332" spans="2:3" x14ac:dyDescent="0.45">
      <c r="B332" s="4">
        <v>21.115089847051699</v>
      </c>
      <c r="C332" s="4">
        <v>2.5727446299999998E-4</v>
      </c>
    </row>
    <row r="333" spans="2:3" x14ac:dyDescent="0.45">
      <c r="B333" s="4">
        <v>21.115109378683201</v>
      </c>
      <c r="C333" s="4">
        <v>2.5727446299999998E-4</v>
      </c>
    </row>
    <row r="334" spans="2:3" x14ac:dyDescent="0.45">
      <c r="B334" s="4">
        <v>21.115128910314699</v>
      </c>
      <c r="C334" s="4">
        <v>2.3347381600000001E-4</v>
      </c>
    </row>
    <row r="335" spans="2:3" x14ac:dyDescent="0.45">
      <c r="B335" s="4">
        <v>21.115148441946101</v>
      </c>
      <c r="C335" s="4">
        <v>2.0845262300000001E-4</v>
      </c>
    </row>
    <row r="336" spans="2:3" x14ac:dyDescent="0.45">
      <c r="B336" s="4">
        <v>21.115167973577599</v>
      </c>
      <c r="C336" s="4">
        <v>2.60936101E-4</v>
      </c>
    </row>
    <row r="337" spans="2:3" x14ac:dyDescent="0.45">
      <c r="B337" s="4">
        <v>21.1151875052091</v>
      </c>
      <c r="C337" s="4">
        <v>2.9511138899999999E-4</v>
      </c>
    </row>
    <row r="338" spans="2:3" x14ac:dyDescent="0.45">
      <c r="B338" s="4">
        <v>21.115207036840602</v>
      </c>
      <c r="C338" s="4">
        <v>2.4079709199999999E-4</v>
      </c>
    </row>
    <row r="339" spans="2:3" x14ac:dyDescent="0.45">
      <c r="B339" s="4">
        <v>21.115226568472</v>
      </c>
      <c r="C339" s="4">
        <v>3.32948315E-4</v>
      </c>
    </row>
    <row r="340" spans="2:3" x14ac:dyDescent="0.45">
      <c r="B340" s="4">
        <v>21.115246100103501</v>
      </c>
      <c r="C340" s="4">
        <v>3.7688797099999998E-4</v>
      </c>
    </row>
    <row r="341" spans="2:3" x14ac:dyDescent="0.45">
      <c r="B341" s="4">
        <v>21.115265631734999</v>
      </c>
      <c r="C341" s="4">
        <v>4.7209055899999998E-4</v>
      </c>
    </row>
    <row r="342" spans="2:3" x14ac:dyDescent="0.45">
      <c r="B342" s="4">
        <v>21.115285163366501</v>
      </c>
      <c r="C342" s="4">
        <v>4.04350256E-4</v>
      </c>
    </row>
    <row r="343" spans="2:3" x14ac:dyDescent="0.45">
      <c r="B343" s="4">
        <v>21.115304694997999</v>
      </c>
      <c r="C343" s="4">
        <v>4.7331110499999998E-4</v>
      </c>
    </row>
    <row r="344" spans="2:3" x14ac:dyDescent="0.45">
      <c r="B344" s="4">
        <v>21.115324226629401</v>
      </c>
      <c r="C344" s="4">
        <v>2.6642855800000002E-4</v>
      </c>
    </row>
    <row r="345" spans="2:3" x14ac:dyDescent="0.45">
      <c r="B345" s="4">
        <v>21.115343758260899</v>
      </c>
      <c r="C345" s="4">
        <v>7.8516060799999998E-4</v>
      </c>
    </row>
    <row r="346" spans="2:3" x14ac:dyDescent="0.45">
      <c r="B346" s="4">
        <v>21.1153632898924</v>
      </c>
      <c r="C346" s="4">
        <v>1.568140867E-3</v>
      </c>
    </row>
    <row r="347" spans="2:3" x14ac:dyDescent="0.45">
      <c r="B347" s="4">
        <v>21.115382821523902</v>
      </c>
      <c r="C347" s="4">
        <v>1.2721584619999999E-3</v>
      </c>
    </row>
    <row r="348" spans="2:3" x14ac:dyDescent="0.45">
      <c r="B348" s="4">
        <v>21.1154023531553</v>
      </c>
      <c r="C348" s="4">
        <v>1.2300496250000001E-3</v>
      </c>
    </row>
    <row r="349" spans="2:3" x14ac:dyDescent="0.45">
      <c r="B349" s="4">
        <v>21.115421884786802</v>
      </c>
      <c r="C349" s="4">
        <v>3.6529278399999998E-4</v>
      </c>
    </row>
    <row r="350" spans="2:3" x14ac:dyDescent="0.45">
      <c r="B350" s="4">
        <v>21.1154414164183</v>
      </c>
      <c r="C350" s="4">
        <v>1.6512324E-4</v>
      </c>
    </row>
    <row r="351" spans="2:3" x14ac:dyDescent="0.45">
      <c r="B351" s="4">
        <v>21.115460948049801</v>
      </c>
      <c r="C351" s="4">
        <v>-1.7418854800000001E-4</v>
      </c>
    </row>
    <row r="352" spans="2:3" x14ac:dyDescent="0.45">
      <c r="B352" s="4">
        <v>21.115480479681199</v>
      </c>
      <c r="C352" s="42">
        <v>-6.0677769999999798E-5</v>
      </c>
    </row>
    <row r="353" spans="2:3" x14ac:dyDescent="0.45">
      <c r="B353" s="4">
        <v>21.115500011312701</v>
      </c>
      <c r="C353" s="4">
        <v>-2.2789257200000001E-4</v>
      </c>
    </row>
    <row r="354" spans="2:3" x14ac:dyDescent="0.45">
      <c r="B354" s="4">
        <v>21.115519542944199</v>
      </c>
      <c r="C354" s="4">
        <v>-1.5465981200000001E-4</v>
      </c>
    </row>
    <row r="355" spans="2:3" x14ac:dyDescent="0.45">
      <c r="B355" s="4">
        <v>21.1155390745757</v>
      </c>
      <c r="C355" s="4">
        <v>-2.3277475600000001E-4</v>
      </c>
    </row>
    <row r="356" spans="2:3" x14ac:dyDescent="0.45">
      <c r="B356" s="4">
        <v>21.115558606207198</v>
      </c>
      <c r="C356" s="4">
        <v>-1.3818244100000001E-4</v>
      </c>
    </row>
    <row r="357" spans="2:3" x14ac:dyDescent="0.45">
      <c r="B357" s="4">
        <v>21.1155781378386</v>
      </c>
      <c r="C357" s="42">
        <v>-9.6073603999999701E-5</v>
      </c>
    </row>
    <row r="358" spans="2:3" x14ac:dyDescent="0.45">
      <c r="B358" s="4">
        <v>21.115597669470102</v>
      </c>
      <c r="C358" s="42">
        <v>8.0295293000000296E-5</v>
      </c>
    </row>
    <row r="359" spans="2:3" x14ac:dyDescent="0.45">
      <c r="B359" s="4">
        <v>21.1156172011016</v>
      </c>
      <c r="C359" s="42">
        <v>6.5648741000000297E-5</v>
      </c>
    </row>
    <row r="360" spans="2:3" x14ac:dyDescent="0.45">
      <c r="B360" s="4">
        <v>21.115636732733101</v>
      </c>
      <c r="C360" s="42">
        <v>6.3817922000000099E-5</v>
      </c>
    </row>
    <row r="361" spans="2:3" x14ac:dyDescent="0.45">
      <c r="B361" s="4">
        <v>21.1156562643645</v>
      </c>
      <c r="C361" s="42">
        <v>6.0766557000000201E-5</v>
      </c>
    </row>
    <row r="362" spans="2:3" x14ac:dyDescent="0.45">
      <c r="B362" s="4">
        <v>21.115675795996001</v>
      </c>
      <c r="C362" s="42">
        <v>8.2126112000000101E-5</v>
      </c>
    </row>
    <row r="363" spans="2:3" x14ac:dyDescent="0.45">
      <c r="B363" s="4">
        <v>21.115695327627499</v>
      </c>
      <c r="C363" s="42">
        <v>3.2693999000000203E-5</v>
      </c>
    </row>
    <row r="364" spans="2:3" x14ac:dyDescent="0.45">
      <c r="B364" s="4">
        <v>21.115714859259</v>
      </c>
      <c r="C364" s="4">
        <v>1.59630783E-4</v>
      </c>
    </row>
    <row r="365" spans="2:3" x14ac:dyDescent="0.45">
      <c r="B365" s="4">
        <v>21.115734390890498</v>
      </c>
      <c r="C365" s="42">
        <v>9.4331572000000305E-5</v>
      </c>
    </row>
    <row r="366" spans="2:3" x14ac:dyDescent="0.45">
      <c r="B366" s="4">
        <v>21.1157539225219</v>
      </c>
      <c r="C366" s="4">
        <v>1.14470581E-4</v>
      </c>
    </row>
    <row r="367" spans="2:3" x14ac:dyDescent="0.45">
      <c r="B367" s="4">
        <v>21.115773454153398</v>
      </c>
      <c r="C367" s="4">
        <v>1.33999317E-4</v>
      </c>
    </row>
    <row r="368" spans="2:3" x14ac:dyDescent="0.45">
      <c r="B368" s="4">
        <v>21.1157929857849</v>
      </c>
      <c r="C368" s="4">
        <v>3.5430786999999999E-4</v>
      </c>
    </row>
    <row r="369" spans="2:3" x14ac:dyDescent="0.45">
      <c r="B369" s="4">
        <v>21.115812517416401</v>
      </c>
      <c r="C369" s="4">
        <v>4.3547417899999997E-4</v>
      </c>
    </row>
    <row r="370" spans="2:3" x14ac:dyDescent="0.45">
      <c r="B370" s="4">
        <v>21.1158320490478</v>
      </c>
      <c r="C370" s="4">
        <v>4.8124465400000002E-4</v>
      </c>
    </row>
    <row r="371" spans="2:3" x14ac:dyDescent="0.45">
      <c r="B371" s="4">
        <v>21.115851580679301</v>
      </c>
      <c r="C371" s="4">
        <v>6.4968000200000002E-4</v>
      </c>
    </row>
    <row r="372" spans="2:3" x14ac:dyDescent="0.45">
      <c r="B372" s="4">
        <v>21.115871112310799</v>
      </c>
      <c r="C372" s="4">
        <v>5.7949860699999997E-4</v>
      </c>
    </row>
    <row r="373" spans="2:3" x14ac:dyDescent="0.45">
      <c r="B373" s="4">
        <v>21.115890643942301</v>
      </c>
      <c r="C373" s="4">
        <v>5.72785604E-4</v>
      </c>
    </row>
    <row r="374" spans="2:3" x14ac:dyDescent="0.45">
      <c r="B374" s="4">
        <v>21.115910175573699</v>
      </c>
      <c r="C374" s="4">
        <v>5.4227195399999997E-4</v>
      </c>
    </row>
    <row r="375" spans="2:3" x14ac:dyDescent="0.45">
      <c r="B375" s="4">
        <v>21.115929707205201</v>
      </c>
      <c r="C375" s="4">
        <v>3.0121411900000002E-4</v>
      </c>
    </row>
    <row r="376" spans="2:3" x14ac:dyDescent="0.45">
      <c r="B376" s="4">
        <v>21.115949238836698</v>
      </c>
      <c r="C376" s="4">
        <v>3.2684558500000003E-4</v>
      </c>
    </row>
    <row r="377" spans="2:3" x14ac:dyDescent="0.45">
      <c r="B377" s="4">
        <v>21.1159687704682</v>
      </c>
      <c r="C377" s="42">
        <v>7.5413109000000301E-5</v>
      </c>
    </row>
    <row r="378" spans="2:3" x14ac:dyDescent="0.45">
      <c r="B378" s="4">
        <v>21.115988302099701</v>
      </c>
      <c r="C378" s="42">
        <v>5.1612462000000302E-5</v>
      </c>
    </row>
    <row r="379" spans="2:3" x14ac:dyDescent="0.45">
      <c r="B379" s="4">
        <v>21.1160078337311</v>
      </c>
      <c r="C379" s="4">
        <v>2.0540125799999999E-4</v>
      </c>
    </row>
    <row r="380" spans="2:3" x14ac:dyDescent="0.45">
      <c r="B380" s="4">
        <v>21.116027365362601</v>
      </c>
      <c r="C380" s="4">
        <v>-1.05227699E-4</v>
      </c>
    </row>
    <row r="381" spans="2:3" x14ac:dyDescent="0.45">
      <c r="B381" s="4">
        <v>21.116046896994099</v>
      </c>
      <c r="C381" s="4">
        <v>1.71836243E-4</v>
      </c>
    </row>
    <row r="382" spans="2:3" x14ac:dyDescent="0.45">
      <c r="B382" s="4">
        <v>21.116066428625601</v>
      </c>
      <c r="C382" s="4">
        <v>1.4315341200000001E-4</v>
      </c>
    </row>
    <row r="383" spans="2:3" x14ac:dyDescent="0.45">
      <c r="B383" s="4">
        <v>21.116085960256999</v>
      </c>
      <c r="C383" s="42">
        <v>3.7576183000000198E-5</v>
      </c>
    </row>
    <row r="384" spans="2:3" x14ac:dyDescent="0.45">
      <c r="B384" s="4">
        <v>21.116105491888501</v>
      </c>
      <c r="C384" s="4">
        <v>1.23624676E-4</v>
      </c>
    </row>
    <row r="385" spans="2:3" x14ac:dyDescent="0.45">
      <c r="B385" s="4">
        <v>21.116125023519999</v>
      </c>
      <c r="C385" s="42">
        <v>8.6398022999999998E-5</v>
      </c>
    </row>
    <row r="386" spans="2:3" x14ac:dyDescent="0.45">
      <c r="B386" s="4">
        <v>21.1161445551515</v>
      </c>
      <c r="C386" s="4">
        <v>2.13334807E-4</v>
      </c>
    </row>
    <row r="387" spans="2:3" x14ac:dyDescent="0.45">
      <c r="B387" s="4">
        <v>21.116164086782899</v>
      </c>
      <c r="C387" s="42">
        <v>7.8464474000000206E-5</v>
      </c>
    </row>
    <row r="388" spans="2:3" x14ac:dyDescent="0.45">
      <c r="B388" s="4">
        <v>21.1161836184144</v>
      </c>
      <c r="C388" s="42">
        <v>6.1376830000000305E-5</v>
      </c>
    </row>
    <row r="389" spans="2:3" x14ac:dyDescent="0.45">
      <c r="B389" s="4">
        <v>21.116203150045902</v>
      </c>
      <c r="C389" s="4">
        <v>1.88313614E-4</v>
      </c>
    </row>
    <row r="390" spans="2:3" x14ac:dyDescent="0.45">
      <c r="B390" s="4">
        <v>21.116222681677399</v>
      </c>
      <c r="C390" s="4">
        <v>3.3599968000000001E-4</v>
      </c>
    </row>
    <row r="391" spans="2:3" x14ac:dyDescent="0.45">
      <c r="B391" s="4">
        <v>21.116242213308901</v>
      </c>
      <c r="C391" s="4">
        <v>7.16810032E-4</v>
      </c>
    </row>
    <row r="392" spans="2:3" x14ac:dyDescent="0.45">
      <c r="B392" s="4">
        <v>21.116261744940299</v>
      </c>
      <c r="C392" s="4">
        <v>5.6546232799999996E-4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Caolin</vt:lpstr>
      <vt:lpstr>Limo-Arenoso</vt:lpstr>
      <vt:lpstr>EjemploTOF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2025-04-24T19:02:27Z</dcterms:modified>
</cp:coreProperties>
</file>