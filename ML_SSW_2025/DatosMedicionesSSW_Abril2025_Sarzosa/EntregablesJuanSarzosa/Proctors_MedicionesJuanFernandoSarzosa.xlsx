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13_ncr:1_{3F983981-3E5F-4CC5-B504-03B96FF13879}" xr6:coauthVersionLast="47" xr6:coauthVersionMax="47" xr10:uidLastSave="{00000000-0000-0000-0000-000000000000}"/>
  <bookViews>
    <workbookView xWindow="-98" yWindow="-98" windowWidth="21795" windowHeight="12975" xr2:uid="{4959F82E-6D8C-417F-AFCD-C39AFDB3CEB5}"/>
  </bookViews>
  <sheets>
    <sheet name="Arena" sheetId="5" r:id="rId1"/>
    <sheet name="Base" sheetId="4" r:id="rId2"/>
    <sheet name="Caolin" sheetId="3" r:id="rId3"/>
    <sheet name="Limo-Arenos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" l="1"/>
  <c r="J8" i="5" s="1"/>
  <c r="H6" i="5"/>
  <c r="J6" i="5" s="1"/>
  <c r="H11" i="4"/>
  <c r="J11" i="4" s="1"/>
  <c r="H12" i="4"/>
  <c r="J12" i="4" s="1"/>
  <c r="H7" i="4"/>
  <c r="J7" i="4" s="1"/>
  <c r="H14" i="3"/>
  <c r="J14" i="3" s="1"/>
  <c r="H13" i="3"/>
  <c r="J13" i="3" s="1"/>
  <c r="H12" i="3"/>
  <c r="J12" i="3" s="1"/>
  <c r="H10" i="3"/>
  <c r="J10" i="3" s="1"/>
  <c r="P15" i="5"/>
  <c r="H15" i="5"/>
  <c r="J15" i="5" s="1"/>
  <c r="P9" i="5"/>
  <c r="H9" i="5"/>
  <c r="J9" i="5" s="1"/>
  <c r="P20" i="4"/>
  <c r="I20" i="4" s="1"/>
  <c r="H20" i="4"/>
  <c r="J20" i="4" s="1"/>
  <c r="P9" i="4"/>
  <c r="I9" i="4" s="1"/>
  <c r="H9" i="4"/>
  <c r="J9" i="4" s="1"/>
  <c r="H19" i="4"/>
  <c r="J19" i="4" s="1"/>
  <c r="H18" i="4"/>
  <c r="J18" i="4" s="1"/>
  <c r="H17" i="4"/>
  <c r="J17" i="4" s="1"/>
  <c r="H16" i="4"/>
  <c r="J16" i="4" s="1"/>
  <c r="P16" i="4"/>
  <c r="I16" i="4" s="1"/>
  <c r="P8" i="5"/>
  <c r="I8" i="5" s="1"/>
  <c r="P5" i="5"/>
  <c r="I5" i="5" s="1"/>
  <c r="P6" i="5"/>
  <c r="I6" i="5" s="1"/>
  <c r="P7" i="5"/>
  <c r="I7" i="5" s="1"/>
  <c r="P19" i="4"/>
  <c r="I19" i="4" s="1"/>
  <c r="P20" i="5"/>
  <c r="H20" i="5"/>
  <c r="J20" i="5" s="1"/>
  <c r="P19" i="5"/>
  <c r="I19" i="5" s="1"/>
  <c r="H19" i="5"/>
  <c r="J19" i="5" s="1"/>
  <c r="P18" i="5"/>
  <c r="I18" i="5" s="1"/>
  <c r="H18" i="5"/>
  <c r="J18" i="5" s="1"/>
  <c r="P17" i="5"/>
  <c r="I17" i="5" s="1"/>
  <c r="H17" i="5"/>
  <c r="J17" i="5" s="1"/>
  <c r="P14" i="5"/>
  <c r="I14" i="5" s="1"/>
  <c r="H14" i="5"/>
  <c r="J14" i="5" s="1"/>
  <c r="P13" i="5"/>
  <c r="I13" i="5" s="1"/>
  <c r="H13" i="5"/>
  <c r="J13" i="5" s="1"/>
  <c r="P12" i="5"/>
  <c r="I12" i="5" s="1"/>
  <c r="H12" i="5"/>
  <c r="J12" i="5" s="1"/>
  <c r="P11" i="5"/>
  <c r="I11" i="5" s="1"/>
  <c r="H11" i="5"/>
  <c r="J11" i="5" s="1"/>
  <c r="H7" i="5"/>
  <c r="J7" i="5" s="1"/>
  <c r="H5" i="5"/>
  <c r="J5" i="5" s="1"/>
  <c r="P18" i="4"/>
  <c r="I18" i="4" s="1"/>
  <c r="P17" i="4"/>
  <c r="I17" i="4" s="1"/>
  <c r="P14" i="4"/>
  <c r="I14" i="4" s="1"/>
  <c r="H14" i="4"/>
  <c r="J14" i="4" s="1"/>
  <c r="P13" i="4"/>
  <c r="I13" i="4" s="1"/>
  <c r="H13" i="4"/>
  <c r="J13" i="4" s="1"/>
  <c r="P12" i="4"/>
  <c r="I12" i="4"/>
  <c r="P11" i="4"/>
  <c r="I11" i="4" s="1"/>
  <c r="P8" i="4"/>
  <c r="I8" i="4" s="1"/>
  <c r="H8" i="4"/>
  <c r="J8" i="4" s="1"/>
  <c r="P7" i="4"/>
  <c r="I7" i="4" s="1"/>
  <c r="P6" i="4"/>
  <c r="I6" i="4" s="1"/>
  <c r="H6" i="4"/>
  <c r="J6" i="4" s="1"/>
  <c r="P5" i="4"/>
  <c r="I5" i="4" s="1"/>
  <c r="H5" i="4"/>
  <c r="J5" i="4" s="1"/>
  <c r="P9" i="1"/>
  <c r="H9" i="1"/>
  <c r="J9" i="1" s="1"/>
  <c r="P14" i="3"/>
  <c r="I14" i="3" s="1"/>
  <c r="P19" i="3"/>
  <c r="I19" i="3" s="1"/>
  <c r="H19" i="3"/>
  <c r="J19" i="3" s="1"/>
  <c r="P18" i="3"/>
  <c r="I18" i="3" s="1"/>
  <c r="H18" i="3"/>
  <c r="J18" i="3" s="1"/>
  <c r="P17" i="3"/>
  <c r="I17" i="3" s="1"/>
  <c r="H17" i="3"/>
  <c r="J17" i="3" s="1"/>
  <c r="P16" i="3"/>
  <c r="I16" i="3" s="1"/>
  <c r="H16" i="3"/>
  <c r="J16" i="3" s="1"/>
  <c r="P13" i="3"/>
  <c r="I13" i="3" s="1"/>
  <c r="P12" i="3"/>
  <c r="I12" i="3" s="1"/>
  <c r="P11" i="3"/>
  <c r="I11" i="3" s="1"/>
  <c r="H11" i="3"/>
  <c r="J11" i="3" s="1"/>
  <c r="P10" i="3"/>
  <c r="I10" i="3" s="1"/>
  <c r="P8" i="3"/>
  <c r="I8" i="3" s="1"/>
  <c r="H8" i="3"/>
  <c r="J8" i="3" s="1"/>
  <c r="P7" i="3"/>
  <c r="I7" i="3" s="1"/>
  <c r="H7" i="3"/>
  <c r="J7" i="3" s="1"/>
  <c r="P6" i="3"/>
  <c r="I6" i="3" s="1"/>
  <c r="H6" i="3"/>
  <c r="J6" i="3" s="1"/>
  <c r="P5" i="3"/>
  <c r="I5" i="3" s="1"/>
  <c r="H5" i="3"/>
  <c r="J5" i="3" s="1"/>
  <c r="I9" i="1" l="1"/>
  <c r="K7" i="3"/>
  <c r="K12" i="4"/>
  <c r="I15" i="5"/>
  <c r="I9" i="5"/>
  <c r="I20" i="5"/>
  <c r="K20" i="5" s="1"/>
  <c r="K17" i="4"/>
  <c r="K19" i="3"/>
  <c r="K9" i="5"/>
  <c r="K15" i="5"/>
  <c r="K16" i="4"/>
  <c r="K17" i="5"/>
  <c r="K20" i="4"/>
  <c r="K9" i="4"/>
  <c r="K18" i="5"/>
  <c r="K14" i="5"/>
  <c r="K18" i="4"/>
  <c r="K11" i="5"/>
  <c r="K7" i="5"/>
  <c r="K12" i="5"/>
  <c r="K13" i="5"/>
  <c r="K8" i="5"/>
  <c r="K5" i="5"/>
  <c r="K6" i="5"/>
  <c r="K19" i="5"/>
  <c r="K11" i="4"/>
  <c r="K5" i="4"/>
  <c r="K7" i="4"/>
  <c r="K6" i="4"/>
  <c r="K14" i="4"/>
  <c r="K19" i="4"/>
  <c r="K13" i="4"/>
  <c r="K8" i="4"/>
  <c r="K9" i="1"/>
  <c r="K14" i="3"/>
  <c r="K16" i="3"/>
  <c r="K18" i="3"/>
  <c r="K17" i="3"/>
  <c r="K13" i="3"/>
  <c r="K12" i="3"/>
  <c r="K10" i="3"/>
  <c r="K8" i="3"/>
  <c r="K6" i="3"/>
  <c r="K5" i="3"/>
  <c r="K11" i="3"/>
  <c r="P8" i="1"/>
  <c r="H8" i="1"/>
  <c r="J8" i="1" s="1"/>
  <c r="P16" i="1"/>
  <c r="P17" i="1"/>
  <c r="P18" i="1"/>
  <c r="P19" i="1"/>
  <c r="P12" i="1"/>
  <c r="P13" i="1"/>
  <c r="P14" i="1"/>
  <c r="P11" i="1"/>
  <c r="P6" i="1"/>
  <c r="P7" i="1"/>
  <c r="P5" i="1"/>
  <c r="H17" i="1"/>
  <c r="J17" i="1" s="1"/>
  <c r="H18" i="1"/>
  <c r="J18" i="1" s="1"/>
  <c r="H19" i="1"/>
  <c r="J19" i="1" s="1"/>
  <c r="H16" i="1"/>
  <c r="J16" i="1" s="1"/>
  <c r="H6" i="1"/>
  <c r="J6" i="1" s="1"/>
  <c r="H7" i="1"/>
  <c r="J7" i="1" s="1"/>
  <c r="H11" i="1"/>
  <c r="J11" i="1" s="1"/>
  <c r="H12" i="1"/>
  <c r="J12" i="1" s="1"/>
  <c r="H13" i="1"/>
  <c r="J13" i="1" s="1"/>
  <c r="H14" i="1"/>
  <c r="J14" i="1" s="1"/>
  <c r="H5" i="1"/>
  <c r="J5" i="1" s="1"/>
  <c r="I5" i="1" l="1"/>
  <c r="K5" i="1" s="1"/>
  <c r="I7" i="1"/>
  <c r="K7" i="1" s="1"/>
  <c r="I6" i="1"/>
  <c r="K6" i="1" s="1"/>
  <c r="I11" i="1"/>
  <c r="I14" i="1"/>
  <c r="K14" i="1" s="1"/>
  <c r="I13" i="1"/>
  <c r="K13" i="1" s="1"/>
  <c r="I12" i="1"/>
  <c r="K12" i="1" s="1"/>
  <c r="I19" i="1"/>
  <c r="K19" i="1" s="1"/>
  <c r="I18" i="1"/>
  <c r="K18" i="1" s="1"/>
  <c r="I17" i="1"/>
  <c r="K17" i="1" s="1"/>
  <c r="I16" i="1"/>
  <c r="K16" i="1" s="1"/>
  <c r="I8" i="1"/>
  <c r="K8" i="1"/>
  <c r="K11" i="1"/>
</calcChain>
</file>

<file path=xl/sharedStrings.xml><?xml version="1.0" encoding="utf-8"?>
<sst xmlns="http://schemas.openxmlformats.org/spreadsheetml/2006/main" count="266" uniqueCount="34">
  <si>
    <t>Molde</t>
  </si>
  <si>
    <t>M1</t>
  </si>
  <si>
    <t>M2</t>
  </si>
  <si>
    <t>M3</t>
  </si>
  <si>
    <t>M4</t>
  </si>
  <si>
    <t>M5</t>
  </si>
  <si>
    <t>M6</t>
  </si>
  <si>
    <t>M7</t>
  </si>
  <si>
    <t>[g]</t>
  </si>
  <si>
    <t>Proctor</t>
  </si>
  <si>
    <t>Estandar</t>
  </si>
  <si>
    <t>Humedad</t>
  </si>
  <si>
    <t>ρ_hum</t>
  </si>
  <si>
    <t>ρ_dry</t>
  </si>
  <si>
    <t>[-]</t>
  </si>
  <si>
    <t>[g/cm3]</t>
  </si>
  <si>
    <t>Resultados Proctor</t>
  </si>
  <si>
    <t>[%]</t>
  </si>
  <si>
    <t>M_t</t>
  </si>
  <si>
    <t>M_m</t>
  </si>
  <si>
    <t>V_m</t>
  </si>
  <si>
    <t>[cm3]</t>
  </si>
  <si>
    <t>M_m+M_s_h</t>
  </si>
  <si>
    <t>M_s_h</t>
  </si>
  <si>
    <t>M__t+M_s_h</t>
  </si>
  <si>
    <t>M__t+M_s_d</t>
  </si>
  <si>
    <t>Modificado</t>
  </si>
  <si>
    <t>M8</t>
  </si>
  <si>
    <t>MOD 56</t>
  </si>
  <si>
    <t>Estándar</t>
  </si>
  <si>
    <t>56/Modificado</t>
  </si>
  <si>
    <t>% Humedad</t>
  </si>
  <si>
    <t>Densidad Seca</t>
  </si>
  <si>
    <t>Óptimo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</si>
</sst>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0" fontId="0" fillId="2" borderId="0" xfId="0" applyFill="1" applyAlignment="1">
      <alignment vertical="center" textRotation="90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Arena!$P$5:$P$9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09-4215-9740-102EA1CDFD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Arena!$Y$7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Arena!$Z$7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09-4215-9740-102EA1CD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Arena!$P$11:$P$15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0.15466961978589905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1.9366819760124112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30C-4616-A54E-D93DE61E48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Arena!$Y$13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Arena!$Z$13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30C-4616-A54E-D93DE61E4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Arena!$P$17:$P$20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0.12471719457013565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2.0469253173491508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73-4972-B804-130B15B250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Arena!$Y$19</c:f>
              <c:numCache>
                <c:formatCode>0.00%</c:formatCode>
                <c:ptCount val="1"/>
                <c:pt idx="0">
                  <c:v>8.4000000000000005E-2</c:v>
                </c:pt>
              </c:numCache>
            </c:numRef>
          </c:xVal>
          <c:yVal>
            <c:numRef>
              <c:f>Arena!$Z$19</c:f>
              <c:numCache>
                <c:formatCode>0.000</c:formatCode>
                <c:ptCount val="1"/>
                <c:pt idx="0">
                  <c:v>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73-4972-B804-130B15B2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Base!$P$5:$P$9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0.14467683598050002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1.9621424868528743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DC-4264-A27A-9440713335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Base!$Y$7</c:f>
              <c:numCache>
                <c:formatCode>0.00%</c:formatCode>
                <c:ptCount val="1"/>
                <c:pt idx="0">
                  <c:v>0.105</c:v>
                </c:pt>
              </c:numCache>
            </c:numRef>
          </c:xVal>
          <c:yVal>
            <c:numRef>
              <c:f>Base!$Z$7</c:f>
              <c:numCache>
                <c:formatCode>0.000</c:formatCode>
                <c:ptCount val="1"/>
                <c:pt idx="0">
                  <c:v>2.0550000000000002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DC-4264-A27A-944071333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Base!$P$11:$P$14</c:f>
              <c:numCache>
                <c:formatCode>0.000%</c:formatCode>
                <c:ptCount val="4"/>
                <c:pt idx="0">
                  <c:v>4.8944900351699717E-2</c:v>
                </c:pt>
                <c:pt idx="1">
                  <c:v>7.4972436604189868E-2</c:v>
                </c:pt>
                <c:pt idx="2">
                  <c:v>0.10350404312668453</c:v>
                </c:pt>
                <c:pt idx="3">
                  <c:v>0.12465208747514901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2.0986040718934076</c:v>
                </c:pt>
                <c:pt idx="1">
                  <c:v>2.1505578952158984</c:v>
                </c:pt>
                <c:pt idx="2">
                  <c:v>2.1491556953798447</c:v>
                </c:pt>
                <c:pt idx="3">
                  <c:v>2.0826248287175693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1E-42EF-A369-719B250A57A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Base!$Y$13</c:f>
              <c:numCache>
                <c:formatCode>0.00%</c:formatCode>
                <c:ptCount val="1"/>
                <c:pt idx="0">
                  <c:v>8.6999999999999994E-2</c:v>
                </c:pt>
              </c:numCache>
            </c:numRef>
          </c:xVal>
          <c:yVal>
            <c:numRef>
              <c:f>Base!$Z$13</c:f>
              <c:numCache>
                <c:formatCode>0.000</c:formatCode>
                <c:ptCount val="1"/>
                <c:pt idx="0">
                  <c:v>2.16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1E-42EF-A369-719B250A5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Base!$P$16:$P$20</c:f>
              <c:numCache>
                <c:formatCode>0.000%</c:formatCode>
                <c:ptCount val="5"/>
                <c:pt idx="0">
                  <c:v>5.3619965406473978E-2</c:v>
                </c:pt>
                <c:pt idx="1">
                  <c:v>5.0349313418453466E-2</c:v>
                </c:pt>
                <c:pt idx="2">
                  <c:v>0.10695187165775413</c:v>
                </c:pt>
                <c:pt idx="3">
                  <c:v>9.908861741322475E-2</c:v>
                </c:pt>
                <c:pt idx="4">
                  <c:v>7.5044883303410997E-2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2.1147467976506751</c:v>
                </c:pt>
                <c:pt idx="1">
                  <c:v>2.0745198801686033</c:v>
                </c:pt>
                <c:pt idx="2">
                  <c:v>2.0026690632974198</c:v>
                </c:pt>
                <c:pt idx="3">
                  <c:v>2.1157648078995304</c:v>
                </c:pt>
                <c:pt idx="4">
                  <c:v>2.203277371620509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D5-4906-8CCE-7799993FDF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Base!$Y$18</c:f>
              <c:numCache>
                <c:formatCode>0.00%</c:formatCode>
                <c:ptCount val="1"/>
                <c:pt idx="0">
                  <c:v>7.8E-2</c:v>
                </c:pt>
              </c:numCache>
            </c:numRef>
          </c:xVal>
          <c:yVal>
            <c:numRef>
              <c:f>Base!$Z$18</c:f>
              <c:numCache>
                <c:formatCode>0.000</c:formatCode>
                <c:ptCount val="1"/>
                <c:pt idx="0">
                  <c:v>2.21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D5-4906-8CCE-7799993FD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Caolin!$P$5:$P$8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774-4B6C-A96E-AA703CBEE9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Caolin!$Y$7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Caolin!$Z$7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774-4B6C-A96E-AA703CBE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Caolin!$P$10:$P$14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8D-4112-B81F-6F3FE965BE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Caolin!$Y$12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Caolin!$Z$12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8D-4112-B81F-6F3FE965B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Caolin!$P$16:$P$19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B2-43E4-B0CD-EAC84C1739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Caolin!$Y$18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Caolin!$Z$18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B2-43E4-B0CD-EAC84C173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'Limo-Arenoso'!$P$5:$P$9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'Limo-Arenoso'!$Y$7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'Limo-Arenoso'!$Z$7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E-40FD-9C6B-D2D9D77E9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'Limo-Arenoso'!$P$11:$P$14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37-4252-9284-DE5C99E7B85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'Limo-Arenoso'!$Y$13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'Limo-Arenoso'!$Z$13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37-4252-9284-DE5C99E7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'Limo-Arenoso'!$P$16:$P$19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866-4EBF-BF89-2A090E3AEE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'Limo-Arenoso'!$Y$18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'Limo-Arenoso'!$Z$18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866-4EBF-BF89-2A090E3A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307504</xdr:colOff>
      <xdr:row>2</xdr:row>
      <xdr:rowOff>29312</xdr:rowOff>
    </xdr:from>
    <xdr:to>
      <xdr:col>23</xdr:col>
      <xdr:colOff>103130</xdr:colOff>
      <xdr:row>9</xdr:row>
      <xdr:rowOff>247186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289874</xdr:colOff>
      <xdr:row>9</xdr:row>
      <xdr:rowOff>479229</xdr:rowOff>
    </xdr:from>
    <xdr:to>
      <xdr:col>23</xdr:col>
      <xdr:colOff>85500</xdr:colOff>
      <xdr:row>15</xdr:row>
      <xdr:rowOff>241265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271823</xdr:colOff>
      <xdr:row>15</xdr:row>
      <xdr:rowOff>480376</xdr:rowOff>
    </xdr:from>
    <xdr:to>
      <xdr:col>23</xdr:col>
      <xdr:colOff>67449</xdr:colOff>
      <xdr:row>21</xdr:row>
      <xdr:rowOff>153965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201590</xdr:colOff>
      <xdr:row>1</xdr:row>
      <xdr:rowOff>38689</xdr:rowOff>
    </xdr:from>
    <xdr:to>
      <xdr:col>22</xdr:col>
      <xdr:colOff>643555</xdr:colOff>
      <xdr:row>9</xdr:row>
      <xdr:rowOff>379029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208305</xdr:colOff>
      <xdr:row>9</xdr:row>
      <xdr:rowOff>496460</xdr:rowOff>
    </xdr:from>
    <xdr:to>
      <xdr:col>23</xdr:col>
      <xdr:colOff>3930</xdr:colOff>
      <xdr:row>14</xdr:row>
      <xdr:rowOff>564656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218657</xdr:colOff>
      <xdr:row>14</xdr:row>
      <xdr:rowOff>676409</xdr:rowOff>
    </xdr:from>
    <xdr:to>
      <xdr:col>23</xdr:col>
      <xdr:colOff>14282</xdr:colOff>
      <xdr:row>23</xdr:row>
      <xdr:rowOff>84659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404211</xdr:colOff>
      <xdr:row>1</xdr:row>
      <xdr:rowOff>3986</xdr:rowOff>
    </xdr:from>
    <xdr:to>
      <xdr:col>23</xdr:col>
      <xdr:colOff>199837</xdr:colOff>
      <xdr:row>8</xdr:row>
      <xdr:rowOff>453183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399881</xdr:colOff>
      <xdr:row>8</xdr:row>
      <xdr:rowOff>597115</xdr:rowOff>
    </xdr:from>
    <xdr:to>
      <xdr:col>23</xdr:col>
      <xdr:colOff>195506</xdr:colOff>
      <xdr:row>14</xdr:row>
      <xdr:rowOff>488418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397562</xdr:colOff>
      <xdr:row>14</xdr:row>
      <xdr:rowOff>633224</xdr:rowOff>
    </xdr:from>
    <xdr:to>
      <xdr:col>23</xdr:col>
      <xdr:colOff>193187</xdr:colOff>
      <xdr:row>23</xdr:row>
      <xdr:rowOff>34671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547086</xdr:colOff>
      <xdr:row>1</xdr:row>
      <xdr:rowOff>152402</xdr:rowOff>
    </xdr:from>
    <xdr:to>
      <xdr:col>23</xdr:col>
      <xdr:colOff>342711</xdr:colOff>
      <xdr:row>9</xdr:row>
      <xdr:rowOff>329456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547087</xdr:colOff>
      <xdr:row>9</xdr:row>
      <xdr:rowOff>501861</xdr:rowOff>
    </xdr:from>
    <xdr:to>
      <xdr:col>23</xdr:col>
      <xdr:colOff>342712</xdr:colOff>
      <xdr:row>14</xdr:row>
      <xdr:rowOff>406771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560850</xdr:colOff>
      <xdr:row>14</xdr:row>
      <xdr:rowOff>578796</xdr:rowOff>
    </xdr:from>
    <xdr:to>
      <xdr:col>23</xdr:col>
      <xdr:colOff>356475</xdr:colOff>
      <xdr:row>21</xdr:row>
      <xdr:rowOff>116315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Z42"/>
  <sheetViews>
    <sheetView tabSelected="1" zoomScale="70" zoomScaleNormal="70" workbookViewId="0">
      <selection activeCell="E24" sqref="E24"/>
    </sheetView>
  </sheetViews>
  <sheetFormatPr defaultColWidth="9" defaultRowHeight="14.25" x14ac:dyDescent="0.45"/>
  <cols>
    <col min="1" max="1" width="9" style="1"/>
    <col min="2" max="2" width="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1" width="7.1328125" style="1" customWidth="1"/>
    <col min="12" max="12" width="4" style="1" customWidth="1"/>
    <col min="13" max="13" width="8.1328125" style="1" customWidth="1"/>
    <col min="14" max="14" width="12.1328125" style="1" customWidth="1"/>
    <col min="15" max="15" width="11.1328125" style="1" customWidth="1"/>
    <col min="16" max="16" width="9.33203125" style="1" bestFit="1" customWidth="1"/>
    <col min="17" max="24" width="9" style="1"/>
    <col min="25" max="26" width="13.1328125" style="1" customWidth="1"/>
    <col min="27" max="16384" width="9" style="1"/>
  </cols>
  <sheetData>
    <row r="2" spans="2:26" x14ac:dyDescent="0.45">
      <c r="C2" s="26" t="s">
        <v>16</v>
      </c>
      <c r="D2" s="26"/>
      <c r="E2" s="26"/>
      <c r="F2" s="26"/>
      <c r="G2" s="26"/>
      <c r="H2" s="26"/>
      <c r="I2" s="26"/>
      <c r="J2" s="26"/>
      <c r="K2" s="26"/>
      <c r="L2" s="2"/>
      <c r="M2" s="26" t="s">
        <v>11</v>
      </c>
      <c r="N2" s="26"/>
      <c r="O2" s="26"/>
      <c r="P2" s="26"/>
    </row>
    <row r="3" spans="2:26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2"/>
      <c r="M3" s="6" t="s">
        <v>18</v>
      </c>
      <c r="N3" s="6" t="s">
        <v>24</v>
      </c>
      <c r="O3" s="6" t="s">
        <v>25</v>
      </c>
      <c r="P3" s="6" t="s">
        <v>11</v>
      </c>
    </row>
    <row r="4" spans="2:26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"/>
      <c r="M4" s="2" t="s">
        <v>8</v>
      </c>
      <c r="N4" s="2" t="s">
        <v>8</v>
      </c>
      <c r="O4" s="2" t="s">
        <v>8</v>
      </c>
      <c r="P4" s="2" t="s">
        <v>17</v>
      </c>
    </row>
    <row r="5" spans="2:26" ht="21.85" customHeight="1" x14ac:dyDescent="0.45">
      <c r="B5" s="27" t="s">
        <v>29</v>
      </c>
      <c r="C5" s="4" t="s">
        <v>10</v>
      </c>
      <c r="D5" s="4" t="s">
        <v>5</v>
      </c>
      <c r="E5" s="4">
        <v>3577</v>
      </c>
      <c r="F5" s="3">
        <v>939.61803067669177</v>
      </c>
      <c r="G5" s="4">
        <v>5493.2</v>
      </c>
      <c r="H5" s="4">
        <f>G5-E5</f>
        <v>1916.1999999999998</v>
      </c>
      <c r="I5" s="9">
        <f>P5</f>
        <v>7.6316350458324425E-2</v>
      </c>
      <c r="J5" s="4">
        <f>H5/F5</f>
        <v>2.0393393245338167</v>
      </c>
      <c r="K5" s="4">
        <f>J5/(1+I5)</f>
        <v>1.8947397051669903</v>
      </c>
      <c r="L5" s="2"/>
      <c r="M5" s="4">
        <v>18.78</v>
      </c>
      <c r="N5" s="4">
        <v>69.27</v>
      </c>
      <c r="O5" s="4">
        <v>65.69</v>
      </c>
      <c r="P5" s="8">
        <f>((N5-M5)-(O5-M5))/(O5-M5)</f>
        <v>7.6316350458324425E-2</v>
      </c>
      <c r="Y5" s="28" t="s">
        <v>33</v>
      </c>
      <c r="Z5" s="28"/>
    </row>
    <row r="6" spans="2:26" ht="21.85" customHeight="1" x14ac:dyDescent="0.45">
      <c r="B6" s="27"/>
      <c r="C6" s="4" t="s">
        <v>10</v>
      </c>
      <c r="D6" s="4" t="s">
        <v>6</v>
      </c>
      <c r="E6" s="4">
        <v>3550.8</v>
      </c>
      <c r="F6" s="3">
        <v>939.61803067669177</v>
      </c>
      <c r="G6" s="4">
        <v>5543.4</v>
      </c>
      <c r="H6" s="4">
        <f t="shared" ref="H6:H20" si="0">G6-E6</f>
        <v>1992.5999999999995</v>
      </c>
      <c r="I6" s="9">
        <f t="shared" ref="I6:I20" si="1">P6</f>
        <v>9.6030729833546741E-2</v>
      </c>
      <c r="J6" s="4">
        <f t="shared" ref="J6:J20" si="2">H6/F6</f>
        <v>2.1206489604770291</v>
      </c>
      <c r="K6" s="4">
        <f t="shared" ref="K6:K20" si="3">J6/(1+I6)</f>
        <v>1.9348444370707474</v>
      </c>
      <c r="L6" s="2"/>
      <c r="M6" s="4">
        <v>17.87</v>
      </c>
      <c r="N6" s="4">
        <v>60.67</v>
      </c>
      <c r="O6" s="4">
        <v>56.92</v>
      </c>
      <c r="P6" s="8">
        <f>((N6-M6)-(O6-M6))/(O6-M6)</f>
        <v>9.6030729833546741E-2</v>
      </c>
      <c r="Y6" s="6" t="s">
        <v>31</v>
      </c>
      <c r="Z6" s="6" t="s">
        <v>32</v>
      </c>
    </row>
    <row r="7" spans="2:26" ht="21.85" customHeight="1" x14ac:dyDescent="0.45">
      <c r="B7" s="27"/>
      <c r="C7" s="4" t="s">
        <v>10</v>
      </c>
      <c r="D7" s="4" t="s">
        <v>7</v>
      </c>
      <c r="E7" s="4">
        <v>3564.6</v>
      </c>
      <c r="F7" s="3">
        <v>939.61803067669177</v>
      </c>
      <c r="G7" s="4">
        <v>5632.8</v>
      </c>
      <c r="H7" s="4">
        <f t="shared" si="0"/>
        <v>2068.2000000000003</v>
      </c>
      <c r="I7" s="9">
        <f t="shared" si="1"/>
        <v>0.11954206602768888</v>
      </c>
      <c r="J7" s="4">
        <f t="shared" si="2"/>
        <v>2.2011071866197898</v>
      </c>
      <c r="K7" s="4">
        <f t="shared" si="3"/>
        <v>1.9660781433873795</v>
      </c>
      <c r="L7" s="2"/>
      <c r="M7" s="4">
        <v>17.45</v>
      </c>
      <c r="N7" s="4">
        <v>59.5</v>
      </c>
      <c r="O7" s="4">
        <v>55.01</v>
      </c>
      <c r="P7" s="8">
        <f>((N7-M7)-(O7-M7))/(O7-M7)</f>
        <v>0.11954206602768888</v>
      </c>
      <c r="Y7" s="20">
        <v>0.112</v>
      </c>
      <c r="Z7" s="25">
        <v>1.9650000000000001</v>
      </c>
    </row>
    <row r="8" spans="2:26" ht="21.85" customHeight="1" x14ac:dyDescent="0.45">
      <c r="B8" s="27"/>
      <c r="C8" s="4" t="s">
        <v>10</v>
      </c>
      <c r="D8" s="4" t="s">
        <v>27</v>
      </c>
      <c r="E8" s="4">
        <v>3595.2</v>
      </c>
      <c r="F8" s="3">
        <v>939.61803067669177</v>
      </c>
      <c r="G8" s="4">
        <v>5676.8</v>
      </c>
      <c r="H8" s="4">
        <f>G8-E8</f>
        <v>2081.6000000000004</v>
      </c>
      <c r="I8" s="9">
        <f t="shared" si="1"/>
        <v>0.13162271323354713</v>
      </c>
      <c r="J8" s="4">
        <f t="shared" si="2"/>
        <v>2.215368300777369</v>
      </c>
      <c r="K8" s="4">
        <f t="shared" si="3"/>
        <v>1.9576916183018995</v>
      </c>
      <c r="L8" s="2"/>
      <c r="M8" s="4">
        <v>17.899999999999999</v>
      </c>
      <c r="N8" s="4">
        <v>65.53</v>
      </c>
      <c r="O8" s="4">
        <v>59.99</v>
      </c>
      <c r="P8" s="8">
        <f>((N8-M8)-(O8-M8))/(O8-M8)</f>
        <v>0.13162271323354713</v>
      </c>
    </row>
    <row r="9" spans="2:26" ht="21.85" customHeight="1" x14ac:dyDescent="0.45">
      <c r="B9" s="27"/>
      <c r="C9" s="4" t="s">
        <v>10</v>
      </c>
      <c r="D9" s="4" t="s">
        <v>5</v>
      </c>
      <c r="E9" s="4">
        <v>3577</v>
      </c>
      <c r="F9" s="3">
        <v>939.61803067669177</v>
      </c>
      <c r="G9" s="4">
        <v>5614.8</v>
      </c>
      <c r="H9" s="4">
        <f>G9-E9</f>
        <v>2037.8000000000002</v>
      </c>
      <c r="I9" s="9">
        <f>P9</f>
        <v>0.14385679414157856</v>
      </c>
      <c r="J9" s="4">
        <f>H9/F9</f>
        <v>2.1687536142025952</v>
      </c>
      <c r="K9" s="4">
        <f>J9/(1+I9)</f>
        <v>1.8960009900803738</v>
      </c>
      <c r="L9" s="2"/>
      <c r="M9" s="4">
        <v>19.11</v>
      </c>
      <c r="N9" s="4">
        <v>89.4</v>
      </c>
      <c r="O9" s="4">
        <v>80.56</v>
      </c>
      <c r="P9" s="8">
        <f>((N9-M9)-(O9-M9))/(O9-M9)</f>
        <v>0.14385679414157856</v>
      </c>
    </row>
    <row r="10" spans="2:26" ht="64.900000000000006" customHeight="1" x14ac:dyDescent="0.45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12"/>
    </row>
    <row r="11" spans="2:26" ht="21.85" customHeight="1" x14ac:dyDescent="0.45">
      <c r="B11" s="27" t="s">
        <v>26</v>
      </c>
      <c r="C11" s="4" t="s">
        <v>26</v>
      </c>
      <c r="D11" s="4" t="s">
        <v>1</v>
      </c>
      <c r="E11" s="4">
        <v>3579</v>
      </c>
      <c r="F11" s="3">
        <v>939.61803067669177</v>
      </c>
      <c r="G11" s="4">
        <v>5582.2</v>
      </c>
      <c r="H11" s="4">
        <f t="shared" si="0"/>
        <v>2003.1999999999998</v>
      </c>
      <c r="I11" s="9">
        <f t="shared" si="1"/>
        <v>5.7142857142856933E-2</v>
      </c>
      <c r="J11" s="4">
        <f t="shared" si="2"/>
        <v>2.1319301403330249</v>
      </c>
      <c r="K11" s="4">
        <f t="shared" si="3"/>
        <v>2.016690673287997</v>
      </c>
      <c r="L11" s="2"/>
      <c r="M11" s="4">
        <v>18.989999999999998</v>
      </c>
      <c r="N11" s="4">
        <v>52.29</v>
      </c>
      <c r="O11" s="4">
        <v>50.49</v>
      </c>
      <c r="P11" s="10">
        <f>((N11-M11)-(O11-M11))/(O11-M11)</f>
        <v>5.7142857142856933E-2</v>
      </c>
      <c r="Y11" s="28" t="s">
        <v>33</v>
      </c>
      <c r="Z11" s="28"/>
    </row>
    <row r="12" spans="2:26" ht="21.85" customHeight="1" x14ac:dyDescent="0.45">
      <c r="B12" s="27"/>
      <c r="C12" s="4" t="s">
        <v>26</v>
      </c>
      <c r="D12" s="4" t="s">
        <v>2</v>
      </c>
      <c r="E12" s="4">
        <v>3573.4</v>
      </c>
      <c r="F12" s="3">
        <v>939.61803067669177</v>
      </c>
      <c r="G12" s="4">
        <v>5629.4</v>
      </c>
      <c r="H12" s="4">
        <f t="shared" si="0"/>
        <v>2055.9999999999995</v>
      </c>
      <c r="I12" s="9">
        <f t="shared" si="1"/>
        <v>6.9455103607060725E-2</v>
      </c>
      <c r="J12" s="4">
        <f t="shared" si="2"/>
        <v>2.1881231871628883</v>
      </c>
      <c r="K12" s="4">
        <f t="shared" si="3"/>
        <v>2.0460168732495467</v>
      </c>
      <c r="L12" s="2"/>
      <c r="M12" s="4">
        <v>16.7</v>
      </c>
      <c r="N12" s="4">
        <v>44.57</v>
      </c>
      <c r="O12" s="4">
        <v>42.76</v>
      </c>
      <c r="P12" s="10">
        <f>((N12-M12)-(O12-M12))/(O12-M12)</f>
        <v>6.9455103607060725E-2</v>
      </c>
      <c r="Y12" s="6" t="s">
        <v>31</v>
      </c>
      <c r="Z12" s="6" t="s">
        <v>32</v>
      </c>
    </row>
    <row r="13" spans="2:26" ht="21.85" customHeight="1" x14ac:dyDescent="0.45">
      <c r="B13" s="27"/>
      <c r="C13" s="4" t="s">
        <v>26</v>
      </c>
      <c r="D13" s="4" t="s">
        <v>3</v>
      </c>
      <c r="E13" s="4">
        <v>3555.8</v>
      </c>
      <c r="F13" s="3">
        <v>939.61803067669177</v>
      </c>
      <c r="G13" s="4">
        <v>5668</v>
      </c>
      <c r="H13" s="4">
        <f t="shared" si="0"/>
        <v>2112.1999999999998</v>
      </c>
      <c r="I13" s="9">
        <f t="shared" si="1"/>
        <v>9.3951093951094009E-2</v>
      </c>
      <c r="J13" s="4">
        <f t="shared" si="2"/>
        <v>2.2479347256446758</v>
      </c>
      <c r="K13" s="4">
        <f t="shared" si="3"/>
        <v>2.054876802148133</v>
      </c>
      <c r="L13" s="2"/>
      <c r="M13" s="4">
        <v>17.649999999999999</v>
      </c>
      <c r="N13" s="4">
        <v>51.65</v>
      </c>
      <c r="O13" s="4">
        <v>48.73</v>
      </c>
      <c r="P13" s="10">
        <f>((N13-M13)-(O13-M13))/(O13-M13)</f>
        <v>9.3951093951094009E-2</v>
      </c>
      <c r="Y13" s="20">
        <v>0.1</v>
      </c>
      <c r="Z13" s="25">
        <v>2.06</v>
      </c>
    </row>
    <row r="14" spans="2:26" ht="21.85" customHeight="1" x14ac:dyDescent="0.45">
      <c r="B14" s="27"/>
      <c r="C14" s="4" t="s">
        <v>26</v>
      </c>
      <c r="D14" s="4" t="s">
        <v>4</v>
      </c>
      <c r="E14" s="4">
        <v>3981.6</v>
      </c>
      <c r="F14" s="3">
        <v>939.61803067669177</v>
      </c>
      <c r="G14" s="4">
        <v>6126</v>
      </c>
      <c r="H14" s="4">
        <f t="shared" si="0"/>
        <v>2144.4</v>
      </c>
      <c r="I14" s="9">
        <f t="shared" si="1"/>
        <v>0.10994263862332682</v>
      </c>
      <c r="J14" s="4">
        <f t="shared" si="2"/>
        <v>2.2822039701128887</v>
      </c>
      <c r="K14" s="4">
        <f t="shared" si="3"/>
        <v>2.0561458679914573</v>
      </c>
      <c r="L14" s="2"/>
      <c r="M14" s="4">
        <v>18.57</v>
      </c>
      <c r="N14" s="4">
        <v>53.4</v>
      </c>
      <c r="O14" s="4">
        <v>49.95</v>
      </c>
      <c r="P14" s="10">
        <f>((N14-M14)-(O14-M14))/(O14-M14)</f>
        <v>0.10994263862332682</v>
      </c>
    </row>
    <row r="15" spans="2:26" ht="21.85" customHeight="1" x14ac:dyDescent="0.45">
      <c r="B15" s="27"/>
      <c r="C15" s="4" t="s">
        <v>26</v>
      </c>
      <c r="D15" s="4" t="s">
        <v>6</v>
      </c>
      <c r="E15" s="4">
        <v>3580.8</v>
      </c>
      <c r="F15" s="3">
        <v>939.61803067669177</v>
      </c>
      <c r="G15" s="4">
        <v>5682</v>
      </c>
      <c r="H15" s="4">
        <f t="shared" ref="H15" si="4">G15-E15</f>
        <v>2101.1999999999998</v>
      </c>
      <c r="I15" s="9">
        <f t="shared" ref="I15" si="5">P15</f>
        <v>0.15466961978589905</v>
      </c>
      <c r="J15" s="4">
        <f t="shared" ref="J15" si="6">H15/F15</f>
        <v>2.2362278408884544</v>
      </c>
      <c r="K15" s="4">
        <f t="shared" ref="K15" si="7">J15/(1+I15)</f>
        <v>1.9366819760124112</v>
      </c>
      <c r="L15" s="2"/>
      <c r="M15" s="4">
        <v>16.64</v>
      </c>
      <c r="N15" s="4">
        <v>79.2</v>
      </c>
      <c r="O15" s="4">
        <v>70.819999999999993</v>
      </c>
      <c r="P15" s="8">
        <f>((N15-M15)-(O15-M15))/(O15-M15)</f>
        <v>0.15466961978589905</v>
      </c>
    </row>
    <row r="16" spans="2:26" ht="79.5" customHeight="1" x14ac:dyDescent="0.45"/>
    <row r="17" spans="2:26" ht="21.85" customHeight="1" x14ac:dyDescent="0.45">
      <c r="B17" s="27" t="s">
        <v>30</v>
      </c>
      <c r="C17" s="4" t="s">
        <v>28</v>
      </c>
      <c r="D17" s="4" t="s">
        <v>1</v>
      </c>
      <c r="E17" s="4">
        <v>3579</v>
      </c>
      <c r="F17" s="3">
        <v>939.61803067669177</v>
      </c>
      <c r="G17" s="4">
        <v>5621</v>
      </c>
      <c r="H17" s="4">
        <f t="shared" si="0"/>
        <v>2042</v>
      </c>
      <c r="I17" s="9">
        <f t="shared" si="1"/>
        <v>4.5409015025041716E-2</v>
      </c>
      <c r="J17" s="4">
        <f t="shared" si="2"/>
        <v>2.1732235156549704</v>
      </c>
      <c r="K17" s="4">
        <f t="shared" si="3"/>
        <v>2.0788260713467381</v>
      </c>
      <c r="M17" s="4">
        <v>15.98</v>
      </c>
      <c r="N17" s="4">
        <v>47.29</v>
      </c>
      <c r="O17" s="4">
        <v>45.93</v>
      </c>
      <c r="P17" s="10">
        <f>((N17-M17)-(O17-M17))/(O17-M17)</f>
        <v>4.5409015025041716E-2</v>
      </c>
      <c r="Y17" s="28" t="s">
        <v>33</v>
      </c>
      <c r="Z17" s="28"/>
    </row>
    <row r="18" spans="2:26" ht="21.85" customHeight="1" x14ac:dyDescent="0.45">
      <c r="B18" s="27"/>
      <c r="C18" s="4" t="s">
        <v>28</v>
      </c>
      <c r="D18" s="4" t="s">
        <v>2</v>
      </c>
      <c r="E18" s="4">
        <v>3543.4</v>
      </c>
      <c r="F18" s="3">
        <v>939.61803067669177</v>
      </c>
      <c r="G18" s="4">
        <v>5694.2</v>
      </c>
      <c r="H18" s="4">
        <f t="shared" si="0"/>
        <v>2150.7999999999997</v>
      </c>
      <c r="I18" s="9">
        <f t="shared" si="1"/>
        <v>7.8056951423785534E-2</v>
      </c>
      <c r="J18" s="4">
        <f t="shared" si="2"/>
        <v>2.2890152485165083</v>
      </c>
      <c r="K18" s="4">
        <f t="shared" si="3"/>
        <v>2.1232785944132311</v>
      </c>
      <c r="M18" s="4">
        <v>23.21</v>
      </c>
      <c r="N18" s="4">
        <v>55.39</v>
      </c>
      <c r="O18" s="4">
        <v>53.06</v>
      </c>
      <c r="P18" s="10">
        <f t="shared" ref="P18:P20" si="8">((N18-M18)-(O18-M18))/(O18-M18)</f>
        <v>7.8056951423785534E-2</v>
      </c>
      <c r="Y18" s="6" t="s">
        <v>31</v>
      </c>
      <c r="Z18" s="6" t="s">
        <v>32</v>
      </c>
    </row>
    <row r="19" spans="2:26" ht="21.85" customHeight="1" x14ac:dyDescent="0.45">
      <c r="B19" s="27"/>
      <c r="C19" s="4" t="s">
        <v>28</v>
      </c>
      <c r="D19" s="4" t="s">
        <v>3</v>
      </c>
      <c r="E19" s="4">
        <v>3555.8</v>
      </c>
      <c r="F19" s="3">
        <v>939.61803067669177</v>
      </c>
      <c r="G19" s="4">
        <v>5754.4</v>
      </c>
      <c r="H19" s="4">
        <f t="shared" si="0"/>
        <v>2198.5999999999995</v>
      </c>
      <c r="I19" s="9">
        <f t="shared" si="1"/>
        <v>9.9105071262843708E-2</v>
      </c>
      <c r="J19" s="4">
        <f t="shared" si="2"/>
        <v>2.3398869840935439</v>
      </c>
      <c r="K19" s="4">
        <f t="shared" si="3"/>
        <v>2.1289019997015148</v>
      </c>
      <c r="M19" s="4">
        <v>19.21</v>
      </c>
      <c r="N19" s="4">
        <v>52.37</v>
      </c>
      <c r="O19" s="4">
        <v>49.38</v>
      </c>
      <c r="P19" s="10">
        <f t="shared" si="8"/>
        <v>9.9105071262843708E-2</v>
      </c>
      <c r="Y19" s="20">
        <v>8.4000000000000005E-2</v>
      </c>
      <c r="Z19" s="25">
        <v>2.13</v>
      </c>
    </row>
    <row r="20" spans="2:26" ht="21.85" customHeight="1" x14ac:dyDescent="0.45">
      <c r="B20" s="27"/>
      <c r="C20" s="4" t="s">
        <v>28</v>
      </c>
      <c r="D20" s="4" t="s">
        <v>4</v>
      </c>
      <c r="E20" s="4">
        <v>3981.6</v>
      </c>
      <c r="F20" s="3">
        <v>939.618030676692</v>
      </c>
      <c r="G20" s="4">
        <v>6144.8</v>
      </c>
      <c r="H20" s="4">
        <f t="shared" si="0"/>
        <v>2163.2000000000003</v>
      </c>
      <c r="I20" s="9">
        <f t="shared" si="1"/>
        <v>0.12471719457013565</v>
      </c>
      <c r="J20" s="4">
        <f t="shared" si="2"/>
        <v>2.3022121004235219</v>
      </c>
      <c r="K20" s="4">
        <f t="shared" si="3"/>
        <v>2.0469253173491508</v>
      </c>
      <c r="M20" s="4">
        <v>19.77</v>
      </c>
      <c r="N20" s="4">
        <v>59.54</v>
      </c>
      <c r="O20" s="4">
        <v>55.13</v>
      </c>
      <c r="P20" s="10">
        <f t="shared" si="8"/>
        <v>0.12471719457013565</v>
      </c>
    </row>
    <row r="41" spans="16:16" x14ac:dyDescent="0.45">
      <c r="P41" s="15"/>
    </row>
    <row r="42" spans="16:16" x14ac:dyDescent="0.45">
      <c r="P42" s="13"/>
    </row>
  </sheetData>
  <mergeCells count="8">
    <mergeCell ref="B17:B20"/>
    <mergeCell ref="Y5:Z5"/>
    <mergeCell ref="Y11:Z11"/>
    <mergeCell ref="Y17:Z17"/>
    <mergeCell ref="C2:K2"/>
    <mergeCell ref="M2:P2"/>
    <mergeCell ref="B5:B9"/>
    <mergeCell ref="B11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Z42"/>
  <sheetViews>
    <sheetView zoomScale="70" zoomScaleNormal="70" workbookViewId="0">
      <selection activeCell="Y5" sqref="Y5:Z7"/>
    </sheetView>
  </sheetViews>
  <sheetFormatPr defaultColWidth="9" defaultRowHeight="14.25" x14ac:dyDescent="0.45"/>
  <cols>
    <col min="1" max="1" width="9" style="1" customWidth="1"/>
    <col min="2" max="2" width="4.1992187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1" width="7.1328125" style="1" customWidth="1"/>
    <col min="12" max="12" width="8.53125" style="1" customWidth="1"/>
    <col min="13" max="13" width="8.1328125" style="1" customWidth="1"/>
    <col min="14" max="14" width="12.1328125" style="1" customWidth="1"/>
    <col min="15" max="15" width="11.1328125" style="1" customWidth="1"/>
    <col min="16" max="16" width="9.33203125" style="1" bestFit="1" customWidth="1"/>
    <col min="17" max="23" width="9" style="1"/>
    <col min="24" max="24" width="6.3984375" style="1" customWidth="1"/>
    <col min="25" max="26" width="12.53125" style="1" customWidth="1"/>
    <col min="27" max="16384" width="9" style="1"/>
  </cols>
  <sheetData>
    <row r="2" spans="2:26" x14ac:dyDescent="0.45">
      <c r="C2" s="26" t="s">
        <v>16</v>
      </c>
      <c r="D2" s="26"/>
      <c r="E2" s="26"/>
      <c r="F2" s="26"/>
      <c r="G2" s="26"/>
      <c r="H2" s="26"/>
      <c r="I2" s="26"/>
      <c r="J2" s="26"/>
      <c r="K2" s="26"/>
      <c r="L2" s="2"/>
      <c r="M2" s="26" t="s">
        <v>11</v>
      </c>
      <c r="N2" s="26"/>
      <c r="O2" s="26"/>
      <c r="P2" s="26"/>
    </row>
    <row r="3" spans="2:26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2"/>
      <c r="M3" s="6" t="s">
        <v>18</v>
      </c>
      <c r="N3" s="6" t="s">
        <v>24</v>
      </c>
      <c r="O3" s="6" t="s">
        <v>25</v>
      </c>
      <c r="P3" s="6" t="s">
        <v>11</v>
      </c>
    </row>
    <row r="4" spans="2:26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"/>
      <c r="M4" s="2" t="s">
        <v>8</v>
      </c>
      <c r="N4" s="2" t="s">
        <v>8</v>
      </c>
      <c r="O4" s="2" t="s">
        <v>8</v>
      </c>
      <c r="P4" s="2" t="s">
        <v>17</v>
      </c>
    </row>
    <row r="5" spans="2:26" ht="17.350000000000001" customHeight="1" x14ac:dyDescent="0.45">
      <c r="B5" s="27" t="s">
        <v>29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5719.4</v>
      </c>
      <c r="H5" s="4">
        <f>G5-E5</f>
        <v>2140.3999999999996</v>
      </c>
      <c r="I5" s="9">
        <f>P5</f>
        <v>0.10614119922630562</v>
      </c>
      <c r="J5" s="4">
        <f>H5/F5</f>
        <v>2.277946921110626</v>
      </c>
      <c r="K5" s="4">
        <f>J5/(1+I5)</f>
        <v>2.0593635990630705</v>
      </c>
      <c r="L5" s="2"/>
      <c r="M5" s="4">
        <v>19.239999999999998</v>
      </c>
      <c r="N5" s="4">
        <v>64.989999999999995</v>
      </c>
      <c r="O5" s="4">
        <v>60.6</v>
      </c>
      <c r="P5" s="8">
        <f>((N5-M5)-(O5-M5))/(O5-M5)</f>
        <v>0.10614119922630562</v>
      </c>
      <c r="Y5" s="28" t="s">
        <v>33</v>
      </c>
      <c r="Z5" s="28"/>
    </row>
    <row r="6" spans="2:26" ht="17.350000000000001" customHeight="1" x14ac:dyDescent="0.45">
      <c r="B6" s="27"/>
      <c r="C6" s="4" t="s">
        <v>10</v>
      </c>
      <c r="D6" s="4" t="s">
        <v>2</v>
      </c>
      <c r="E6" s="4">
        <v>3573.4</v>
      </c>
      <c r="F6" s="3">
        <v>939.61803067669177</v>
      </c>
      <c r="G6" s="4">
        <v>5683.8</v>
      </c>
      <c r="H6" s="4">
        <f t="shared" ref="H6:H14" si="0">G6-E6</f>
        <v>2110.4</v>
      </c>
      <c r="I6" s="9">
        <f t="shared" ref="I6:I19" si="1">P6</f>
        <v>0.14467683598050002</v>
      </c>
      <c r="J6" s="4">
        <f t="shared" ref="J6:J19" si="2">H6/F6</f>
        <v>2.2460190535936579</v>
      </c>
      <c r="K6" s="4">
        <f t="shared" ref="K6:K19" si="3">J6/(1+I6)</f>
        <v>1.9621424868528743</v>
      </c>
      <c r="L6" s="2"/>
      <c r="M6" s="4">
        <v>19.04</v>
      </c>
      <c r="N6" s="4">
        <v>91.83</v>
      </c>
      <c r="O6" s="4">
        <v>82.63</v>
      </c>
      <c r="P6" s="8">
        <f t="shared" ref="P6:P19" si="4">((N6-M6)-(O6-M6))/(O6-M6)</f>
        <v>0.14467683598050002</v>
      </c>
      <c r="Y6" s="6" t="s">
        <v>31</v>
      </c>
      <c r="Z6" s="6" t="s">
        <v>32</v>
      </c>
    </row>
    <row r="7" spans="2:26" ht="17.350000000000001" customHeight="1" x14ac:dyDescent="0.45">
      <c r="B7" s="27"/>
      <c r="C7" s="4" t="s">
        <v>10</v>
      </c>
      <c r="D7" s="4" t="s">
        <v>3</v>
      </c>
      <c r="E7" s="4">
        <v>3555.8</v>
      </c>
      <c r="F7" s="3">
        <v>939.61803067669177</v>
      </c>
      <c r="G7" s="4">
        <v>5505.8</v>
      </c>
      <c r="H7" s="4">
        <f t="shared" si="0"/>
        <v>1950</v>
      </c>
      <c r="I7" s="9">
        <f t="shared" si="1"/>
        <v>6.2609713282621576E-2</v>
      </c>
      <c r="J7" s="4">
        <f t="shared" si="2"/>
        <v>2.0753113886029344</v>
      </c>
      <c r="K7" s="4">
        <f t="shared" si="3"/>
        <v>1.9530325788119023</v>
      </c>
      <c r="L7" s="2"/>
      <c r="M7" s="4">
        <v>18.940000000000001</v>
      </c>
      <c r="N7" s="4">
        <v>73.42</v>
      </c>
      <c r="O7" s="4">
        <v>70.209999999999994</v>
      </c>
      <c r="P7" s="8">
        <f t="shared" si="4"/>
        <v>6.2609713282621576E-2</v>
      </c>
      <c r="Y7" s="20">
        <v>0.105</v>
      </c>
      <c r="Z7" s="25">
        <v>2.0550000000000002</v>
      </c>
    </row>
    <row r="8" spans="2:26" ht="17.350000000000001" customHeight="1" x14ac:dyDescent="0.45">
      <c r="B8" s="27"/>
      <c r="C8" s="4" t="s">
        <v>10</v>
      </c>
      <c r="D8" s="4" t="s">
        <v>4</v>
      </c>
      <c r="E8" s="4">
        <v>3981.6</v>
      </c>
      <c r="F8" s="3">
        <v>939.61803067669177</v>
      </c>
      <c r="G8" s="4">
        <v>6124</v>
      </c>
      <c r="H8" s="4">
        <f>G8-E8</f>
        <v>2142.4</v>
      </c>
      <c r="I8" s="9">
        <f t="shared" si="1"/>
        <v>0.10971223021582741</v>
      </c>
      <c r="J8" s="4">
        <f t="shared" si="2"/>
        <v>2.2800754456117578</v>
      </c>
      <c r="K8" s="4">
        <f t="shared" si="3"/>
        <v>2.0546546965318271</v>
      </c>
      <c r="L8" s="2"/>
      <c r="M8" s="4">
        <v>17.25</v>
      </c>
      <c r="N8" s="4">
        <v>66.61</v>
      </c>
      <c r="O8" s="4">
        <v>61.73</v>
      </c>
      <c r="P8" s="8">
        <f t="shared" si="4"/>
        <v>0.10971223021582741</v>
      </c>
    </row>
    <row r="9" spans="2:26" ht="17.350000000000001" customHeight="1" x14ac:dyDescent="0.45">
      <c r="B9" s="27"/>
      <c r="C9" s="4" t="s">
        <v>10</v>
      </c>
      <c r="D9" s="4" t="s">
        <v>7</v>
      </c>
      <c r="E9" s="4">
        <v>3564.6</v>
      </c>
      <c r="F9" s="3">
        <v>939.61803067669177</v>
      </c>
      <c r="G9" s="4">
        <v>5554.8</v>
      </c>
      <c r="H9" s="4">
        <f>G9-E9</f>
        <v>1990.2000000000003</v>
      </c>
      <c r="I9" s="9">
        <f t="shared" ref="I9" si="5">P9</f>
        <v>6.8930216686572371E-2</v>
      </c>
      <c r="J9" s="4">
        <f t="shared" ref="J9" si="6">H9/F9</f>
        <v>2.1180947310756721</v>
      </c>
      <c r="K9" s="4">
        <f t="shared" ref="K9" si="7">J9/(1+I9)</f>
        <v>1.9815088936687171</v>
      </c>
      <c r="L9" s="2"/>
      <c r="M9" s="4">
        <v>19.05</v>
      </c>
      <c r="N9" s="4">
        <v>81.7</v>
      </c>
      <c r="O9" s="4">
        <v>77.66</v>
      </c>
      <c r="P9" s="8">
        <f t="shared" ref="P9" si="8">((N9-M9)-(O9-M9))/(O9-M9)</f>
        <v>6.8930216686572371E-2</v>
      </c>
    </row>
    <row r="10" spans="2:26" ht="81.75" customHeight="1" x14ac:dyDescent="0.45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12"/>
    </row>
    <row r="11" spans="2:26" ht="17.350000000000001" customHeight="1" x14ac:dyDescent="0.45">
      <c r="B11" s="27" t="s">
        <v>26</v>
      </c>
      <c r="C11" s="4" t="s">
        <v>26</v>
      </c>
      <c r="D11" s="4" t="s">
        <v>5</v>
      </c>
      <c r="E11" s="4">
        <v>3597</v>
      </c>
      <c r="F11" s="3">
        <v>939.61803067669177</v>
      </c>
      <c r="G11" s="4">
        <v>5665.4</v>
      </c>
      <c r="H11" s="4">
        <f t="shared" si="0"/>
        <v>2068.3999999999996</v>
      </c>
      <c r="I11" s="9">
        <f t="shared" si="1"/>
        <v>4.8944900351699717E-2</v>
      </c>
      <c r="J11" s="4">
        <f t="shared" si="2"/>
        <v>2.2013200390699019</v>
      </c>
      <c r="K11" s="4">
        <f t="shared" si="3"/>
        <v>2.0986040718934076</v>
      </c>
      <c r="L11" s="2"/>
      <c r="M11" s="4">
        <v>19.399999999999999</v>
      </c>
      <c r="N11" s="4">
        <v>55.19</v>
      </c>
      <c r="O11" s="4">
        <v>53.52</v>
      </c>
      <c r="P11" s="10">
        <f t="shared" si="4"/>
        <v>4.8944900351699717E-2</v>
      </c>
      <c r="Y11" s="28" t="s">
        <v>33</v>
      </c>
      <c r="Z11" s="28"/>
    </row>
    <row r="12" spans="2:26" ht="17.350000000000001" customHeight="1" x14ac:dyDescent="0.45">
      <c r="B12" s="27"/>
      <c r="C12" s="4" t="s">
        <v>26</v>
      </c>
      <c r="D12" s="4" t="s">
        <v>6</v>
      </c>
      <c r="E12" s="4">
        <v>3560.8</v>
      </c>
      <c r="F12" s="3">
        <v>939.61803067669177</v>
      </c>
      <c r="G12" s="4">
        <v>5733</v>
      </c>
      <c r="H12" s="4">
        <f t="shared" si="0"/>
        <v>2172.1999999999998</v>
      </c>
      <c r="I12" s="9">
        <f t="shared" si="1"/>
        <v>7.4972436604189868E-2</v>
      </c>
      <c r="J12" s="4">
        <f t="shared" si="2"/>
        <v>2.3117904606786124</v>
      </c>
      <c r="K12" s="4">
        <f t="shared" si="3"/>
        <v>2.1505578952158984</v>
      </c>
      <c r="L12" s="2"/>
      <c r="M12" s="4">
        <v>18.45</v>
      </c>
      <c r="N12" s="4">
        <v>47.7</v>
      </c>
      <c r="O12" s="4">
        <v>45.66</v>
      </c>
      <c r="P12" s="10">
        <f t="shared" si="4"/>
        <v>7.4972436604189868E-2</v>
      </c>
      <c r="Y12" s="6" t="s">
        <v>31</v>
      </c>
      <c r="Z12" s="6" t="s">
        <v>32</v>
      </c>
    </row>
    <row r="13" spans="2:26" ht="17.350000000000001" customHeight="1" x14ac:dyDescent="0.45">
      <c r="B13" s="27"/>
      <c r="C13" s="4" t="s">
        <v>26</v>
      </c>
      <c r="D13" s="4" t="s">
        <v>7</v>
      </c>
      <c r="E13" s="4">
        <v>3564.6</v>
      </c>
      <c r="F13" s="3">
        <v>939.61803067669177</v>
      </c>
      <c r="G13" s="4">
        <v>5793</v>
      </c>
      <c r="H13" s="4">
        <f t="shared" si="0"/>
        <v>2228.4</v>
      </c>
      <c r="I13" s="9">
        <f t="shared" si="1"/>
        <v>0.10350404312668453</v>
      </c>
      <c r="J13" s="4">
        <f t="shared" si="2"/>
        <v>2.3716019991603998</v>
      </c>
      <c r="K13" s="4">
        <f t="shared" si="3"/>
        <v>2.1491556953798447</v>
      </c>
      <c r="L13" s="2"/>
      <c r="M13" s="4">
        <v>16.96</v>
      </c>
      <c r="N13" s="4">
        <v>57.9</v>
      </c>
      <c r="O13" s="4">
        <v>54.06</v>
      </c>
      <c r="P13" s="10">
        <f t="shared" si="4"/>
        <v>0.10350404312668453</v>
      </c>
      <c r="Y13" s="20">
        <v>8.6999999999999994E-2</v>
      </c>
      <c r="Z13" s="25">
        <v>2.16</v>
      </c>
    </row>
    <row r="14" spans="2:26" ht="17.350000000000001" customHeight="1" x14ac:dyDescent="0.45">
      <c r="B14" s="27"/>
      <c r="C14" s="4" t="s">
        <v>26</v>
      </c>
      <c r="D14" s="4" t="s">
        <v>27</v>
      </c>
      <c r="E14" s="4">
        <v>3575.2</v>
      </c>
      <c r="F14" s="3">
        <v>939.61803067669177</v>
      </c>
      <c r="G14" s="4">
        <v>5776</v>
      </c>
      <c r="H14" s="4">
        <f t="shared" si="0"/>
        <v>2200.8000000000002</v>
      </c>
      <c r="I14" s="9">
        <f t="shared" si="1"/>
        <v>0.12465208747514901</v>
      </c>
      <c r="J14" s="4">
        <f t="shared" si="2"/>
        <v>2.3422283610447892</v>
      </c>
      <c r="K14" s="4">
        <f t="shared" si="3"/>
        <v>2.0826248287175693</v>
      </c>
      <c r="L14" s="2"/>
      <c r="M14" s="4">
        <v>18.350000000000001</v>
      </c>
      <c r="N14" s="4">
        <v>74.92</v>
      </c>
      <c r="O14" s="4">
        <v>68.650000000000006</v>
      </c>
      <c r="P14" s="10">
        <f t="shared" si="4"/>
        <v>0.12465208747514901</v>
      </c>
    </row>
    <row r="15" spans="2:26" ht="73.5" customHeight="1" x14ac:dyDescent="0.45"/>
    <row r="16" spans="2:26" ht="17.350000000000001" customHeight="1" x14ac:dyDescent="0.45">
      <c r="B16" s="27" t="s">
        <v>30</v>
      </c>
      <c r="C16" s="4" t="s">
        <v>28</v>
      </c>
      <c r="D16" s="4" t="s">
        <v>1</v>
      </c>
      <c r="E16" s="4">
        <v>3579</v>
      </c>
      <c r="F16" s="3">
        <v>939.61803067669177</v>
      </c>
      <c r="G16" s="4">
        <v>5672.6</v>
      </c>
      <c r="H16" s="4">
        <f>G16-E16</f>
        <v>2093.6000000000004</v>
      </c>
      <c r="I16" s="9">
        <f>P16</f>
        <v>5.3619965406473978E-2</v>
      </c>
      <c r="J16" s="4">
        <f t="shared" si="2"/>
        <v>2.2281394477841561</v>
      </c>
      <c r="K16" s="4">
        <f>J16/(1+I16)</f>
        <v>2.1147467976506751</v>
      </c>
      <c r="M16" s="4">
        <v>17.77</v>
      </c>
      <c r="N16" s="4">
        <v>60.41</v>
      </c>
      <c r="O16" s="4">
        <v>58.24</v>
      </c>
      <c r="P16" s="10">
        <f>((N16-M16)-(O16-M16))/(O16-M16)</f>
        <v>5.3619965406473978E-2</v>
      </c>
      <c r="Y16" s="28" t="s">
        <v>33</v>
      </c>
      <c r="Z16" s="28"/>
    </row>
    <row r="17" spans="2:26" ht="17.350000000000001" customHeight="1" x14ac:dyDescent="0.45">
      <c r="B17" s="27"/>
      <c r="C17" s="4" t="s">
        <v>28</v>
      </c>
      <c r="D17" s="4" t="s">
        <v>2</v>
      </c>
      <c r="E17" s="4">
        <v>3573.4</v>
      </c>
      <c r="F17" s="3">
        <v>939.61803067669177</v>
      </c>
      <c r="G17" s="4">
        <v>5620.8</v>
      </c>
      <c r="H17" s="4">
        <f>G17-E17</f>
        <v>2047.4</v>
      </c>
      <c r="I17" s="9">
        <f t="shared" si="1"/>
        <v>5.0349313418453466E-2</v>
      </c>
      <c r="J17" s="4">
        <f t="shared" si="2"/>
        <v>2.1789705318080248</v>
      </c>
      <c r="K17" s="4">
        <f t="shared" si="3"/>
        <v>2.0745198801686033</v>
      </c>
      <c r="M17" s="4">
        <v>18.18</v>
      </c>
      <c r="N17" s="4">
        <v>61.78</v>
      </c>
      <c r="O17" s="4">
        <v>59.69</v>
      </c>
      <c r="P17" s="10">
        <f t="shared" si="4"/>
        <v>5.0349313418453466E-2</v>
      </c>
      <c r="Y17" s="6" t="s">
        <v>31</v>
      </c>
      <c r="Z17" s="6" t="s">
        <v>32</v>
      </c>
    </row>
    <row r="18" spans="2:26" ht="17.350000000000001" customHeight="1" x14ac:dyDescent="0.45">
      <c r="B18" s="27"/>
      <c r="C18" s="4" t="s">
        <v>28</v>
      </c>
      <c r="D18" s="4" t="s">
        <v>3</v>
      </c>
      <c r="E18" s="4">
        <v>3555.8</v>
      </c>
      <c r="F18" s="3">
        <v>939.61803067669177</v>
      </c>
      <c r="G18" s="4">
        <v>5638.8</v>
      </c>
      <c r="H18" s="4">
        <f>G18-E18</f>
        <v>2083</v>
      </c>
      <c r="I18" s="9">
        <f t="shared" si="1"/>
        <v>0.10695187165775413</v>
      </c>
      <c r="J18" s="4">
        <f t="shared" si="2"/>
        <v>2.2168582679281603</v>
      </c>
      <c r="K18" s="4">
        <f t="shared" si="3"/>
        <v>2.0026690632974198</v>
      </c>
      <c r="M18" s="4">
        <v>19.309999999999999</v>
      </c>
      <c r="N18" s="4">
        <v>75.2</v>
      </c>
      <c r="O18" s="4">
        <v>69.8</v>
      </c>
      <c r="P18" s="10">
        <f t="shared" si="4"/>
        <v>0.10695187165775413</v>
      </c>
      <c r="Y18" s="20">
        <v>7.8E-2</v>
      </c>
      <c r="Z18" s="25">
        <v>2.21</v>
      </c>
    </row>
    <row r="19" spans="2:26" ht="17.350000000000001" customHeight="1" x14ac:dyDescent="0.45">
      <c r="B19" s="27"/>
      <c r="C19" s="4" t="s">
        <v>28</v>
      </c>
      <c r="D19" s="4" t="s">
        <v>4</v>
      </c>
      <c r="E19" s="4">
        <v>3981.6</v>
      </c>
      <c r="F19" s="3">
        <v>939.618030676692</v>
      </c>
      <c r="G19" s="4">
        <v>6166.6</v>
      </c>
      <c r="H19" s="4">
        <f>G19-E19</f>
        <v>2185.0000000000005</v>
      </c>
      <c r="I19" s="9">
        <f t="shared" si="1"/>
        <v>9.908861741322475E-2</v>
      </c>
      <c r="J19" s="4">
        <f t="shared" si="2"/>
        <v>2.3254130174858521</v>
      </c>
      <c r="K19" s="4">
        <f t="shared" si="3"/>
        <v>2.1157648078995304</v>
      </c>
      <c r="M19" s="4">
        <v>18.95</v>
      </c>
      <c r="N19" s="4">
        <v>75.63</v>
      </c>
      <c r="O19" s="4">
        <v>70.52</v>
      </c>
      <c r="P19" s="10">
        <f t="shared" si="4"/>
        <v>9.908861741322475E-2</v>
      </c>
    </row>
    <row r="20" spans="2:26" ht="17.350000000000001" customHeight="1" x14ac:dyDescent="0.45">
      <c r="B20" s="27"/>
      <c r="C20" s="4" t="s">
        <v>26</v>
      </c>
      <c r="D20" s="4" t="s">
        <v>27</v>
      </c>
      <c r="E20" s="4">
        <v>3575.2</v>
      </c>
      <c r="F20" s="3">
        <v>939.61803067669177</v>
      </c>
      <c r="G20" s="4">
        <v>5800.8</v>
      </c>
      <c r="H20" s="4">
        <f t="shared" ref="H20" si="9">G20-E20</f>
        <v>2225.6000000000004</v>
      </c>
      <c r="I20" s="9">
        <f t="shared" ref="I20" si="10">P20</f>
        <v>7.5044883303410997E-2</v>
      </c>
      <c r="J20" s="4">
        <f t="shared" ref="J20" si="11">H20/F20</f>
        <v>2.3686220648588163</v>
      </c>
      <c r="K20" s="4">
        <f t="shared" ref="K20" si="12">J20/(1+I20)</f>
        <v>2.203277371620509</v>
      </c>
      <c r="L20" s="2"/>
      <c r="M20" s="4">
        <v>18.54</v>
      </c>
      <c r="N20" s="4">
        <v>48.48</v>
      </c>
      <c r="O20" s="4">
        <v>46.39</v>
      </c>
      <c r="P20" s="10">
        <f t="shared" ref="P20" si="13">((N20-M20)-(O20-M20))/(O20-M20)</f>
        <v>7.5044883303410997E-2</v>
      </c>
    </row>
    <row r="41" spans="16:16" x14ac:dyDescent="0.45">
      <c r="P41" s="13"/>
    </row>
    <row r="42" spans="16:16" x14ac:dyDescent="0.45">
      <c r="P42" s="13"/>
    </row>
  </sheetData>
  <mergeCells count="8">
    <mergeCell ref="Y5:Z5"/>
    <mergeCell ref="Y11:Z11"/>
    <mergeCell ref="Y16:Z16"/>
    <mergeCell ref="B16:B20"/>
    <mergeCell ref="C2:K2"/>
    <mergeCell ref="M2:P2"/>
    <mergeCell ref="B5:B9"/>
    <mergeCell ref="B11:B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Z41"/>
  <sheetViews>
    <sheetView zoomScale="70" zoomScaleNormal="70" workbookViewId="0">
      <selection activeCell="Y5" sqref="Y5:Z7"/>
    </sheetView>
  </sheetViews>
  <sheetFormatPr defaultColWidth="9" defaultRowHeight="14.25" x14ac:dyDescent="0.45"/>
  <cols>
    <col min="1" max="1" width="9" style="1"/>
    <col min="2" max="2" width="5.5976562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1" width="7.1328125" style="1" customWidth="1"/>
    <col min="12" max="12" width="4" style="1" customWidth="1"/>
    <col min="13" max="13" width="8.1328125" style="1" customWidth="1"/>
    <col min="14" max="14" width="12.1328125" style="1" customWidth="1"/>
    <col min="15" max="15" width="11.1328125" style="1" customWidth="1"/>
    <col min="16" max="16" width="9.33203125" style="1" bestFit="1" customWidth="1"/>
    <col min="17" max="24" width="9" style="1"/>
    <col min="25" max="25" width="12.6640625" style="1" customWidth="1"/>
    <col min="26" max="27" width="12.3984375" style="1" customWidth="1"/>
    <col min="28" max="16384" width="9" style="1"/>
  </cols>
  <sheetData>
    <row r="2" spans="2:26" x14ac:dyDescent="0.45">
      <c r="C2" s="26"/>
      <c r="D2" s="26"/>
      <c r="E2" s="26"/>
      <c r="F2" s="26"/>
      <c r="G2" s="26"/>
      <c r="H2" s="26"/>
      <c r="I2" s="26"/>
      <c r="J2" s="26"/>
      <c r="K2" s="26"/>
      <c r="L2" s="2"/>
      <c r="M2" s="26"/>
      <c r="N2" s="26"/>
      <c r="O2" s="26"/>
      <c r="P2" s="26"/>
    </row>
    <row r="3" spans="2:26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2"/>
      <c r="M3" s="6" t="s">
        <v>18</v>
      </c>
      <c r="N3" s="6" t="s">
        <v>24</v>
      </c>
      <c r="O3" s="6" t="s">
        <v>25</v>
      </c>
      <c r="P3" s="6" t="s">
        <v>11</v>
      </c>
    </row>
    <row r="4" spans="2:26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"/>
      <c r="M4" s="2" t="s">
        <v>8</v>
      </c>
      <c r="N4" s="2" t="s">
        <v>8</v>
      </c>
      <c r="O4" s="2" t="s">
        <v>8</v>
      </c>
      <c r="P4" s="2" t="s">
        <v>17</v>
      </c>
    </row>
    <row r="5" spans="2:26" ht="19.25" customHeight="1" x14ac:dyDescent="0.45">
      <c r="B5" s="27" t="s">
        <v>29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5392.4</v>
      </c>
      <c r="H5" s="4">
        <f>G5-E5</f>
        <v>1813.3999999999996</v>
      </c>
      <c r="I5" s="9">
        <f>P5</f>
        <v>0.1622203098106714</v>
      </c>
      <c r="J5" s="4">
        <f>H5/F5</f>
        <v>1.9299331651756721</v>
      </c>
      <c r="K5" s="4">
        <f>J5/(1+I5)</f>
        <v>1.6605570810323071</v>
      </c>
      <c r="L5" s="2"/>
      <c r="M5" s="4">
        <v>18.260000000000002</v>
      </c>
      <c r="N5" s="4">
        <v>45.27</v>
      </c>
      <c r="O5" s="4">
        <v>41.5</v>
      </c>
      <c r="P5" s="8">
        <f>((N5-M5)-(O5-M5))/(O5-M5)</f>
        <v>0.1622203098106714</v>
      </c>
      <c r="Y5" s="28" t="s">
        <v>33</v>
      </c>
      <c r="Z5" s="28"/>
    </row>
    <row r="6" spans="2:26" ht="19.25" customHeight="1" x14ac:dyDescent="0.45">
      <c r="B6" s="27"/>
      <c r="C6" s="4" t="s">
        <v>10</v>
      </c>
      <c r="D6" s="4" t="s">
        <v>2</v>
      </c>
      <c r="E6" s="4">
        <v>3573.4</v>
      </c>
      <c r="F6" s="3">
        <v>939.61803067669177</v>
      </c>
      <c r="G6" s="4">
        <v>5446.6</v>
      </c>
      <c r="H6" s="4">
        <f t="shared" ref="H6:H19" si="0">G6-E6</f>
        <v>1873.2000000000003</v>
      </c>
      <c r="I6" s="9">
        <f t="shared" ref="I6:I19" si="1">P6</f>
        <v>0.19980314960629944</v>
      </c>
      <c r="J6" s="4">
        <f t="shared" ref="J6:J19" si="2">H6/F6</f>
        <v>1.9935760477594962</v>
      </c>
      <c r="K6" s="4">
        <f t="shared" ref="K6:K19" si="3">J6/(1+I6)</f>
        <v>1.6615859430054534</v>
      </c>
      <c r="L6" s="2"/>
      <c r="M6" s="4">
        <v>17.77</v>
      </c>
      <c r="N6" s="4">
        <v>54.34</v>
      </c>
      <c r="O6" s="4">
        <v>48.25</v>
      </c>
      <c r="P6" s="8">
        <f t="shared" ref="P6:P19" si="4">((N6-M6)-(O6-M6))/(O6-M6)</f>
        <v>0.19980314960629944</v>
      </c>
      <c r="Y6" s="6" t="s">
        <v>31</v>
      </c>
      <c r="Z6" s="6" t="s">
        <v>32</v>
      </c>
    </row>
    <row r="7" spans="2:26" ht="19.25" customHeight="1" x14ac:dyDescent="0.45">
      <c r="B7" s="27"/>
      <c r="C7" s="4" t="s">
        <v>10</v>
      </c>
      <c r="D7" s="4" t="s">
        <v>3</v>
      </c>
      <c r="E7" s="4">
        <v>3575.8</v>
      </c>
      <c r="F7" s="3">
        <v>939.61803067669177</v>
      </c>
      <c r="G7" s="4">
        <v>5369.6</v>
      </c>
      <c r="H7" s="4">
        <f t="shared" si="0"/>
        <v>1793.8000000000002</v>
      </c>
      <c r="I7" s="9">
        <f t="shared" si="1"/>
        <v>0.26691858467880425</v>
      </c>
      <c r="J7" s="4">
        <f t="shared" si="2"/>
        <v>1.909073625064587</v>
      </c>
      <c r="K7" s="4">
        <f t="shared" si="3"/>
        <v>1.5068636991765223</v>
      </c>
      <c r="L7" s="2"/>
      <c r="M7" s="4">
        <v>19.059999999999999</v>
      </c>
      <c r="N7" s="4">
        <v>55.94</v>
      </c>
      <c r="O7" s="4">
        <v>48.17</v>
      </c>
      <c r="P7" s="8">
        <f t="shared" si="4"/>
        <v>0.26691858467880425</v>
      </c>
      <c r="Y7" s="20">
        <v>0.18099999999999999</v>
      </c>
      <c r="Z7" s="25">
        <v>1.67</v>
      </c>
    </row>
    <row r="8" spans="2:26" ht="19.25" customHeight="1" x14ac:dyDescent="0.45">
      <c r="B8" s="27"/>
      <c r="C8" s="4" t="s">
        <v>10</v>
      </c>
      <c r="D8" s="4" t="s">
        <v>4</v>
      </c>
      <c r="E8" s="4">
        <v>3981.6</v>
      </c>
      <c r="F8" s="3">
        <v>939.61803067669177</v>
      </c>
      <c r="G8" s="4">
        <v>5634.4</v>
      </c>
      <c r="H8" s="4">
        <f>G8-E8</f>
        <v>1652.7999999999997</v>
      </c>
      <c r="I8" s="9">
        <f t="shared" si="1"/>
        <v>0.11699064074874009</v>
      </c>
      <c r="J8" s="4">
        <f t="shared" si="2"/>
        <v>1.7590126477348358</v>
      </c>
      <c r="K8" s="4">
        <f t="shared" si="3"/>
        <v>1.5747783227223249</v>
      </c>
      <c r="L8" s="2"/>
      <c r="M8" s="4">
        <v>18.47</v>
      </c>
      <c r="N8" s="4">
        <v>49.5</v>
      </c>
      <c r="O8" s="4">
        <v>46.25</v>
      </c>
      <c r="P8" s="8">
        <f t="shared" si="4"/>
        <v>0.11699064074874009</v>
      </c>
    </row>
    <row r="9" spans="2:26" ht="67.900000000000006" customHeight="1" x14ac:dyDescent="0.45">
      <c r="B9" s="16"/>
      <c r="C9" s="2"/>
      <c r="D9" s="2"/>
      <c r="E9" s="2"/>
      <c r="G9" s="2"/>
      <c r="H9" s="2"/>
      <c r="I9" s="11"/>
      <c r="J9" s="2"/>
      <c r="K9" s="2"/>
      <c r="L9" s="2"/>
      <c r="M9" s="2"/>
      <c r="N9" s="2"/>
      <c r="O9" s="2"/>
      <c r="P9" s="12"/>
    </row>
    <row r="10" spans="2:26" ht="19.25" customHeight="1" x14ac:dyDescent="0.45">
      <c r="B10" s="27" t="s">
        <v>26</v>
      </c>
      <c r="C10" s="4" t="s">
        <v>26</v>
      </c>
      <c r="D10" s="4" t="s">
        <v>5</v>
      </c>
      <c r="E10" s="4">
        <v>3557</v>
      </c>
      <c r="F10" s="3">
        <v>939.61803067669177</v>
      </c>
      <c r="G10" s="4">
        <v>5367.4</v>
      </c>
      <c r="H10" s="4">
        <f t="shared" si="0"/>
        <v>1810.3999999999996</v>
      </c>
      <c r="I10" s="9">
        <f t="shared" si="1"/>
        <v>0.10631793478260841</v>
      </c>
      <c r="J10" s="4">
        <f t="shared" si="2"/>
        <v>1.9267403784239754</v>
      </c>
      <c r="K10" s="4">
        <f t="shared" si="3"/>
        <v>1.741579267448629</v>
      </c>
      <c r="L10" s="2"/>
      <c r="M10" s="4">
        <v>18.84</v>
      </c>
      <c r="N10" s="4">
        <v>51.41</v>
      </c>
      <c r="O10" s="4">
        <v>48.28</v>
      </c>
      <c r="P10" s="10">
        <f t="shared" si="4"/>
        <v>0.10631793478260841</v>
      </c>
      <c r="Y10" s="28" t="s">
        <v>33</v>
      </c>
      <c r="Z10" s="28"/>
    </row>
    <row r="11" spans="2:26" ht="19.25" customHeight="1" x14ac:dyDescent="0.45">
      <c r="B11" s="27"/>
      <c r="C11" s="4" t="s">
        <v>26</v>
      </c>
      <c r="D11" s="4" t="s">
        <v>6</v>
      </c>
      <c r="E11" s="4">
        <v>3580.8</v>
      </c>
      <c r="F11" s="3">
        <v>939.61803067669177</v>
      </c>
      <c r="G11" s="4">
        <v>5506.4</v>
      </c>
      <c r="H11" s="4">
        <f t="shared" si="0"/>
        <v>1925.5999999999995</v>
      </c>
      <c r="I11" s="9">
        <f t="shared" si="1"/>
        <v>0.14524886877828025</v>
      </c>
      <c r="J11" s="4">
        <f t="shared" si="2"/>
        <v>2.0493433896891333</v>
      </c>
      <c r="K11" s="4">
        <f t="shared" si="3"/>
        <v>1.7894306168364227</v>
      </c>
      <c r="L11" s="2"/>
      <c r="M11" s="4">
        <v>14.74</v>
      </c>
      <c r="N11" s="4">
        <v>40.049999999999997</v>
      </c>
      <c r="O11" s="4">
        <v>36.840000000000003</v>
      </c>
      <c r="P11" s="10">
        <f t="shared" si="4"/>
        <v>0.14524886877828025</v>
      </c>
      <c r="Y11" s="6" t="s">
        <v>31</v>
      </c>
      <c r="Z11" s="6" t="s">
        <v>32</v>
      </c>
    </row>
    <row r="12" spans="2:26" ht="19.25" customHeight="1" x14ac:dyDescent="0.45">
      <c r="B12" s="27"/>
      <c r="C12" s="4" t="s">
        <v>26</v>
      </c>
      <c r="D12" s="4" t="s">
        <v>7</v>
      </c>
      <c r="E12" s="4">
        <v>3594.6</v>
      </c>
      <c r="F12" s="3">
        <v>939.61803067669177</v>
      </c>
      <c r="G12" s="4">
        <v>5571.6</v>
      </c>
      <c r="H12" s="4">
        <f t="shared" si="0"/>
        <v>1977.0000000000005</v>
      </c>
      <c r="I12" s="9">
        <f t="shared" si="1"/>
        <v>0.16490566037735838</v>
      </c>
      <c r="J12" s="4">
        <f t="shared" si="2"/>
        <v>2.1040464693682064</v>
      </c>
      <c r="K12" s="4">
        <f t="shared" si="3"/>
        <v>1.8061947339895521</v>
      </c>
      <c r="L12" s="2"/>
      <c r="M12" s="4">
        <v>19.059999999999999</v>
      </c>
      <c r="N12" s="4">
        <v>49.93</v>
      </c>
      <c r="O12" s="4">
        <v>45.56</v>
      </c>
      <c r="P12" s="10">
        <f t="shared" si="4"/>
        <v>0.16490566037735838</v>
      </c>
      <c r="Y12" s="20">
        <v>0.15</v>
      </c>
      <c r="Z12" s="25">
        <v>1.7949999999999999</v>
      </c>
    </row>
    <row r="13" spans="2:26" ht="19.25" customHeight="1" x14ac:dyDescent="0.45">
      <c r="B13" s="27"/>
      <c r="C13" s="4" t="s">
        <v>26</v>
      </c>
      <c r="D13" s="4" t="s">
        <v>27</v>
      </c>
      <c r="E13" s="4">
        <v>3625.2</v>
      </c>
      <c r="F13" s="3">
        <v>939.61803067669177</v>
      </c>
      <c r="G13" s="4">
        <v>5317</v>
      </c>
      <c r="H13" s="4">
        <f t="shared" si="0"/>
        <v>1691.8000000000002</v>
      </c>
      <c r="I13" s="9">
        <f t="shared" si="1"/>
        <v>7.9882740930743851E-2</v>
      </c>
      <c r="J13" s="4">
        <f t="shared" si="2"/>
        <v>1.800518875506895</v>
      </c>
      <c r="K13" s="4">
        <f t="shared" si="3"/>
        <v>1.6673281341222654</v>
      </c>
      <c r="L13" s="2"/>
      <c r="M13" s="4">
        <v>19.02</v>
      </c>
      <c r="N13" s="4">
        <v>48.49</v>
      </c>
      <c r="O13" s="4">
        <v>46.31</v>
      </c>
      <c r="P13" s="10">
        <f t="shared" si="4"/>
        <v>7.9882740930743851E-2</v>
      </c>
    </row>
    <row r="14" spans="2:26" ht="19.25" customHeight="1" x14ac:dyDescent="0.45">
      <c r="B14" s="27"/>
      <c r="C14" s="4" t="s">
        <v>26</v>
      </c>
      <c r="D14" s="4" t="s">
        <v>27</v>
      </c>
      <c r="E14" s="4">
        <v>3625.2</v>
      </c>
      <c r="F14" s="3">
        <v>939.61803067669177</v>
      </c>
      <c r="G14" s="4">
        <v>5409.4</v>
      </c>
      <c r="H14" s="4">
        <f t="shared" ref="H14" si="5">G14-E14</f>
        <v>1784.1999999999998</v>
      </c>
      <c r="I14" s="9">
        <f t="shared" ref="I14" si="6">P14</f>
        <v>0.22849968612680469</v>
      </c>
      <c r="J14" s="4">
        <f t="shared" ref="J14" si="7">H14/F14</f>
        <v>1.8988567074591567</v>
      </c>
      <c r="K14" s="4">
        <f t="shared" ref="K14" si="8">J14/(1+I14)</f>
        <v>1.5456713004509131</v>
      </c>
      <c r="L14" s="2"/>
      <c r="M14" s="4">
        <v>19.559999999999999</v>
      </c>
      <c r="N14" s="4">
        <v>58.7</v>
      </c>
      <c r="O14" s="4">
        <v>51.42</v>
      </c>
      <c r="P14" s="10">
        <f t="shared" ref="P14" si="9">((N14-M14)-(O14-M14))/(O14-M14)</f>
        <v>0.22849968612680469</v>
      </c>
    </row>
    <row r="15" spans="2:26" ht="67.900000000000006" customHeight="1" x14ac:dyDescent="0.45"/>
    <row r="16" spans="2:26" ht="19.25" customHeight="1" x14ac:dyDescent="0.45">
      <c r="B16" s="27" t="s">
        <v>30</v>
      </c>
      <c r="C16" s="4" t="s">
        <v>28</v>
      </c>
      <c r="D16" s="4" t="s">
        <v>1</v>
      </c>
      <c r="E16" s="4">
        <v>3579</v>
      </c>
      <c r="F16" s="3">
        <v>939.61803067669177</v>
      </c>
      <c r="G16" s="4">
        <v>5397</v>
      </c>
      <c r="H16" s="4">
        <f t="shared" si="0"/>
        <v>1818</v>
      </c>
      <c r="I16" s="9">
        <f t="shared" si="1"/>
        <v>9.0436590436590164E-2</v>
      </c>
      <c r="J16" s="4">
        <f t="shared" si="2"/>
        <v>1.9348287715282744</v>
      </c>
      <c r="K16" s="4">
        <f t="shared" si="3"/>
        <v>1.7743615616875121</v>
      </c>
      <c r="M16" s="4">
        <v>18.39</v>
      </c>
      <c r="N16" s="4">
        <v>39.369999999999997</v>
      </c>
      <c r="O16" s="4">
        <v>37.630000000000003</v>
      </c>
      <c r="P16" s="10">
        <f>((N16-M16)-(O16-M16))/(O16-M16)</f>
        <v>9.0436590436590164E-2</v>
      </c>
      <c r="Y16" s="28" t="s">
        <v>33</v>
      </c>
      <c r="Z16" s="28"/>
    </row>
    <row r="17" spans="2:26" ht="19.25" customHeight="1" x14ac:dyDescent="0.45">
      <c r="B17" s="27"/>
      <c r="C17" s="4" t="s">
        <v>28</v>
      </c>
      <c r="D17" s="4" t="s">
        <v>2</v>
      </c>
      <c r="E17" s="4">
        <v>3573.4</v>
      </c>
      <c r="F17" s="3">
        <v>939.61803067669177</v>
      </c>
      <c r="G17" s="4">
        <v>5541.8</v>
      </c>
      <c r="H17" s="4">
        <f t="shared" si="0"/>
        <v>1968.4</v>
      </c>
      <c r="I17" s="9">
        <f t="shared" si="1"/>
        <v>0.1508515815085158</v>
      </c>
      <c r="J17" s="4">
        <f t="shared" si="2"/>
        <v>2.094893814013342</v>
      </c>
      <c r="K17" s="4">
        <f t="shared" si="3"/>
        <v>1.8202988531912971</v>
      </c>
      <c r="M17" s="4">
        <v>19.03</v>
      </c>
      <c r="N17" s="4">
        <v>47.41</v>
      </c>
      <c r="O17" s="4">
        <v>43.69</v>
      </c>
      <c r="P17" s="10">
        <f t="shared" si="4"/>
        <v>0.1508515815085158</v>
      </c>
      <c r="Y17" s="6" t="s">
        <v>31</v>
      </c>
      <c r="Z17" s="6" t="s">
        <v>32</v>
      </c>
    </row>
    <row r="18" spans="2:26" ht="19.25" customHeight="1" x14ac:dyDescent="0.45">
      <c r="B18" s="27"/>
      <c r="C18" s="4" t="s">
        <v>28</v>
      </c>
      <c r="D18" s="4" t="s">
        <v>3</v>
      </c>
      <c r="E18" s="4">
        <v>3575.8</v>
      </c>
      <c r="F18" s="3">
        <v>939.61803067669177</v>
      </c>
      <c r="G18" s="4">
        <v>5540.4</v>
      </c>
      <c r="H18" s="4">
        <f t="shared" si="0"/>
        <v>1964.5999999999995</v>
      </c>
      <c r="I18" s="9">
        <f t="shared" si="1"/>
        <v>0.18550811785929003</v>
      </c>
      <c r="J18" s="4">
        <f t="shared" si="2"/>
        <v>2.0908496174611919</v>
      </c>
      <c r="K18" s="4">
        <f t="shared" si="3"/>
        <v>1.7636738086928547</v>
      </c>
      <c r="M18" s="4">
        <v>18.98</v>
      </c>
      <c r="N18" s="4">
        <v>58.41</v>
      </c>
      <c r="O18" s="4">
        <v>52.24</v>
      </c>
      <c r="P18" s="10">
        <f t="shared" si="4"/>
        <v>0.18550811785929003</v>
      </c>
      <c r="Y18" s="20">
        <v>0.14499999999999999</v>
      </c>
      <c r="Z18" s="25">
        <v>1.82</v>
      </c>
    </row>
    <row r="19" spans="2:26" ht="19.25" customHeight="1" x14ac:dyDescent="0.45">
      <c r="B19" s="27"/>
      <c r="C19" s="4" t="s">
        <v>28</v>
      </c>
      <c r="D19" s="4" t="s">
        <v>4</v>
      </c>
      <c r="E19" s="4">
        <v>3981.6</v>
      </c>
      <c r="F19" s="3">
        <v>939.618030676692</v>
      </c>
      <c r="G19" s="4">
        <v>5872.2</v>
      </c>
      <c r="H19" s="4">
        <f t="shared" si="0"/>
        <v>1890.6</v>
      </c>
      <c r="I19" s="9">
        <f t="shared" si="1"/>
        <v>0.22477693891557984</v>
      </c>
      <c r="J19" s="4">
        <f t="shared" si="2"/>
        <v>2.0120942109193369</v>
      </c>
      <c r="K19" s="4">
        <f t="shared" si="3"/>
        <v>1.642825029593429</v>
      </c>
      <c r="M19" s="4">
        <v>19.18</v>
      </c>
      <c r="N19" s="4">
        <v>54.87</v>
      </c>
      <c r="O19" s="4">
        <v>48.32</v>
      </c>
      <c r="P19" s="10">
        <f t="shared" si="4"/>
        <v>0.22477693891557984</v>
      </c>
    </row>
    <row r="40" spans="16:16" x14ac:dyDescent="0.45">
      <c r="P40" s="13"/>
    </row>
    <row r="41" spans="16:16" x14ac:dyDescent="0.45">
      <c r="P41" s="13"/>
    </row>
  </sheetData>
  <mergeCells count="8">
    <mergeCell ref="B16:B19"/>
    <mergeCell ref="Y5:Z5"/>
    <mergeCell ref="Y10:Z10"/>
    <mergeCell ref="Y16:Z16"/>
    <mergeCell ref="C2:K2"/>
    <mergeCell ref="M2:P2"/>
    <mergeCell ref="B5:B8"/>
    <mergeCell ref="B10:B14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Z46"/>
  <sheetViews>
    <sheetView zoomScale="70" zoomScaleNormal="70" workbookViewId="0">
      <selection activeCell="B11" sqref="B11:B14"/>
    </sheetView>
  </sheetViews>
  <sheetFormatPr defaultColWidth="9" defaultRowHeight="14.25" x14ac:dyDescent="0.45"/>
  <cols>
    <col min="1" max="1" width="9" style="1"/>
    <col min="2" max="2" width="4.59765625" style="1" customWidth="1"/>
    <col min="3" max="3" width="10.1328125" style="1" customWidth="1"/>
    <col min="4" max="6" width="9" style="1"/>
    <col min="7" max="7" width="12.33203125" style="1" customWidth="1"/>
    <col min="8" max="8" width="9" style="1" customWidth="1"/>
    <col min="9" max="9" width="9.1328125" style="1" customWidth="1"/>
    <col min="10" max="11" width="7.1328125" style="1" customWidth="1"/>
    <col min="12" max="12" width="4" style="1" customWidth="1"/>
    <col min="13" max="13" width="8.1328125" style="1" customWidth="1"/>
    <col min="14" max="14" width="12.1328125" style="1" customWidth="1"/>
    <col min="15" max="15" width="11.1328125" style="1" customWidth="1"/>
    <col min="16" max="24" width="9" style="1"/>
    <col min="25" max="25" width="10.73046875" style="1" customWidth="1"/>
    <col min="26" max="26" width="13.53125" style="1" customWidth="1"/>
    <col min="27" max="16384" width="9" style="1"/>
  </cols>
  <sheetData>
    <row r="2" spans="2:26" x14ac:dyDescent="0.45">
      <c r="C2" s="26" t="s">
        <v>16</v>
      </c>
      <c r="D2" s="26"/>
      <c r="E2" s="26"/>
      <c r="F2" s="26"/>
      <c r="G2" s="26"/>
      <c r="H2" s="26"/>
      <c r="I2" s="26"/>
      <c r="J2" s="26"/>
      <c r="K2" s="26"/>
      <c r="L2" s="2"/>
      <c r="M2" s="26" t="s">
        <v>11</v>
      </c>
      <c r="N2" s="26"/>
      <c r="O2" s="26"/>
      <c r="P2" s="26"/>
    </row>
    <row r="3" spans="2:26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2"/>
      <c r="M3" s="6" t="s">
        <v>18</v>
      </c>
      <c r="N3" s="6" t="s">
        <v>24</v>
      </c>
      <c r="O3" s="6" t="s">
        <v>25</v>
      </c>
      <c r="P3" s="6" t="s">
        <v>11</v>
      </c>
    </row>
    <row r="4" spans="2:26" ht="22.15" customHeight="1" x14ac:dyDescent="0.45">
      <c r="C4" s="19" t="s">
        <v>14</v>
      </c>
      <c r="D4" s="19" t="s">
        <v>14</v>
      </c>
      <c r="E4" s="19" t="s">
        <v>8</v>
      </c>
      <c r="F4" s="19" t="s">
        <v>21</v>
      </c>
      <c r="G4" s="19" t="s">
        <v>8</v>
      </c>
      <c r="H4" s="19" t="s">
        <v>8</v>
      </c>
      <c r="I4" s="19" t="s">
        <v>17</v>
      </c>
      <c r="J4" s="24" t="s">
        <v>15</v>
      </c>
      <c r="K4" s="24" t="s">
        <v>15</v>
      </c>
      <c r="L4" s="19"/>
      <c r="M4" s="19" t="s">
        <v>8</v>
      </c>
      <c r="N4" s="19" t="s">
        <v>8</v>
      </c>
      <c r="O4" s="19" t="s">
        <v>8</v>
      </c>
      <c r="P4" s="19" t="s">
        <v>17</v>
      </c>
    </row>
    <row r="5" spans="2:26" ht="18.399999999999999" customHeight="1" x14ac:dyDescent="0.45">
      <c r="B5" s="27" t="s">
        <v>29</v>
      </c>
      <c r="C5" s="17" t="s">
        <v>10</v>
      </c>
      <c r="D5" s="17" t="s">
        <v>1</v>
      </c>
      <c r="E5" s="17">
        <v>3579</v>
      </c>
      <c r="F5" s="17">
        <v>939.61803067669177</v>
      </c>
      <c r="G5" s="17">
        <v>5013.2</v>
      </c>
      <c r="H5" s="17">
        <f>G5-E5</f>
        <v>1434.1999999999998</v>
      </c>
      <c r="I5" s="18">
        <f>P5</f>
        <v>0.11302982731554165</v>
      </c>
      <c r="J5" s="17">
        <f>H5/F5</f>
        <v>1.5263649197611941</v>
      </c>
      <c r="K5" s="17">
        <f>J5/(1+I5)</f>
        <v>1.371360301675431</v>
      </c>
      <c r="L5" s="19"/>
      <c r="M5" s="17">
        <v>18.79</v>
      </c>
      <c r="N5" s="17">
        <v>54.24</v>
      </c>
      <c r="O5" s="17">
        <v>50.64</v>
      </c>
      <c r="P5" s="20">
        <f>((N5-M5)-(O5-M5))/(O5-M5)</f>
        <v>0.11302982731554165</v>
      </c>
      <c r="Y5" s="28" t="s">
        <v>33</v>
      </c>
      <c r="Z5" s="28"/>
    </row>
    <row r="6" spans="2:26" ht="18.399999999999999" customHeight="1" x14ac:dyDescent="0.45">
      <c r="B6" s="27"/>
      <c r="C6" s="17" t="s">
        <v>10</v>
      </c>
      <c r="D6" s="17" t="s">
        <v>2</v>
      </c>
      <c r="E6" s="17">
        <v>3573.4</v>
      </c>
      <c r="F6" s="17">
        <v>939.61803067669177</v>
      </c>
      <c r="G6" s="17">
        <v>5134.2</v>
      </c>
      <c r="H6" s="17">
        <f t="shared" ref="H6:H19" si="0">G6-E6</f>
        <v>1560.7999999999997</v>
      </c>
      <c r="I6" s="18">
        <f t="shared" ref="I6:I19" si="1">P6</f>
        <v>0.14261363636363625</v>
      </c>
      <c r="J6" s="17">
        <f t="shared" ref="J6:J19" si="2">H6/F6</f>
        <v>1.6611005206827998</v>
      </c>
      <c r="K6" s="17">
        <f t="shared" ref="K6:K19" si="3">J6/(1+I6)</f>
        <v>1.4537727083051852</v>
      </c>
      <c r="L6" s="19"/>
      <c r="M6" s="17">
        <v>18.329999999999998</v>
      </c>
      <c r="N6" s="17">
        <v>38.44</v>
      </c>
      <c r="O6" s="17">
        <v>35.93</v>
      </c>
      <c r="P6" s="20">
        <f t="shared" ref="P6:P19" si="4">((N6-M6)-(O6-M6))/(O6-M6)</f>
        <v>0.14261363636363625</v>
      </c>
      <c r="Y6" s="6" t="s">
        <v>31</v>
      </c>
      <c r="Z6" s="6" t="s">
        <v>32</v>
      </c>
    </row>
    <row r="7" spans="2:26" ht="18.399999999999999" customHeight="1" x14ac:dyDescent="0.45">
      <c r="B7" s="27"/>
      <c r="C7" s="17" t="s">
        <v>10</v>
      </c>
      <c r="D7" s="17" t="s">
        <v>3</v>
      </c>
      <c r="E7" s="17">
        <v>3525.8</v>
      </c>
      <c r="F7" s="17">
        <v>939.61803067669177</v>
      </c>
      <c r="G7" s="17">
        <v>5224</v>
      </c>
      <c r="H7" s="17">
        <f t="shared" si="0"/>
        <v>1698.1999999999998</v>
      </c>
      <c r="I7" s="18">
        <f t="shared" si="1"/>
        <v>0.19204244031830223</v>
      </c>
      <c r="J7" s="17">
        <f t="shared" si="2"/>
        <v>1.8073301539105144</v>
      </c>
      <c r="K7" s="17">
        <f t="shared" si="3"/>
        <v>1.5161625901741522</v>
      </c>
      <c r="L7" s="19"/>
      <c r="M7" s="17">
        <v>18.71</v>
      </c>
      <c r="N7" s="17">
        <v>41.18</v>
      </c>
      <c r="O7" s="17">
        <v>37.56</v>
      </c>
      <c r="P7" s="20">
        <f t="shared" si="4"/>
        <v>0.19204244031830223</v>
      </c>
      <c r="Y7" s="20">
        <v>0.21</v>
      </c>
      <c r="Z7" s="25">
        <v>1.54</v>
      </c>
    </row>
    <row r="8" spans="2:26" ht="18.399999999999999" customHeight="1" x14ac:dyDescent="0.45">
      <c r="B8" s="27"/>
      <c r="C8" s="17" t="s">
        <v>10</v>
      </c>
      <c r="D8" s="17" t="s">
        <v>4</v>
      </c>
      <c r="E8" s="17">
        <v>3981.6</v>
      </c>
      <c r="F8" s="17">
        <v>939.61803067669177</v>
      </c>
      <c r="G8" s="17">
        <v>5768.8</v>
      </c>
      <c r="H8" s="17">
        <f>G8-E8</f>
        <v>1787.2000000000003</v>
      </c>
      <c r="I8" s="18">
        <f t="shared" si="1"/>
        <v>0.24606215410813118</v>
      </c>
      <c r="J8" s="17">
        <f t="shared" si="2"/>
        <v>1.9020494942108539</v>
      </c>
      <c r="K8" s="17">
        <f t="shared" si="3"/>
        <v>1.5264483299970262</v>
      </c>
      <c r="L8" s="19"/>
      <c r="M8" s="17">
        <v>18.87</v>
      </c>
      <c r="N8" s="17">
        <v>48.14</v>
      </c>
      <c r="O8" s="17">
        <v>42.36</v>
      </c>
      <c r="P8" s="20">
        <f t="shared" si="4"/>
        <v>0.24606215410813118</v>
      </c>
    </row>
    <row r="9" spans="2:26" ht="18.399999999999999" customHeight="1" x14ac:dyDescent="0.45">
      <c r="B9" s="27"/>
      <c r="C9" s="17" t="s">
        <v>10</v>
      </c>
      <c r="D9" s="17" t="s">
        <v>5</v>
      </c>
      <c r="E9" s="17">
        <v>3577</v>
      </c>
      <c r="F9" s="17">
        <v>939.61803067669177</v>
      </c>
      <c r="G9" s="17">
        <v>5247</v>
      </c>
      <c r="H9" s="17">
        <f>G9-E9</f>
        <v>1670</v>
      </c>
      <c r="I9" s="18">
        <f t="shared" ref="I9" si="5">P9</f>
        <v>0.29512735326688799</v>
      </c>
      <c r="J9" s="17">
        <f t="shared" ref="J9" si="6">H9/F9</f>
        <v>1.7773179584445644</v>
      </c>
      <c r="K9" s="17">
        <f t="shared" ref="K9" si="7">J9/(1+I9)</f>
        <v>1.3723113437156407</v>
      </c>
      <c r="L9" s="19"/>
      <c r="M9" s="17">
        <v>17.87</v>
      </c>
      <c r="N9" s="17">
        <v>64.650000000000006</v>
      </c>
      <c r="O9" s="17">
        <v>53.99</v>
      </c>
      <c r="P9" s="20">
        <f t="shared" ref="P9" si="8">((N9-M9)-(O9-M9))/(O9-M9)</f>
        <v>0.29512735326688799</v>
      </c>
    </row>
    <row r="10" spans="2:26" ht="90.85" customHeight="1" x14ac:dyDescent="0.45">
      <c r="C10" s="19"/>
      <c r="D10" s="19"/>
      <c r="E10" s="19"/>
      <c r="F10" s="19"/>
      <c r="G10" s="19"/>
      <c r="H10" s="19"/>
      <c r="I10" s="21"/>
      <c r="J10" s="19"/>
      <c r="K10" s="19"/>
      <c r="L10" s="19"/>
      <c r="M10" s="19"/>
      <c r="N10" s="19"/>
      <c r="O10" s="19"/>
      <c r="P10" s="22"/>
    </row>
    <row r="11" spans="2:26" ht="18.399999999999999" customHeight="1" x14ac:dyDescent="0.45">
      <c r="B11" s="27" t="s">
        <v>26</v>
      </c>
      <c r="C11" s="17" t="s">
        <v>26</v>
      </c>
      <c r="D11" s="17" t="s">
        <v>5</v>
      </c>
      <c r="E11" s="17">
        <v>3577</v>
      </c>
      <c r="F11" s="17">
        <v>939.61803067669177</v>
      </c>
      <c r="G11" s="17">
        <v>5207.3999999999996</v>
      </c>
      <c r="H11" s="17">
        <f>G11-E11</f>
        <v>1630.3999999999996</v>
      </c>
      <c r="I11" s="18">
        <f>P11</f>
        <v>0.11079723791588189</v>
      </c>
      <c r="J11" s="17">
        <f>H11/F11</f>
        <v>1.735173173322166</v>
      </c>
      <c r="K11" s="17">
        <f>J11/(1+I11)</f>
        <v>1.5620971263646288</v>
      </c>
      <c r="L11" s="19"/>
      <c r="M11" s="17">
        <v>18.989999999999998</v>
      </c>
      <c r="N11" s="17">
        <v>54.38</v>
      </c>
      <c r="O11" s="17">
        <v>50.85</v>
      </c>
      <c r="P11" s="23">
        <f>((N11-M11)-(O11-M11))/(O11-M11)</f>
        <v>0.11079723791588189</v>
      </c>
      <c r="Y11" s="28" t="s">
        <v>33</v>
      </c>
      <c r="Z11" s="28"/>
    </row>
    <row r="12" spans="2:26" ht="18.399999999999999" customHeight="1" x14ac:dyDescent="0.45">
      <c r="B12" s="27"/>
      <c r="C12" s="17" t="s">
        <v>26</v>
      </c>
      <c r="D12" s="17" t="s">
        <v>6</v>
      </c>
      <c r="E12" s="17">
        <v>3580.8</v>
      </c>
      <c r="F12" s="17">
        <v>939.61803067669177</v>
      </c>
      <c r="G12" s="17">
        <v>5382.6</v>
      </c>
      <c r="H12" s="17">
        <f>G12-E12</f>
        <v>1801.8000000000002</v>
      </c>
      <c r="I12" s="18">
        <f>P12</f>
        <v>0.16014588859416429</v>
      </c>
      <c r="J12" s="17">
        <f>H12/F12</f>
        <v>1.9175877230691118</v>
      </c>
      <c r="K12" s="17">
        <f>J12/(1+I12)</f>
        <v>1.6528849879326786</v>
      </c>
      <c r="L12" s="19"/>
      <c r="M12" s="17">
        <v>19.2</v>
      </c>
      <c r="N12" s="17">
        <v>54.19</v>
      </c>
      <c r="O12" s="17">
        <v>49.36</v>
      </c>
      <c r="P12" s="23">
        <f>((N12-M12)-(O12-M12))/(O12-M12)</f>
        <v>0.16014588859416429</v>
      </c>
      <c r="Y12" s="6" t="s">
        <v>31</v>
      </c>
      <c r="Z12" s="6" t="s">
        <v>32</v>
      </c>
    </row>
    <row r="13" spans="2:26" ht="18.399999999999999" customHeight="1" x14ac:dyDescent="0.45">
      <c r="B13" s="27"/>
      <c r="C13" s="17" t="s">
        <v>26</v>
      </c>
      <c r="D13" s="17" t="s">
        <v>7</v>
      </c>
      <c r="E13" s="17">
        <v>3594.6</v>
      </c>
      <c r="F13" s="17">
        <v>939.61803067669177</v>
      </c>
      <c r="G13" s="17">
        <v>5453.6</v>
      </c>
      <c r="H13" s="17">
        <f>G13-E13</f>
        <v>1859.0000000000005</v>
      </c>
      <c r="I13" s="18">
        <f>P13</f>
        <v>0.18882395909422914</v>
      </c>
      <c r="J13" s="17">
        <f>H13/F13</f>
        <v>1.9784635238014647</v>
      </c>
      <c r="K13" s="17">
        <f>J13/(1+I13)</f>
        <v>1.6642190869949036</v>
      </c>
      <c r="L13" s="19"/>
      <c r="M13" s="17">
        <v>18.39</v>
      </c>
      <c r="N13" s="17">
        <v>50.94</v>
      </c>
      <c r="O13" s="17">
        <v>45.77</v>
      </c>
      <c r="P13" s="23">
        <f>((N13-M13)-(O13-M13))/(O13-M13)</f>
        <v>0.18882395909422914</v>
      </c>
      <c r="Y13" s="20">
        <v>0.17199999999999999</v>
      </c>
      <c r="Z13" s="25">
        <v>1.665</v>
      </c>
    </row>
    <row r="14" spans="2:26" ht="18.399999999999999" customHeight="1" x14ac:dyDescent="0.45">
      <c r="B14" s="27"/>
      <c r="C14" s="17" t="s">
        <v>26</v>
      </c>
      <c r="D14" s="17" t="s">
        <v>27</v>
      </c>
      <c r="E14" s="17">
        <v>3575.2</v>
      </c>
      <c r="F14" s="17">
        <v>939.61803067669177</v>
      </c>
      <c r="G14" s="17">
        <v>5344.2</v>
      </c>
      <c r="H14" s="17">
        <f>G14-E14</f>
        <v>1769</v>
      </c>
      <c r="I14" s="18">
        <f>P14</f>
        <v>0.24161849710982658</v>
      </c>
      <c r="J14" s="17">
        <f>H14/F14</f>
        <v>1.8826799212505596</v>
      </c>
      <c r="K14" s="17">
        <f>J14/(1+I14)</f>
        <v>1.516311109759529</v>
      </c>
      <c r="L14" s="19"/>
      <c r="M14" s="17">
        <v>14.66</v>
      </c>
      <c r="N14" s="17">
        <v>46.88</v>
      </c>
      <c r="O14" s="17">
        <v>40.61</v>
      </c>
      <c r="P14" s="23">
        <f>((N14-M14)-(O14-M14))/(O14-M14)</f>
        <v>0.24161849710982658</v>
      </c>
    </row>
    <row r="15" spans="2:26" ht="90.85" customHeight="1" x14ac:dyDescent="0.45">
      <c r="B15" s="1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2:26" ht="18.399999999999999" customHeight="1" x14ac:dyDescent="0.45">
      <c r="B16" s="27" t="s">
        <v>30</v>
      </c>
      <c r="C16" s="17" t="s">
        <v>28</v>
      </c>
      <c r="D16" s="17" t="s">
        <v>1</v>
      </c>
      <c r="E16" s="17">
        <v>3579</v>
      </c>
      <c r="F16" s="17">
        <v>939.61803067669177</v>
      </c>
      <c r="G16" s="17">
        <v>5415</v>
      </c>
      <c r="H16" s="17">
        <f t="shared" si="0"/>
        <v>1836</v>
      </c>
      <c r="I16" s="18">
        <f t="shared" si="1"/>
        <v>0.13227722772277212</v>
      </c>
      <c r="J16" s="17">
        <f t="shared" si="2"/>
        <v>1.9539854920384554</v>
      </c>
      <c r="K16" s="17">
        <f t="shared" si="3"/>
        <v>1.7257129651616301</v>
      </c>
      <c r="L16" s="19"/>
      <c r="M16" s="17">
        <v>18.88</v>
      </c>
      <c r="N16" s="17">
        <v>47.47</v>
      </c>
      <c r="O16" s="17">
        <v>44.13</v>
      </c>
      <c r="P16" s="23">
        <f>((N16-M16)-(O16-M16))/(O16-M16)</f>
        <v>0.13227722772277212</v>
      </c>
      <c r="Y16" s="28" t="s">
        <v>33</v>
      </c>
      <c r="Z16" s="28"/>
    </row>
    <row r="17" spans="2:26" ht="18.399999999999999" customHeight="1" x14ac:dyDescent="0.45">
      <c r="B17" s="27"/>
      <c r="C17" s="17" t="s">
        <v>28</v>
      </c>
      <c r="D17" s="17" t="s">
        <v>2</v>
      </c>
      <c r="E17" s="17">
        <v>3573.4</v>
      </c>
      <c r="F17" s="17">
        <v>939.61803067669177</v>
      </c>
      <c r="G17" s="17">
        <v>5490.4</v>
      </c>
      <c r="H17" s="17">
        <f t="shared" si="0"/>
        <v>1916.9999999999995</v>
      </c>
      <c r="I17" s="18">
        <f t="shared" si="1"/>
        <v>0.15978994748687164</v>
      </c>
      <c r="J17" s="17">
        <f t="shared" si="2"/>
        <v>2.0401907343342689</v>
      </c>
      <c r="K17" s="17">
        <f t="shared" si="3"/>
        <v>1.7591036538600133</v>
      </c>
      <c r="L17" s="19"/>
      <c r="M17" s="17">
        <v>18.559999999999999</v>
      </c>
      <c r="N17" s="17">
        <v>49.48</v>
      </c>
      <c r="O17" s="17">
        <v>45.22</v>
      </c>
      <c r="P17" s="23">
        <f t="shared" si="4"/>
        <v>0.15978994748687164</v>
      </c>
      <c r="Y17" s="6" t="s">
        <v>31</v>
      </c>
      <c r="Z17" s="6" t="s">
        <v>32</v>
      </c>
    </row>
    <row r="18" spans="2:26" ht="18.399999999999999" customHeight="1" x14ac:dyDescent="0.45">
      <c r="B18" s="27"/>
      <c r="C18" s="17" t="s">
        <v>28</v>
      </c>
      <c r="D18" s="17" t="s">
        <v>3</v>
      </c>
      <c r="E18" s="17">
        <v>3575.8</v>
      </c>
      <c r="F18" s="17">
        <v>939.61803067669177</v>
      </c>
      <c r="G18" s="17">
        <v>5483.8</v>
      </c>
      <c r="H18" s="17">
        <f t="shared" si="0"/>
        <v>1908</v>
      </c>
      <c r="I18" s="18">
        <f t="shared" si="1"/>
        <v>0.18811394891944982</v>
      </c>
      <c r="J18" s="17">
        <f t="shared" si="2"/>
        <v>2.0306123740791793</v>
      </c>
      <c r="K18" s="17">
        <f t="shared" si="3"/>
        <v>1.7091057435408057</v>
      </c>
      <c r="L18" s="19"/>
      <c r="M18" s="17">
        <v>18.43</v>
      </c>
      <c r="N18" s="17">
        <v>42.62</v>
      </c>
      <c r="O18" s="17">
        <v>38.79</v>
      </c>
      <c r="P18" s="23">
        <f t="shared" si="4"/>
        <v>0.18811394891944982</v>
      </c>
      <c r="Y18" s="20">
        <v>0.16</v>
      </c>
      <c r="Z18" s="25">
        <v>1.76</v>
      </c>
    </row>
    <row r="19" spans="2:26" ht="18.399999999999999" customHeight="1" x14ac:dyDescent="0.45">
      <c r="B19" s="27"/>
      <c r="C19" s="17" t="s">
        <v>28</v>
      </c>
      <c r="D19" s="17" t="s">
        <v>4</v>
      </c>
      <c r="E19" s="17">
        <v>3981.6</v>
      </c>
      <c r="F19" s="17">
        <v>939.618030676692</v>
      </c>
      <c r="G19" s="17">
        <v>5770.8</v>
      </c>
      <c r="H19" s="17">
        <f t="shared" si="0"/>
        <v>1789.2000000000003</v>
      </c>
      <c r="I19" s="18">
        <f t="shared" si="1"/>
        <v>0.22389937106918242</v>
      </c>
      <c r="J19" s="17">
        <f t="shared" si="2"/>
        <v>1.9041780187119848</v>
      </c>
      <c r="K19" s="17">
        <f t="shared" si="3"/>
        <v>1.5558289053196588</v>
      </c>
      <c r="L19" s="19"/>
      <c r="M19" s="17">
        <v>19.02</v>
      </c>
      <c r="N19" s="17">
        <v>57.94</v>
      </c>
      <c r="O19" s="17">
        <v>50.82</v>
      </c>
      <c r="P19" s="23">
        <f t="shared" si="4"/>
        <v>0.22389937106918242</v>
      </c>
    </row>
    <row r="46" spans="17:17" x14ac:dyDescent="0.45">
      <c r="Q46" s="14"/>
    </row>
  </sheetData>
  <mergeCells count="8">
    <mergeCell ref="B16:B19"/>
    <mergeCell ref="Y5:Z5"/>
    <mergeCell ref="Y11:Z11"/>
    <mergeCell ref="Y16:Z16"/>
    <mergeCell ref="C2:K2"/>
    <mergeCell ref="M2:P2"/>
    <mergeCell ref="B5:B9"/>
    <mergeCell ref="B11:B1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Arena</vt:lpstr>
      <vt:lpstr>Base</vt:lpstr>
      <vt:lpstr>Caolin</vt:lpstr>
      <vt:lpstr>Limo-Arenoso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2025-04-16T17:37:56Z</dcterms:modified>
</cp:coreProperties>
</file>