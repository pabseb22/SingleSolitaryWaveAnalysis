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2.xml" ContentType="application/vnd.openxmlformats-officedocument.drawing+xml"/>
  <Override PartName="/xl/charts/chart8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3.xml" ContentType="application/vnd.openxmlformats-officedocument.drawing+xml"/>
  <Override PartName="/xl/charts/chart14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15.xml" ContentType="application/vnd.openxmlformats-officedocument.drawingml.chart+xml"/>
  <Override PartName="/xl/charts/chart1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riajosetorresconstante/Desktop/F:W_Caolin/"/>
    </mc:Choice>
  </mc:AlternateContent>
  <xr:revisionPtr revIDLastSave="0" documentId="13_ncr:1_{982ED058-668A-4A49-864D-49FB19A691DD}" xr6:coauthVersionLast="47" xr6:coauthVersionMax="47" xr10:uidLastSave="{00000000-0000-0000-0000-000000000000}"/>
  <bookViews>
    <workbookView xWindow="0" yWindow="0" windowWidth="28800" windowHeight="18000" activeTab="2" xr2:uid="{00000000-000D-0000-FFFF-FFFF00000000}"/>
  </bookViews>
  <sheets>
    <sheet name="Sheet1" sheetId="1" r:id="rId1"/>
    <sheet name="TOF2 vs W" sheetId="4" r:id="rId2"/>
    <sheet name="F1" sheetId="2" r:id="rId3"/>
    <sheet name="F2" sheetId="3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Z20" i="2" l="1"/>
  <c r="Z21" i="2"/>
  <c r="F35" i="4" l="1"/>
  <c r="L2" i="4"/>
  <c r="F2" i="4"/>
  <c r="M2" i="4" s="1"/>
  <c r="E2" i="4"/>
  <c r="K2" i="4" s="1"/>
  <c r="E16" i="4"/>
  <c r="K4" i="4" s="1"/>
  <c r="F117" i="4"/>
  <c r="M18" i="4" s="1"/>
  <c r="N18" i="4"/>
  <c r="L18" i="4"/>
  <c r="J18" i="4"/>
  <c r="N17" i="4"/>
  <c r="L17" i="4"/>
  <c r="J17" i="4"/>
  <c r="N16" i="4"/>
  <c r="L16" i="4"/>
  <c r="J16" i="4"/>
  <c r="N15" i="4"/>
  <c r="L15" i="4"/>
  <c r="J15" i="4"/>
  <c r="N14" i="4"/>
  <c r="L14" i="4"/>
  <c r="J14" i="4"/>
  <c r="AH13" i="4"/>
  <c r="N13" i="4"/>
  <c r="L13" i="4"/>
  <c r="J13" i="4"/>
  <c r="AH12" i="4"/>
  <c r="N12" i="4"/>
  <c r="L12" i="4"/>
  <c r="J12" i="4"/>
  <c r="AH11" i="4"/>
  <c r="N11" i="4"/>
  <c r="L11" i="4"/>
  <c r="J11" i="4"/>
  <c r="AH10" i="4"/>
  <c r="N10" i="4"/>
  <c r="L10" i="4"/>
  <c r="J10" i="4"/>
  <c r="AH9" i="4"/>
  <c r="N9" i="4"/>
  <c r="L9" i="4"/>
  <c r="J9" i="4"/>
  <c r="AH8" i="4"/>
  <c r="N8" i="4"/>
  <c r="L8" i="4"/>
  <c r="J8" i="4"/>
  <c r="AH7" i="4"/>
  <c r="N7" i="4"/>
  <c r="L7" i="4"/>
  <c r="J7" i="4"/>
  <c r="AH6" i="4"/>
  <c r="N6" i="4"/>
  <c r="L6" i="4"/>
  <c r="J6" i="4"/>
  <c r="AH5" i="4"/>
  <c r="N5" i="4"/>
  <c r="L5" i="4"/>
  <c r="J5" i="4"/>
  <c r="AH4" i="4"/>
  <c r="N4" i="4"/>
  <c r="L4" i="4"/>
  <c r="J4" i="4"/>
  <c r="AH3" i="4"/>
  <c r="N3" i="4"/>
  <c r="L3" i="4"/>
  <c r="J3" i="4"/>
  <c r="AH2" i="4"/>
  <c r="N2" i="4"/>
  <c r="J2" i="4"/>
  <c r="X13" i="3"/>
  <c r="X3" i="3"/>
  <c r="X4" i="3"/>
  <c r="X5" i="3"/>
  <c r="X6" i="3"/>
  <c r="X7" i="3"/>
  <c r="X8" i="3"/>
  <c r="X9" i="3"/>
  <c r="X10" i="3"/>
  <c r="X11" i="3"/>
  <c r="X12" i="3"/>
  <c r="X2" i="3"/>
  <c r="X12" i="2"/>
  <c r="X3" i="2"/>
  <c r="X4" i="2"/>
  <c r="X5" i="2"/>
  <c r="X6" i="2"/>
  <c r="X7" i="2"/>
  <c r="X8" i="2"/>
  <c r="X9" i="2"/>
  <c r="X10" i="2"/>
  <c r="X11" i="2"/>
  <c r="X13" i="2"/>
  <c r="X2" i="2"/>
  <c r="M7" i="4" l="1"/>
  <c r="F64" i="4"/>
  <c r="M11" i="4" s="1"/>
  <c r="F81" i="4"/>
  <c r="M13" i="4" s="1"/>
  <c r="E8" i="4"/>
  <c r="K3" i="4" s="1"/>
  <c r="F8" i="4"/>
  <c r="M3" i="4" s="1"/>
  <c r="F16" i="4"/>
  <c r="M4" i="4" s="1"/>
  <c r="F42" i="4"/>
  <c r="M8" i="4" s="1"/>
  <c r="F88" i="4"/>
  <c r="M14" i="4" s="1"/>
  <c r="E117" i="4"/>
  <c r="K18" i="4" s="1"/>
  <c r="E72" i="4"/>
  <c r="K12" i="4" s="1"/>
  <c r="F28" i="4"/>
  <c r="M6" i="4" s="1"/>
  <c r="F47" i="4"/>
  <c r="M9" i="4" s="1"/>
  <c r="E55" i="4"/>
  <c r="K10" i="4" s="1"/>
  <c r="F72" i="4"/>
  <c r="M12" i="4" s="1"/>
  <c r="E94" i="4"/>
  <c r="K15" i="4" s="1"/>
  <c r="F102" i="4"/>
  <c r="M16" i="4" s="1"/>
  <c r="F55" i="4"/>
  <c r="M10" i="4" s="1"/>
  <c r="F94" i="4"/>
  <c r="M15" i="4" s="1"/>
  <c r="F109" i="4"/>
  <c r="M17" i="4" s="1"/>
  <c r="F21" i="4"/>
  <c r="M5" i="4" s="1"/>
  <c r="E81" i="4"/>
  <c r="K13" i="4" s="1"/>
  <c r="E88" i="4"/>
  <c r="K14" i="4" s="1"/>
  <c r="E102" i="4"/>
  <c r="K16" i="4" s="1"/>
  <c r="E109" i="4"/>
  <c r="K17" i="4" s="1"/>
  <c r="E47" i="4"/>
  <c r="K9" i="4" s="1"/>
  <c r="E21" i="4"/>
  <c r="K5" i="4" s="1"/>
  <c r="E28" i="4"/>
  <c r="K6" i="4" s="1"/>
  <c r="E35" i="4"/>
  <c r="K7" i="4" s="1"/>
  <c r="E42" i="4"/>
  <c r="K8" i="4" s="1"/>
  <c r="E64" i="4"/>
  <c r="K11" i="4" s="1"/>
  <c r="D121" i="3" l="1"/>
  <c r="D119" i="3"/>
  <c r="D68" i="3"/>
  <c r="D64" i="3"/>
  <c r="D65" i="3"/>
  <c r="D122" i="3"/>
  <c r="D120" i="3"/>
  <c r="D118" i="3"/>
  <c r="D117" i="3"/>
  <c r="D115" i="3"/>
  <c r="D114" i="3"/>
  <c r="D113" i="3"/>
  <c r="D112" i="3"/>
  <c r="D111" i="3"/>
  <c r="D110" i="3"/>
  <c r="D109" i="3"/>
  <c r="D107" i="3"/>
  <c r="D106" i="3"/>
  <c r="D105" i="3"/>
  <c r="D104" i="3"/>
  <c r="D103" i="3"/>
  <c r="D102" i="3"/>
  <c r="D100" i="3"/>
  <c r="D99" i="3"/>
  <c r="D98" i="3"/>
  <c r="D97" i="3"/>
  <c r="D96" i="3"/>
  <c r="D95" i="3"/>
  <c r="D94" i="3"/>
  <c r="D92" i="3"/>
  <c r="D91" i="3"/>
  <c r="D90" i="3"/>
  <c r="D89" i="3"/>
  <c r="D88" i="3"/>
  <c r="D86" i="3"/>
  <c r="D85" i="3"/>
  <c r="D84" i="3"/>
  <c r="D83" i="3"/>
  <c r="D82" i="3"/>
  <c r="D81" i="3"/>
  <c r="D79" i="3"/>
  <c r="D78" i="3"/>
  <c r="D77" i="3"/>
  <c r="D76" i="3"/>
  <c r="D75" i="3"/>
  <c r="D74" i="3"/>
  <c r="D73" i="3"/>
  <c r="D72" i="3"/>
  <c r="D70" i="3"/>
  <c r="D69" i="3"/>
  <c r="D67" i="3"/>
  <c r="D66" i="3"/>
  <c r="D62" i="3"/>
  <c r="D61" i="3"/>
  <c r="D60" i="3"/>
  <c r="D59" i="3"/>
  <c r="D58" i="3"/>
  <c r="D57" i="3"/>
  <c r="D56" i="3"/>
  <c r="D55" i="3"/>
  <c r="D53" i="3"/>
  <c r="D52" i="3"/>
  <c r="D51" i="3"/>
  <c r="D50" i="3"/>
  <c r="D49" i="3"/>
  <c r="D48" i="3"/>
  <c r="D47" i="3"/>
  <c r="D45" i="3"/>
  <c r="D44" i="3"/>
  <c r="D43" i="3"/>
  <c r="D42" i="3"/>
  <c r="D39" i="3"/>
  <c r="D38" i="3"/>
  <c r="D37" i="3"/>
  <c r="D36" i="3"/>
  <c r="D35" i="3"/>
  <c r="D33" i="3"/>
  <c r="D32" i="3"/>
  <c r="D31" i="3"/>
  <c r="D30" i="3"/>
  <c r="D29" i="3"/>
  <c r="D28" i="3"/>
  <c r="D26" i="3"/>
  <c r="D25" i="3"/>
  <c r="D24" i="3"/>
  <c r="D23" i="3"/>
  <c r="D22" i="3"/>
  <c r="D21" i="3"/>
  <c r="D19" i="3"/>
  <c r="N18" i="3"/>
  <c r="L18" i="3"/>
  <c r="J18" i="3"/>
  <c r="D18" i="3"/>
  <c r="N17" i="3"/>
  <c r="L17" i="3"/>
  <c r="J17" i="3"/>
  <c r="D17" i="3"/>
  <c r="N16" i="3"/>
  <c r="L16" i="3"/>
  <c r="J16" i="3"/>
  <c r="D16" i="3"/>
  <c r="F16" i="3" s="1"/>
  <c r="M4" i="3" s="1"/>
  <c r="N15" i="3"/>
  <c r="L15" i="3"/>
  <c r="J15" i="3"/>
  <c r="N14" i="3"/>
  <c r="L14" i="3"/>
  <c r="J14" i="3"/>
  <c r="D14" i="3"/>
  <c r="N13" i="3"/>
  <c r="L13" i="3"/>
  <c r="J13" i="3"/>
  <c r="D13" i="3"/>
  <c r="N12" i="3"/>
  <c r="L12" i="3"/>
  <c r="J12" i="3"/>
  <c r="D12" i="3"/>
  <c r="N11" i="3"/>
  <c r="L11" i="3"/>
  <c r="J11" i="3"/>
  <c r="D11" i="3"/>
  <c r="N10" i="3"/>
  <c r="L10" i="3"/>
  <c r="J10" i="3"/>
  <c r="D10" i="3"/>
  <c r="N9" i="3"/>
  <c r="L9" i="3"/>
  <c r="J9" i="3"/>
  <c r="D9" i="3"/>
  <c r="N8" i="3"/>
  <c r="L8" i="3"/>
  <c r="J8" i="3"/>
  <c r="D8" i="3"/>
  <c r="N7" i="3"/>
  <c r="L7" i="3"/>
  <c r="J7" i="3"/>
  <c r="N6" i="3"/>
  <c r="L6" i="3"/>
  <c r="J6" i="3"/>
  <c r="D6" i="3"/>
  <c r="N5" i="3"/>
  <c r="L5" i="3"/>
  <c r="J5" i="3"/>
  <c r="D5" i="3"/>
  <c r="N4" i="3"/>
  <c r="L4" i="3"/>
  <c r="J4" i="3"/>
  <c r="D4" i="3"/>
  <c r="N3" i="3"/>
  <c r="L3" i="3"/>
  <c r="J3" i="3"/>
  <c r="D3" i="3"/>
  <c r="N2" i="3"/>
  <c r="L2" i="3"/>
  <c r="J2" i="3"/>
  <c r="D2" i="3"/>
  <c r="N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L2" i="2"/>
  <c r="L3" i="2"/>
  <c r="L4" i="2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J2" i="2"/>
  <c r="J8" i="2"/>
  <c r="J16" i="2"/>
  <c r="J18" i="2"/>
  <c r="J17" i="2"/>
  <c r="J15" i="2"/>
  <c r="J14" i="2"/>
  <c r="J13" i="2"/>
  <c r="J12" i="2"/>
  <c r="J11" i="2"/>
  <c r="J10" i="2"/>
  <c r="J9" i="2"/>
  <c r="J7" i="2"/>
  <c r="J6" i="2"/>
  <c r="J5" i="2"/>
  <c r="J4" i="2"/>
  <c r="J3" i="2"/>
  <c r="D8" i="2"/>
  <c r="D118" i="2"/>
  <c r="D119" i="2"/>
  <c r="D120" i="2"/>
  <c r="D121" i="2"/>
  <c r="D122" i="2"/>
  <c r="D110" i="2"/>
  <c r="D111" i="2"/>
  <c r="D112" i="2"/>
  <c r="D113" i="2"/>
  <c r="D114" i="2"/>
  <c r="D115" i="2"/>
  <c r="D107" i="2"/>
  <c r="D94" i="2"/>
  <c r="D88" i="2"/>
  <c r="D82" i="2"/>
  <c r="D83" i="2"/>
  <c r="D84" i="2"/>
  <c r="D85" i="2"/>
  <c r="D86" i="2"/>
  <c r="D73" i="2"/>
  <c r="D74" i="2"/>
  <c r="D75" i="2"/>
  <c r="D76" i="2"/>
  <c r="D77" i="2"/>
  <c r="D78" i="2"/>
  <c r="D79" i="2"/>
  <c r="D65" i="2"/>
  <c r="D66" i="2"/>
  <c r="D67" i="2"/>
  <c r="D68" i="2"/>
  <c r="D69" i="2"/>
  <c r="D70" i="2"/>
  <c r="D56" i="2"/>
  <c r="D57" i="2"/>
  <c r="D58" i="2"/>
  <c r="D59" i="2"/>
  <c r="D60" i="2"/>
  <c r="D61" i="2"/>
  <c r="D62" i="2"/>
  <c r="D47" i="2"/>
  <c r="D48" i="2"/>
  <c r="D49" i="2"/>
  <c r="D50" i="2"/>
  <c r="D51" i="2"/>
  <c r="D52" i="2"/>
  <c r="D53" i="2"/>
  <c r="D43" i="2"/>
  <c r="D44" i="2"/>
  <c r="D45" i="2"/>
  <c r="D36" i="2"/>
  <c r="D37" i="2"/>
  <c r="D38" i="2"/>
  <c r="D39" i="2"/>
  <c r="D40" i="2"/>
  <c r="D29" i="2"/>
  <c r="D30" i="2"/>
  <c r="D31" i="2"/>
  <c r="D32" i="2"/>
  <c r="D33" i="2"/>
  <c r="D22" i="2"/>
  <c r="D23" i="2"/>
  <c r="D24" i="2"/>
  <c r="D25" i="2"/>
  <c r="D26" i="2"/>
  <c r="D17" i="2"/>
  <c r="D18" i="2"/>
  <c r="D19" i="2"/>
  <c r="D9" i="2"/>
  <c r="D10" i="2"/>
  <c r="D11" i="2"/>
  <c r="D12" i="2"/>
  <c r="D13" i="2"/>
  <c r="D14" i="2"/>
  <c r="D117" i="2"/>
  <c r="D109" i="2"/>
  <c r="D106" i="2"/>
  <c r="D105" i="2"/>
  <c r="D104" i="2"/>
  <c r="D103" i="2"/>
  <c r="D102" i="2"/>
  <c r="D100" i="2"/>
  <c r="D99" i="2"/>
  <c r="D98" i="2"/>
  <c r="D97" i="2"/>
  <c r="D96" i="2"/>
  <c r="D95" i="2"/>
  <c r="D92" i="2"/>
  <c r="D91" i="2"/>
  <c r="D90" i="2"/>
  <c r="D89" i="2"/>
  <c r="D81" i="2"/>
  <c r="D72" i="2"/>
  <c r="D55" i="2"/>
  <c r="D42" i="2"/>
  <c r="D35" i="2"/>
  <c r="D28" i="2"/>
  <c r="D21" i="2"/>
  <c r="D16" i="2"/>
  <c r="D6" i="2"/>
  <c r="D5" i="2"/>
  <c r="D4" i="2"/>
  <c r="D3" i="2"/>
  <c r="D2" i="2"/>
  <c r="E94" i="3" l="1"/>
  <c r="E102" i="3"/>
  <c r="K16" i="3" s="1"/>
  <c r="F117" i="3"/>
  <c r="E117" i="3"/>
  <c r="E88" i="3"/>
  <c r="K14" i="3" s="1"/>
  <c r="F72" i="3"/>
  <c r="M12" i="3" s="1"/>
  <c r="E109" i="3"/>
  <c r="K17" i="3" s="1"/>
  <c r="F109" i="3"/>
  <c r="M17" i="3" s="1"/>
  <c r="E72" i="3"/>
  <c r="K12" i="3" s="1"/>
  <c r="F94" i="3"/>
  <c r="M15" i="3" s="1"/>
  <c r="E81" i="3"/>
  <c r="K13" i="3" s="1"/>
  <c r="M18" i="3"/>
  <c r="F102" i="3"/>
  <c r="M16" i="3" s="1"/>
  <c r="F88" i="3"/>
  <c r="M14" i="3" s="1"/>
  <c r="F8" i="3"/>
  <c r="M3" i="3" s="1"/>
  <c r="E16" i="3"/>
  <c r="K4" i="3" s="1"/>
  <c r="F21" i="3"/>
  <c r="M5" i="3" s="1"/>
  <c r="K15" i="3"/>
  <c r="F81" i="3"/>
  <c r="M13" i="3" s="1"/>
  <c r="F35" i="3"/>
  <c r="M7" i="3" s="1"/>
  <c r="F64" i="3"/>
  <c r="M11" i="3" s="1"/>
  <c r="E8" i="3"/>
  <c r="K3" i="3" s="1"/>
  <c r="F42" i="3"/>
  <c r="M8" i="3" s="1"/>
  <c r="E55" i="3"/>
  <c r="K10" i="3" s="1"/>
  <c r="F47" i="3"/>
  <c r="M9" i="3" s="1"/>
  <c r="F2" i="3"/>
  <c r="M2" i="3" s="1"/>
  <c r="F28" i="3"/>
  <c r="M6" i="3" s="1"/>
  <c r="F55" i="3"/>
  <c r="M10" i="3" s="1"/>
  <c r="K18" i="3"/>
  <c r="E2" i="3"/>
  <c r="K2" i="3" s="1"/>
  <c r="E47" i="3"/>
  <c r="K9" i="3" s="1"/>
  <c r="E21" i="3"/>
  <c r="K5" i="3" s="1"/>
  <c r="E28" i="3"/>
  <c r="K6" i="3" s="1"/>
  <c r="E35" i="3"/>
  <c r="K7" i="3" s="1"/>
  <c r="E42" i="3"/>
  <c r="K8" i="3" s="1"/>
  <c r="E64" i="3"/>
  <c r="K11" i="3" s="1"/>
  <c r="E42" i="2"/>
  <c r="K8" i="2" s="1"/>
  <c r="F28" i="2"/>
  <c r="M6" i="2" s="1"/>
  <c r="E16" i="2"/>
  <c r="K4" i="2" s="1"/>
  <c r="F81" i="2"/>
  <c r="M13" i="2" s="1"/>
  <c r="F55" i="2"/>
  <c r="M10" i="2" s="1"/>
  <c r="F88" i="2"/>
  <c r="M14" i="2" s="1"/>
  <c r="E109" i="2"/>
  <c r="K17" i="2" s="1"/>
  <c r="F2" i="2"/>
  <c r="M2" i="2" s="1"/>
  <c r="F102" i="2"/>
  <c r="M16" i="2" s="1"/>
  <c r="E81" i="2"/>
  <c r="K13" i="2" s="1"/>
  <c r="E8" i="2"/>
  <c r="K3" i="2" s="1"/>
  <c r="E55" i="2"/>
  <c r="K10" i="2" s="1"/>
  <c r="F21" i="2"/>
  <c r="M5" i="2" s="1"/>
  <c r="F16" i="2"/>
  <c r="M4" i="2" s="1"/>
  <c r="F64" i="2"/>
  <c r="M11" i="2" s="1"/>
  <c r="F72" i="2"/>
  <c r="M12" i="2" s="1"/>
  <c r="E35" i="2"/>
  <c r="K7" i="2" s="1"/>
  <c r="E28" i="2"/>
  <c r="K6" i="2" s="1"/>
  <c r="E117" i="2"/>
  <c r="K18" i="2" s="1"/>
  <c r="F35" i="2"/>
  <c r="M7" i="2" s="1"/>
  <c r="F94" i="2"/>
  <c r="M15" i="2" s="1"/>
  <c r="F8" i="2"/>
  <c r="M3" i="2" s="1"/>
  <c r="E2" i="2"/>
  <c r="K2" i="2" s="1"/>
  <c r="F42" i="2"/>
  <c r="M8" i="2" s="1"/>
  <c r="E102" i="2"/>
  <c r="K16" i="2" s="1"/>
  <c r="F47" i="2"/>
  <c r="M9" i="2" s="1"/>
  <c r="E64" i="2"/>
  <c r="K11" i="2" s="1"/>
  <c r="F117" i="2"/>
  <c r="M18" i="2" s="1"/>
  <c r="E72" i="2"/>
  <c r="K12" i="2" s="1"/>
  <c r="F109" i="2"/>
  <c r="M17" i="2" s="1"/>
  <c r="E21" i="2"/>
  <c r="K5" i="2" s="1"/>
  <c r="E47" i="2"/>
  <c r="K9" i="2" s="1"/>
  <c r="E88" i="2"/>
  <c r="K14" i="2" s="1"/>
  <c r="E94" i="2"/>
  <c r="K15" i="2" s="1"/>
</calcChain>
</file>

<file path=xl/sharedStrings.xml><?xml version="1.0" encoding="utf-8"?>
<sst xmlns="http://schemas.openxmlformats.org/spreadsheetml/2006/main" count="650" uniqueCount="80">
  <si>
    <t>Filename</t>
  </si>
  <si>
    <t>C_M1_EST#2.mat</t>
  </si>
  <si>
    <t>---</t>
  </si>
  <si>
    <t>C_M1_EST.mat</t>
  </si>
  <si>
    <t>C_M1_MOD56#2.mat</t>
  </si>
  <si>
    <t>C_M1_MOD56.mat</t>
  </si>
  <si>
    <t>C_M2_EST.mat</t>
  </si>
  <si>
    <t>C_M2_MOD56.mat</t>
  </si>
  <si>
    <t>C_M3_EST.mat</t>
  </si>
  <si>
    <t>C_M3_MOD56.mat</t>
  </si>
  <si>
    <t>C_M4_EST.mat</t>
  </si>
  <si>
    <t>C_M4_MOD56.mat</t>
  </si>
  <si>
    <t>C_M5_MOD.mat</t>
  </si>
  <si>
    <t>C_M6#2_MOD.mat</t>
  </si>
  <si>
    <t>C_M6#3_MOD.mat</t>
  </si>
  <si>
    <t>C_M6_MOD.mat</t>
  </si>
  <si>
    <t>C_M7_MOD.mat</t>
  </si>
  <si>
    <t>C_M8_2_MOD.mat</t>
  </si>
  <si>
    <t>C_M8_MOD.mat</t>
  </si>
  <si>
    <t>Pico1_Y</t>
  </si>
  <si>
    <t>Pico2_Y</t>
  </si>
  <si>
    <t>Pico3_Y</t>
  </si>
  <si>
    <t>Filename</t>
  </si>
  <si>
    <t>C_M1_EST#2.mat</t>
  </si>
  <si>
    <t>---</t>
  </si>
  <si>
    <t>C_M1_EST.mat</t>
  </si>
  <si>
    <t>---</t>
  </si>
  <si>
    <t>C_M1_MOD56#2.mat</t>
  </si>
  <si>
    <t>---</t>
  </si>
  <si>
    <t>C_M1_MOD56.mat</t>
  </si>
  <si>
    <t>---</t>
  </si>
  <si>
    <t>C_M2_EST.mat</t>
  </si>
  <si>
    <t>---</t>
  </si>
  <si>
    <t>C_M2_MOD56.mat</t>
  </si>
  <si>
    <t>---</t>
  </si>
  <si>
    <t>C_M3_EST.mat</t>
  </si>
  <si>
    <t>---</t>
  </si>
  <si>
    <t>C_M3_MOD56.mat</t>
  </si>
  <si>
    <t>---</t>
  </si>
  <si>
    <t>C_M4_EST.mat</t>
  </si>
  <si>
    <t>---</t>
  </si>
  <si>
    <t>C_M4_MOD56.mat</t>
  </si>
  <si>
    <t>---</t>
  </si>
  <si>
    <t>C_M5_MOD.mat</t>
  </si>
  <si>
    <t>---</t>
  </si>
  <si>
    <t>C_M6#2_MOD.mat</t>
  </si>
  <si>
    <t>---</t>
  </si>
  <si>
    <t>C_M6#3_MOD.mat</t>
  </si>
  <si>
    <t>---</t>
  </si>
  <si>
    <t>C_M6_MOD.mat</t>
  </si>
  <si>
    <t>---</t>
  </si>
  <si>
    <t>C_M7_MOD.mat</t>
  </si>
  <si>
    <t>---</t>
  </si>
  <si>
    <t>C_M8_2_MOD.mat</t>
  </si>
  <si>
    <t>---</t>
  </si>
  <si>
    <t>C_M8_MOD.mat</t>
  </si>
  <si>
    <t>---</t>
  </si>
  <si>
    <t>Group</t>
  </si>
  <si>
    <t>Pico1_X</t>
  </si>
  <si>
    <t>Pico1_Y</t>
  </si>
  <si>
    <t>Pico2_X</t>
  </si>
  <si>
    <t>Pico2_Y</t>
  </si>
  <si>
    <t>Pico3_X</t>
  </si>
  <si>
    <t>Pico3_Y</t>
  </si>
  <si>
    <t>TOF1</t>
  </si>
  <si>
    <t>TOF2</t>
  </si>
  <si>
    <t>F1</t>
  </si>
  <si>
    <t>F1 (prom)</t>
  </si>
  <si>
    <t>F1 (desvest)</t>
  </si>
  <si>
    <t>Humedad (%)</t>
  </si>
  <si>
    <t>name</t>
  </si>
  <si>
    <t>W</t>
  </si>
  <si>
    <t>Desvest</t>
  </si>
  <si>
    <t>Saturación</t>
  </si>
  <si>
    <t>Saturación (%)</t>
  </si>
  <si>
    <t>W/Wopt</t>
  </si>
  <si>
    <t>W opt</t>
  </si>
  <si>
    <t>TOF 2</t>
  </si>
  <si>
    <t>TOF 2(desvest)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</si>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</sst>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1"/>
  </cellStyleXfs>
  <cellXfs count="10">
    <xf numFmtId="0" fontId="0" fillId="0" borderId="0" xfId="0"/>
    <xf numFmtId="0" fontId="1" fillId="0" borderId="1" xfId="2" applyAlignment="1">
      <alignment horizontal="center"/>
    </xf>
    <xf numFmtId="0" fontId="1" fillId="0" borderId="1" xfId="2"/>
    <xf numFmtId="10" fontId="1" fillId="0" borderId="1" xfId="2" applyNumberFormat="1" applyAlignment="1">
      <alignment horizontal="center"/>
    </xf>
    <xf numFmtId="10" fontId="1" fillId="0" borderId="1" xfId="2" applyNumberFormat="1"/>
    <xf numFmtId="164" fontId="1" fillId="0" borderId="1" xfId="1" applyNumberFormat="1" applyFill="1" applyBorder="1" applyAlignment="1">
      <alignment horizontal="center"/>
    </xf>
    <xf numFmtId="164" fontId="1" fillId="0" borderId="1" xfId="2" applyNumberFormat="1"/>
    <xf numFmtId="10" fontId="0" fillId="0" borderId="1" xfId="1" applyNumberFormat="1" applyFont="1" applyFill="1" applyBorder="1" applyAlignment="1">
      <alignment horizontal="center" vertical="center"/>
    </xf>
    <xf numFmtId="0" fontId="1" fillId="0" borderId="1" xfId="2" applyAlignment="1">
      <alignment horizontal="right"/>
    </xf>
    <xf numFmtId="2" fontId="1" fillId="0" borderId="1" xfId="2" applyNumberFormat="1"/>
  </cellXfs>
  <cellStyles count="3">
    <cellStyle name="Normal" xfId="0" builtinId="0"/>
    <cellStyle name="Normal 2" xfId="2" xr:uid="{9C5DB6E1-09B3-784A-B3BA-9EB2AB75A408}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'TOF2 vs W'!$M$2:$M$18</c:f>
                <c:numCache>
                  <c:formatCode>General</c:formatCode>
                  <c:ptCount val="17"/>
                  <c:pt idx="0">
                    <c:v>6.1143677973849933E-5</c:v>
                  </c:pt>
                  <c:pt idx="1">
                    <c:v>1.0208097328723662E-3</c:v>
                  </c:pt>
                  <c:pt idx="2">
                    <c:v>6.6474533539814177E-5</c:v>
                  </c:pt>
                  <c:pt idx="3">
                    <c:v>2.8678927077325882E-4</c:v>
                  </c:pt>
                  <c:pt idx="4">
                    <c:v>4.6631131023076592E-5</c:v>
                  </c:pt>
                  <c:pt idx="5">
                    <c:v>8.6470218641584239E-5</c:v>
                  </c:pt>
                  <c:pt idx="6">
                    <c:v>7.9737551605864093E-5</c:v>
                  </c:pt>
                  <c:pt idx="7">
                    <c:v>7.7660094718897654E-5</c:v>
                  </c:pt>
                  <c:pt idx="8">
                    <c:v>6.4357075026183258E-5</c:v>
                  </c:pt>
                  <c:pt idx="9">
                    <c:v>5.3370577631918004E-5</c:v>
                  </c:pt>
                  <c:pt idx="10">
                    <c:v>1.1195755858894588E-4</c:v>
                  </c:pt>
                  <c:pt idx="11">
                    <c:v>1.2145262021084626E-4</c:v>
                  </c:pt>
                  <c:pt idx="12">
                    <c:v>1.2299966416059814E-3</c:v>
                  </c:pt>
                  <c:pt idx="13">
                    <c:v>1.6263333263935085E-4</c:v>
                  </c:pt>
                  <c:pt idx="14">
                    <c:v>2.2303720656447956E-4</c:v>
                  </c:pt>
                  <c:pt idx="15">
                    <c:v>1.9982173158586181E-4</c:v>
                  </c:pt>
                  <c:pt idx="16">
                    <c:v>1.1505440711785387E-4</c:v>
                  </c:pt>
                </c:numCache>
              </c:numRef>
            </c:plus>
            <c:minus>
              <c:numRef>
                <c:f>'TOF2 vs W'!$M$2:$M$18</c:f>
                <c:numCache>
                  <c:formatCode>General</c:formatCode>
                  <c:ptCount val="17"/>
                  <c:pt idx="0">
                    <c:v>6.1143677973849933E-5</c:v>
                  </c:pt>
                  <c:pt idx="1">
                    <c:v>1.0208097328723662E-3</c:v>
                  </c:pt>
                  <c:pt idx="2">
                    <c:v>6.6474533539814177E-5</c:v>
                  </c:pt>
                  <c:pt idx="3">
                    <c:v>2.8678927077325882E-4</c:v>
                  </c:pt>
                  <c:pt idx="4">
                    <c:v>4.6631131023076592E-5</c:v>
                  </c:pt>
                  <c:pt idx="5">
                    <c:v>8.6470218641584239E-5</c:v>
                  </c:pt>
                  <c:pt idx="6">
                    <c:v>7.9737551605864093E-5</c:v>
                  </c:pt>
                  <c:pt idx="7">
                    <c:v>7.7660094718897654E-5</c:v>
                  </c:pt>
                  <c:pt idx="8">
                    <c:v>6.4357075026183258E-5</c:v>
                  </c:pt>
                  <c:pt idx="9">
                    <c:v>5.3370577631918004E-5</c:v>
                  </c:pt>
                  <c:pt idx="10">
                    <c:v>1.1195755858894588E-4</c:v>
                  </c:pt>
                  <c:pt idx="11">
                    <c:v>1.2145262021084626E-4</c:v>
                  </c:pt>
                  <c:pt idx="12">
                    <c:v>1.2299966416059814E-3</c:v>
                  </c:pt>
                  <c:pt idx="13">
                    <c:v>1.6263333263935085E-4</c:v>
                  </c:pt>
                  <c:pt idx="14">
                    <c:v>2.2303720656447956E-4</c:v>
                  </c:pt>
                  <c:pt idx="15">
                    <c:v>1.9982173158586181E-4</c:v>
                  </c:pt>
                  <c:pt idx="16">
                    <c:v>1.1505440711785387E-4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'TOF2 vs W'!$L$2:$L$18</c:f>
              <c:numCache>
                <c:formatCode>0.0%</c:formatCode>
                <c:ptCount val="17"/>
                <c:pt idx="0">
                  <c:v>0.1622203098106714</c:v>
                </c:pt>
                <c:pt idx="1">
                  <c:v>0.1622203098106714</c:v>
                </c:pt>
                <c:pt idx="2">
                  <c:v>9.0436590436590164E-2</c:v>
                </c:pt>
                <c:pt idx="3">
                  <c:v>9.0436590436590164E-2</c:v>
                </c:pt>
                <c:pt idx="4">
                  <c:v>0.19980314960629944</c:v>
                </c:pt>
                <c:pt idx="5">
                  <c:v>0.1508515815085158</c:v>
                </c:pt>
                <c:pt idx="6">
                  <c:v>0.26691858467880425</c:v>
                </c:pt>
                <c:pt idx="7">
                  <c:v>0.18550811785929003</c:v>
                </c:pt>
                <c:pt idx="8">
                  <c:v>0.11699064074874009</c:v>
                </c:pt>
                <c:pt idx="9">
                  <c:v>0.22477693891557984</c:v>
                </c:pt>
                <c:pt idx="10">
                  <c:v>0.10631793478260841</c:v>
                </c:pt>
                <c:pt idx="11">
                  <c:v>0.14524886877828025</c:v>
                </c:pt>
                <c:pt idx="12">
                  <c:v>0.14524886877828025</c:v>
                </c:pt>
                <c:pt idx="13">
                  <c:v>0.14524886877828025</c:v>
                </c:pt>
                <c:pt idx="14">
                  <c:v>0.16490566037735838</c:v>
                </c:pt>
                <c:pt idx="15">
                  <c:v>0.22849968612680469</c:v>
                </c:pt>
                <c:pt idx="16">
                  <c:v>0.22849968612680469</c:v>
                </c:pt>
              </c:numCache>
            </c:numRef>
          </c:xVal>
          <c:yVal>
            <c:numRef>
              <c:f>'TOF2 vs W'!$K$2:$K$18</c:f>
              <c:numCache>
                <c:formatCode>General</c:formatCode>
                <c:ptCount val="17"/>
                <c:pt idx="0">
                  <c:v>6.3282485986349002E-4</c:v>
                </c:pt>
                <c:pt idx="1">
                  <c:v>1.2835072113586779E-3</c:v>
                </c:pt>
                <c:pt idx="2">
                  <c:v>5.4200277348837034E-4</c:v>
                </c:pt>
                <c:pt idx="3">
                  <c:v>7.2267036465885803E-4</c:v>
                </c:pt>
                <c:pt idx="4">
                  <c:v>7.8517158538460308E-4</c:v>
                </c:pt>
                <c:pt idx="5">
                  <c:v>4.2969589249786111E-4</c:v>
                </c:pt>
                <c:pt idx="6">
                  <c:v>7.8126525908484012E-4</c:v>
                </c:pt>
                <c:pt idx="7">
                  <c:v>5.8315871124798538E-4</c:v>
                </c:pt>
                <c:pt idx="8">
                  <c:v>6.9337291744142604E-4</c:v>
                </c:pt>
                <c:pt idx="9">
                  <c:v>6.7709655787714007E-4</c:v>
                </c:pt>
                <c:pt idx="10">
                  <c:v>6.1524639153165417E-4</c:v>
                </c:pt>
                <c:pt idx="11">
                  <c:v>5.5990676901510972E-4</c:v>
                </c:pt>
                <c:pt idx="12">
                  <c:v>1.2969003300831617E-3</c:v>
                </c:pt>
                <c:pt idx="13">
                  <c:v>6.4454383874425398E-4</c:v>
                </c:pt>
                <c:pt idx="14">
                  <c:v>8.0079689056374492E-4</c:v>
                </c:pt>
                <c:pt idx="15">
                  <c:v>8.5939178499603946E-4</c:v>
                </c:pt>
                <c:pt idx="16">
                  <c:v>6.1524639152972982E-4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607-5D4F-93DA-F775B05728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0.28000000000000003"/>
          <c:min val="0.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  <c:majorUnit val="0.04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'TOF2 vs W'!$AI$2:$AI$13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plus>
            <c:minus>
              <c:numRef>
                <c:f>'TOF2 vs W'!$AI$2:$AI$13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minus>
            <c:spPr>
              <a:ln w="6350"/>
            </c:spPr>
          </c:errBars>
          <c:xVal>
            <c:numRef>
              <c:f>'TOF2 vs W'!$AF$2:$AF$13</c:f>
              <c:numCache>
                <c:formatCode>0.0%</c:formatCode>
                <c:ptCount val="12"/>
                <c:pt idx="0">
                  <c:v>0.1622203098106714</c:v>
                </c:pt>
                <c:pt idx="1">
                  <c:v>9.0436590436590164E-2</c:v>
                </c:pt>
                <c:pt idx="2">
                  <c:v>0.19980314960629944</c:v>
                </c:pt>
                <c:pt idx="3">
                  <c:v>0.1508515815085158</c:v>
                </c:pt>
                <c:pt idx="4">
                  <c:v>0.26691858467880425</c:v>
                </c:pt>
                <c:pt idx="5">
                  <c:v>0.18550811785929003</c:v>
                </c:pt>
                <c:pt idx="6">
                  <c:v>0.11699064074874009</c:v>
                </c:pt>
                <c:pt idx="7">
                  <c:v>0.22477693891557984</c:v>
                </c:pt>
                <c:pt idx="8">
                  <c:v>0.10631793478260841</c:v>
                </c:pt>
                <c:pt idx="9">
                  <c:v>0.14524886877828025</c:v>
                </c:pt>
                <c:pt idx="10">
                  <c:v>0.16490566037735838</c:v>
                </c:pt>
                <c:pt idx="11">
                  <c:v>0.22849968612680469</c:v>
                </c:pt>
              </c:numCache>
            </c:numRef>
          </c:xVal>
          <c:yVal>
            <c:numRef>
              <c:f>'TOF2 vs W'!$AE$2:$AE$13</c:f>
              <c:numCache>
                <c:formatCode>General</c:formatCode>
                <c:ptCount val="12"/>
                <c:pt idx="0">
                  <c:v>2.5650682126413478</c:v>
                </c:pt>
                <c:pt idx="1">
                  <c:v>2.6610701832437287</c:v>
                </c:pt>
                <c:pt idx="2">
                  <c:v>3.7188004175787275</c:v>
                </c:pt>
                <c:pt idx="3">
                  <c:v>2.3321449284662177</c:v>
                </c:pt>
                <c:pt idx="4">
                  <c:v>3.3843681758450024</c:v>
                </c:pt>
                <c:pt idx="5">
                  <c:v>2.9639171140714216</c:v>
                </c:pt>
                <c:pt idx="6">
                  <c:v>2.4957530617775538</c:v>
                </c:pt>
                <c:pt idx="7">
                  <c:v>4.120947298491358</c:v>
                </c:pt>
                <c:pt idx="8">
                  <c:v>2.0158880434200936</c:v>
                </c:pt>
                <c:pt idx="9">
                  <c:v>2.0417622203199088</c:v>
                </c:pt>
                <c:pt idx="10">
                  <c:v>2.0306623489044209</c:v>
                </c:pt>
                <c:pt idx="11">
                  <c:v>2.8830907121228746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782-F94E-A70E-DA0570C633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28000000000000003"/>
          <c:min val="0.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'TOF2 vs W'!$M$2:$M$18</c:f>
                <c:numCache>
                  <c:formatCode>General</c:formatCode>
                  <c:ptCount val="17"/>
                  <c:pt idx="0">
                    <c:v>6.1143677973849933E-5</c:v>
                  </c:pt>
                  <c:pt idx="1">
                    <c:v>1.0208097328723662E-3</c:v>
                  </c:pt>
                  <c:pt idx="2">
                    <c:v>6.6474533539814177E-5</c:v>
                  </c:pt>
                  <c:pt idx="3">
                    <c:v>2.8678927077325882E-4</c:v>
                  </c:pt>
                  <c:pt idx="4">
                    <c:v>4.6631131023076592E-5</c:v>
                  </c:pt>
                  <c:pt idx="5">
                    <c:v>8.6470218641584239E-5</c:v>
                  </c:pt>
                  <c:pt idx="6">
                    <c:v>7.9737551605864093E-5</c:v>
                  </c:pt>
                  <c:pt idx="7">
                    <c:v>7.7660094718897654E-5</c:v>
                  </c:pt>
                  <c:pt idx="8">
                    <c:v>6.4357075026183258E-5</c:v>
                  </c:pt>
                  <c:pt idx="9">
                    <c:v>5.3370577631918004E-5</c:v>
                  </c:pt>
                  <c:pt idx="10">
                    <c:v>1.1195755858894588E-4</c:v>
                  </c:pt>
                  <c:pt idx="11">
                    <c:v>1.2145262021084626E-4</c:v>
                  </c:pt>
                  <c:pt idx="12">
                    <c:v>1.2299966416059814E-3</c:v>
                  </c:pt>
                  <c:pt idx="13">
                    <c:v>1.6263333263935085E-4</c:v>
                  </c:pt>
                  <c:pt idx="14">
                    <c:v>2.2303720656447956E-4</c:v>
                  </c:pt>
                  <c:pt idx="15">
                    <c:v>1.9982173158586181E-4</c:v>
                  </c:pt>
                  <c:pt idx="16">
                    <c:v>1.1505440711785387E-4</c:v>
                  </c:pt>
                </c:numCache>
              </c:numRef>
            </c:plus>
            <c:minus>
              <c:numRef>
                <c:f>'TOF2 vs W'!$M$2:$M$18</c:f>
                <c:numCache>
                  <c:formatCode>General</c:formatCode>
                  <c:ptCount val="17"/>
                  <c:pt idx="0">
                    <c:v>6.1143677973849933E-5</c:v>
                  </c:pt>
                  <c:pt idx="1">
                    <c:v>1.0208097328723662E-3</c:v>
                  </c:pt>
                  <c:pt idx="2">
                    <c:v>6.6474533539814177E-5</c:v>
                  </c:pt>
                  <c:pt idx="3">
                    <c:v>2.8678927077325882E-4</c:v>
                  </c:pt>
                  <c:pt idx="4">
                    <c:v>4.6631131023076592E-5</c:v>
                  </c:pt>
                  <c:pt idx="5">
                    <c:v>8.6470218641584239E-5</c:v>
                  </c:pt>
                  <c:pt idx="6">
                    <c:v>7.9737551605864093E-5</c:v>
                  </c:pt>
                  <c:pt idx="7">
                    <c:v>7.7660094718897654E-5</c:v>
                  </c:pt>
                  <c:pt idx="8">
                    <c:v>6.4357075026183258E-5</c:v>
                  </c:pt>
                  <c:pt idx="9">
                    <c:v>5.3370577631918004E-5</c:v>
                  </c:pt>
                  <c:pt idx="10">
                    <c:v>1.1195755858894588E-4</c:v>
                  </c:pt>
                  <c:pt idx="11">
                    <c:v>1.2145262021084626E-4</c:v>
                  </c:pt>
                  <c:pt idx="12">
                    <c:v>1.2299966416059814E-3</c:v>
                  </c:pt>
                  <c:pt idx="13">
                    <c:v>1.6263333263935085E-4</c:v>
                  </c:pt>
                  <c:pt idx="14">
                    <c:v>2.2303720656447956E-4</c:v>
                  </c:pt>
                  <c:pt idx="15">
                    <c:v>1.9982173158586181E-4</c:v>
                  </c:pt>
                  <c:pt idx="16">
                    <c:v>1.1505440711785387E-4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'TOF2 vs W'!$N$2:$N$18</c:f>
              <c:numCache>
                <c:formatCode>0.0%</c:formatCode>
                <c:ptCount val="17"/>
                <c:pt idx="0">
                  <c:v>0.72146316810745281</c:v>
                </c:pt>
                <c:pt idx="1">
                  <c:v>0.72146316810745281</c:v>
                </c:pt>
                <c:pt idx="2">
                  <c:v>0.48563206852537144</c:v>
                </c:pt>
                <c:pt idx="3">
                  <c:v>0.48563206852537144</c:v>
                </c:pt>
                <c:pt idx="4">
                  <c:v>0.89008626635008214</c:v>
                </c:pt>
                <c:pt idx="5">
                  <c:v>0.87703463949314364</c:v>
                </c:pt>
                <c:pt idx="6">
                  <c:v>0.93239651547725655</c:v>
                </c:pt>
                <c:pt idx="7">
                  <c:v>0.97821310228622105</c:v>
                </c:pt>
                <c:pt idx="8">
                  <c:v>0.45406540028031028</c:v>
                </c:pt>
                <c:pt idx="9">
                  <c:v>0.97159218533661007</c:v>
                </c:pt>
                <c:pt idx="10">
                  <c:v>0.54014282865007168</c:v>
                </c:pt>
                <c:pt idx="11">
                  <c:v>0.80036410954764581</c:v>
                </c:pt>
                <c:pt idx="12">
                  <c:v>0.80036410954764581</c:v>
                </c:pt>
                <c:pt idx="13">
                  <c:v>0.80036410954764581</c:v>
                </c:pt>
                <c:pt idx="14">
                  <c:v>0.93541380997219403</c:v>
                </c:pt>
                <c:pt idx="15">
                  <c:v>0.84752060591561551</c:v>
                </c:pt>
                <c:pt idx="16">
                  <c:v>0.84752060591561551</c:v>
                </c:pt>
              </c:numCache>
            </c:numRef>
          </c:xVal>
          <c:yVal>
            <c:numRef>
              <c:f>'TOF2 vs W'!$K$2:$K$18</c:f>
              <c:numCache>
                <c:formatCode>General</c:formatCode>
                <c:ptCount val="17"/>
                <c:pt idx="0">
                  <c:v>6.3282485986349002E-4</c:v>
                </c:pt>
                <c:pt idx="1">
                  <c:v>1.2835072113586779E-3</c:v>
                </c:pt>
                <c:pt idx="2">
                  <c:v>5.4200277348837034E-4</c:v>
                </c:pt>
                <c:pt idx="3">
                  <c:v>7.2267036465885803E-4</c:v>
                </c:pt>
                <c:pt idx="4">
                  <c:v>7.8517158538460308E-4</c:v>
                </c:pt>
                <c:pt idx="5">
                  <c:v>4.2969589249786111E-4</c:v>
                </c:pt>
                <c:pt idx="6">
                  <c:v>7.8126525908484012E-4</c:v>
                </c:pt>
                <c:pt idx="7">
                  <c:v>5.8315871124798538E-4</c:v>
                </c:pt>
                <c:pt idx="8">
                  <c:v>6.9337291744142604E-4</c:v>
                </c:pt>
                <c:pt idx="9">
                  <c:v>6.7709655787714007E-4</c:v>
                </c:pt>
                <c:pt idx="10">
                  <c:v>6.1524639153165417E-4</c:v>
                </c:pt>
                <c:pt idx="11">
                  <c:v>5.5990676901510972E-4</c:v>
                </c:pt>
                <c:pt idx="12">
                  <c:v>1.2969003300831617E-3</c:v>
                </c:pt>
                <c:pt idx="13">
                  <c:v>6.4454383874425398E-4</c:v>
                </c:pt>
                <c:pt idx="14">
                  <c:v>8.0079689056374492E-4</c:v>
                </c:pt>
                <c:pt idx="15">
                  <c:v>8.5939178499603946E-4</c:v>
                </c:pt>
                <c:pt idx="16">
                  <c:v>6.1524639152972982E-4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9FD-D84F-BA32-5A7AEF67B8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1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  <c:majorUnit val="0.2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'TOF2 vs W'!$AI$2:$AI$13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plus>
            <c:minus>
              <c:numRef>
                <c:f>'TOF2 vs W'!$AI$2:$AI$13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minus>
            <c:spPr>
              <a:ln w="6350"/>
            </c:spPr>
          </c:errBars>
          <c:xVal>
            <c:numRef>
              <c:f>'TOF2 vs W'!$AJ$2:$AJ$13</c:f>
              <c:numCache>
                <c:formatCode>0.0%</c:formatCode>
                <c:ptCount val="12"/>
                <c:pt idx="0">
                  <c:v>0.72146316810745281</c:v>
                </c:pt>
                <c:pt idx="1">
                  <c:v>0.48563206852537144</c:v>
                </c:pt>
                <c:pt idx="2">
                  <c:v>0.89008626635008214</c:v>
                </c:pt>
                <c:pt idx="3">
                  <c:v>0.87703463949314364</c:v>
                </c:pt>
                <c:pt idx="4">
                  <c:v>0.93239651547725655</c:v>
                </c:pt>
                <c:pt idx="5">
                  <c:v>0.97821310228622105</c:v>
                </c:pt>
                <c:pt idx="6">
                  <c:v>0.45406540028031028</c:v>
                </c:pt>
                <c:pt idx="7">
                  <c:v>0.97159218533661007</c:v>
                </c:pt>
                <c:pt idx="8">
                  <c:v>0.54014282865007168</c:v>
                </c:pt>
                <c:pt idx="9">
                  <c:v>0.80036410954764581</c:v>
                </c:pt>
                <c:pt idx="10">
                  <c:v>0.93541380997219403</c:v>
                </c:pt>
                <c:pt idx="11">
                  <c:v>0.84752060591561551</c:v>
                </c:pt>
              </c:numCache>
            </c:numRef>
          </c:xVal>
          <c:yVal>
            <c:numRef>
              <c:f>'TOF2 vs W'!$AE$2:$AE$13</c:f>
              <c:numCache>
                <c:formatCode>General</c:formatCode>
                <c:ptCount val="12"/>
                <c:pt idx="0">
                  <c:v>2.5650682126413478</c:v>
                </c:pt>
                <c:pt idx="1">
                  <c:v>2.6610701832437287</c:v>
                </c:pt>
                <c:pt idx="2">
                  <c:v>3.7188004175787275</c:v>
                </c:pt>
                <c:pt idx="3">
                  <c:v>2.3321449284662177</c:v>
                </c:pt>
                <c:pt idx="4">
                  <c:v>3.3843681758450024</c:v>
                </c:pt>
                <c:pt idx="5">
                  <c:v>2.9639171140714216</c:v>
                </c:pt>
                <c:pt idx="6">
                  <c:v>2.4957530617775538</c:v>
                </c:pt>
                <c:pt idx="7">
                  <c:v>4.120947298491358</c:v>
                </c:pt>
                <c:pt idx="8">
                  <c:v>2.0158880434200936</c:v>
                </c:pt>
                <c:pt idx="9">
                  <c:v>2.0417622203199088</c:v>
                </c:pt>
                <c:pt idx="10">
                  <c:v>2.0306623489044209</c:v>
                </c:pt>
                <c:pt idx="11">
                  <c:v>2.8830907121228746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599-6F4F-A3FB-3C652439C1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1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Saturation(%)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'TOF2 vs W'!$AI$2:$AI$13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plus>
            <c:minus>
              <c:numRef>
                <c:f>'TOF2 vs W'!$AI$2:$AI$13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minus>
            <c:spPr>
              <a:ln w="6350"/>
            </c:spPr>
          </c:errBars>
          <c:xVal>
            <c:numRef>
              <c:f>'TOF2 vs W'!$AH$2:$AH$13</c:f>
              <c:numCache>
                <c:formatCode>0.0%</c:formatCode>
                <c:ptCount val="12"/>
                <c:pt idx="0">
                  <c:v>0.89624480558381991</c:v>
                </c:pt>
                <c:pt idx="1">
                  <c:v>0.62370062370062185</c:v>
                </c:pt>
                <c:pt idx="2">
                  <c:v>1.1038848044546932</c:v>
                </c:pt>
                <c:pt idx="3">
                  <c:v>1.0403557345414882</c:v>
                </c:pt>
                <c:pt idx="4">
                  <c:v>1.474688313142565</c:v>
                </c:pt>
                <c:pt idx="5">
                  <c:v>1.2793663300640692</c:v>
                </c:pt>
                <c:pt idx="6">
                  <c:v>0.64635713120850879</c:v>
                </c:pt>
                <c:pt idx="7">
                  <c:v>1.5501857856246888</c:v>
                </c:pt>
                <c:pt idx="8">
                  <c:v>0.70878623188405609</c:v>
                </c:pt>
                <c:pt idx="9">
                  <c:v>0.96832579185520173</c:v>
                </c:pt>
                <c:pt idx="10">
                  <c:v>1.0993710691823892</c:v>
                </c:pt>
                <c:pt idx="11">
                  <c:v>1.5233312408453645</c:v>
                </c:pt>
              </c:numCache>
            </c:numRef>
          </c:xVal>
          <c:yVal>
            <c:numRef>
              <c:f>'TOF2 vs W'!$AE$2:$AE$13</c:f>
              <c:numCache>
                <c:formatCode>General</c:formatCode>
                <c:ptCount val="12"/>
                <c:pt idx="0">
                  <c:v>2.5650682126413478</c:v>
                </c:pt>
                <c:pt idx="1">
                  <c:v>2.6610701832437287</c:v>
                </c:pt>
                <c:pt idx="2">
                  <c:v>3.7188004175787275</c:v>
                </c:pt>
                <c:pt idx="3">
                  <c:v>2.3321449284662177</c:v>
                </c:pt>
                <c:pt idx="4">
                  <c:v>3.3843681758450024</c:v>
                </c:pt>
                <c:pt idx="5">
                  <c:v>2.9639171140714216</c:v>
                </c:pt>
                <c:pt idx="6">
                  <c:v>2.4957530617775538</c:v>
                </c:pt>
                <c:pt idx="7">
                  <c:v>4.120947298491358</c:v>
                </c:pt>
                <c:pt idx="8">
                  <c:v>2.0158880434200936</c:v>
                </c:pt>
                <c:pt idx="9">
                  <c:v>2.0417622203199088</c:v>
                </c:pt>
                <c:pt idx="10">
                  <c:v>2.0306623489044209</c:v>
                </c:pt>
                <c:pt idx="11">
                  <c:v>2.8830907121228746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9F0-D646-9D37-85F2D0D621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1.6"/>
          <c:min val="0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W/Wopt(%)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tx>
            <c:v>EST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'TOF2 vs W'!$AI$29:$AI$32</c:f>
                <c:numCache>
                  <c:formatCode>General</c:formatCode>
                  <c:ptCount val="4"/>
                  <c:pt idx="0">
                    <c:v>0.14533248039048227</c:v>
                  </c:pt>
                  <c:pt idx="1">
                    <c:v>0.42785092601437319</c:v>
                  </c:pt>
                  <c:pt idx="2">
                    <c:v>0.36023316880429535</c:v>
                  </c:pt>
                  <c:pt idx="3">
                    <c:v>0.47831813891511588</c:v>
                  </c:pt>
                </c:numCache>
              </c:numRef>
            </c:plus>
            <c:minus>
              <c:numRef>
                <c:f>'TOF2 vs W'!$AI$29:$AI$32</c:f>
                <c:numCache>
                  <c:formatCode>General</c:formatCode>
                  <c:ptCount val="4"/>
                  <c:pt idx="0">
                    <c:v>0.14533248039048227</c:v>
                  </c:pt>
                  <c:pt idx="1">
                    <c:v>0.42785092601437319</c:v>
                  </c:pt>
                  <c:pt idx="2">
                    <c:v>0.36023316880429535</c:v>
                  </c:pt>
                  <c:pt idx="3">
                    <c:v>0.47831813891511588</c:v>
                  </c:pt>
                </c:numCache>
              </c:numRef>
            </c:minus>
            <c:spPr>
              <a:ln w="6350"/>
            </c:spPr>
          </c:errBars>
          <c:xVal>
            <c:numRef>
              <c:f>'TOF2 vs W'!$AH$29:$AH$32</c:f>
              <c:numCache>
                <c:formatCode>0.0%</c:formatCode>
                <c:ptCount val="4"/>
                <c:pt idx="0">
                  <c:v>0.89624480558381991</c:v>
                </c:pt>
                <c:pt idx="1">
                  <c:v>1.1038848044546932</c:v>
                </c:pt>
                <c:pt idx="2">
                  <c:v>1.474688313142565</c:v>
                </c:pt>
                <c:pt idx="3">
                  <c:v>0.64635713120850879</c:v>
                </c:pt>
              </c:numCache>
            </c:numRef>
          </c:xVal>
          <c:yVal>
            <c:numRef>
              <c:f>'TOF2 vs W'!$AE$29:$AE$32</c:f>
              <c:numCache>
                <c:formatCode>General</c:formatCode>
                <c:ptCount val="4"/>
                <c:pt idx="0">
                  <c:v>2.5650682126413478</c:v>
                </c:pt>
                <c:pt idx="1">
                  <c:v>3.7188004175787275</c:v>
                </c:pt>
                <c:pt idx="2">
                  <c:v>3.3843681758450024</c:v>
                </c:pt>
                <c:pt idx="3">
                  <c:v>2.4957530617775538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FA1-5F4E-8DDD-25DEB541E704}"/>
            </c:ext>
          </c:extLst>
        </c:ser>
        <c:ser>
          <c:idx val="1"/>
          <c:order val="1"/>
          <c:tx>
            <c:v>MOD</c:v>
          </c:tx>
          <c:spPr>
            <a:ln w="38100">
              <a:noFill/>
            </a:ln>
          </c:spPr>
          <c:marker>
            <c:symbol val="diamond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'TOF2 vs W'!$AI$33:$AI$36</c:f>
                <c:numCache>
                  <c:formatCode>General</c:formatCode>
                  <c:ptCount val="4"/>
                  <c:pt idx="0">
                    <c:v>0.32242117742333626</c:v>
                  </c:pt>
                  <c:pt idx="1">
                    <c:v>0.2603831055085693</c:v>
                  </c:pt>
                  <c:pt idx="2">
                    <c:v>0.30075442753308113</c:v>
                  </c:pt>
                  <c:pt idx="3">
                    <c:v>0.60282382271864421</c:v>
                  </c:pt>
                </c:numCache>
              </c:numRef>
            </c:plus>
            <c:minus>
              <c:numRef>
                <c:f>'TOF2 vs W'!$AI$33:$AI$36</c:f>
                <c:numCache>
                  <c:formatCode>General</c:formatCode>
                  <c:ptCount val="4"/>
                  <c:pt idx="0">
                    <c:v>0.32242117742333626</c:v>
                  </c:pt>
                  <c:pt idx="1">
                    <c:v>0.2603831055085693</c:v>
                  </c:pt>
                  <c:pt idx="2">
                    <c:v>0.30075442753308113</c:v>
                  </c:pt>
                  <c:pt idx="3">
                    <c:v>0.60282382271864421</c:v>
                  </c:pt>
                </c:numCache>
              </c:numRef>
            </c:minus>
            <c:spPr>
              <a:ln w="6350"/>
            </c:spPr>
          </c:errBars>
          <c:xVal>
            <c:numRef>
              <c:f>'TOF2 vs W'!$AH$33:$AH$36</c:f>
              <c:numCache>
                <c:formatCode>0.0%</c:formatCode>
                <c:ptCount val="4"/>
                <c:pt idx="0">
                  <c:v>0.70878623188405609</c:v>
                </c:pt>
                <c:pt idx="1">
                  <c:v>0.96832579185520173</c:v>
                </c:pt>
                <c:pt idx="2">
                  <c:v>1.0993710691823892</c:v>
                </c:pt>
                <c:pt idx="3">
                  <c:v>1.5233312408453645</c:v>
                </c:pt>
              </c:numCache>
            </c:numRef>
          </c:xVal>
          <c:yVal>
            <c:numRef>
              <c:f>'TOF2 vs W'!$AE$33:$AE$36</c:f>
              <c:numCache>
                <c:formatCode>General</c:formatCode>
                <c:ptCount val="4"/>
                <c:pt idx="0">
                  <c:v>2.0158880434200936</c:v>
                </c:pt>
                <c:pt idx="1">
                  <c:v>2.0417622203199088</c:v>
                </c:pt>
                <c:pt idx="2">
                  <c:v>2.0306623489044209</c:v>
                </c:pt>
                <c:pt idx="3">
                  <c:v>2.8830907121228746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1FA1-5F4E-8DDD-25DEB541E704}"/>
            </c:ext>
          </c:extLst>
        </c:ser>
        <c:ser>
          <c:idx val="2"/>
          <c:order val="2"/>
          <c:tx>
            <c:v>MOD56</c:v>
          </c:tx>
          <c:spPr>
            <a:ln w="38100">
              <a:noFill/>
            </a:ln>
          </c:spPr>
          <c:marker>
            <c:symbol val="triang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'TOF2 vs W'!$AI$37:$AI$40</c:f>
                <c:numCache>
                  <c:formatCode>General</c:formatCode>
                  <c:ptCount val="4"/>
                  <c:pt idx="0">
                    <c:v>0.33976318685894813</c:v>
                  </c:pt>
                  <c:pt idx="1">
                    <c:v>0.2883705128405239</c:v>
                  </c:pt>
                  <c:pt idx="2">
                    <c:v>0.49394238598869122</c:v>
                  </c:pt>
                  <c:pt idx="3">
                    <c:v>0.46424785685652692</c:v>
                  </c:pt>
                </c:numCache>
              </c:numRef>
            </c:plus>
            <c:minus>
              <c:numRef>
                <c:f>'TOF2 vs W'!$AI$37:$AI$40</c:f>
                <c:numCache>
                  <c:formatCode>General</c:formatCode>
                  <c:ptCount val="4"/>
                  <c:pt idx="0">
                    <c:v>0.33976318685894813</c:v>
                  </c:pt>
                  <c:pt idx="1">
                    <c:v>0.2883705128405239</c:v>
                  </c:pt>
                  <c:pt idx="2">
                    <c:v>0.49394238598869122</c:v>
                  </c:pt>
                  <c:pt idx="3">
                    <c:v>0.46424785685652692</c:v>
                  </c:pt>
                </c:numCache>
              </c:numRef>
            </c:minus>
            <c:spPr>
              <a:ln w="6350"/>
            </c:spPr>
          </c:errBars>
          <c:xVal>
            <c:numRef>
              <c:f>'TOF2 vs W'!$AH$37:$AH$40</c:f>
              <c:numCache>
                <c:formatCode>0.0%</c:formatCode>
                <c:ptCount val="4"/>
                <c:pt idx="0">
                  <c:v>0.62370062370062185</c:v>
                </c:pt>
                <c:pt idx="1">
                  <c:v>1.0403557345414882</c:v>
                </c:pt>
                <c:pt idx="2">
                  <c:v>1.2793663300640692</c:v>
                </c:pt>
                <c:pt idx="3">
                  <c:v>1.5501857856246888</c:v>
                </c:pt>
              </c:numCache>
            </c:numRef>
          </c:xVal>
          <c:yVal>
            <c:numRef>
              <c:f>'TOF2 vs W'!$AE$37:$AE$40</c:f>
              <c:numCache>
                <c:formatCode>General</c:formatCode>
                <c:ptCount val="4"/>
                <c:pt idx="0">
                  <c:v>2.6610701832437287</c:v>
                </c:pt>
                <c:pt idx="1">
                  <c:v>2.3321449284662177</c:v>
                </c:pt>
                <c:pt idx="2">
                  <c:v>2.9639171140714216</c:v>
                </c:pt>
                <c:pt idx="3">
                  <c:v>4.120947298491358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1FA1-5F4E-8DDD-25DEB541E7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1.6"/>
          <c:min val="0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W/Wopt(%)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'TOF2 vs W'!$W$2:$W$13</c:f>
                <c:numCache>
                  <c:formatCode>General</c:formatCode>
                  <c:ptCount val="12"/>
                  <c:pt idx="0">
                    <c:v>6.1143677973849933E-5</c:v>
                  </c:pt>
                  <c:pt idx="1">
                    <c:v>6.6474533539814177E-5</c:v>
                  </c:pt>
                  <c:pt idx="2">
                    <c:v>4.6631131023076592E-5</c:v>
                  </c:pt>
                  <c:pt idx="3">
                    <c:v>8.6470218641584239E-5</c:v>
                  </c:pt>
                  <c:pt idx="4">
                    <c:v>7.9737551605864093E-5</c:v>
                  </c:pt>
                  <c:pt idx="5">
                    <c:v>7.7660094718897654E-5</c:v>
                  </c:pt>
                  <c:pt idx="6">
                    <c:v>6.4357075026183258E-5</c:v>
                  </c:pt>
                  <c:pt idx="7">
                    <c:v>5.3370577631918004E-5</c:v>
                  </c:pt>
                  <c:pt idx="8">
                    <c:v>1.1195755858894588E-4</c:v>
                  </c:pt>
                  <c:pt idx="9">
                    <c:v>1.2145262021084626E-4</c:v>
                  </c:pt>
                  <c:pt idx="10">
                    <c:v>2.2303720656447956E-4</c:v>
                  </c:pt>
                  <c:pt idx="11">
                    <c:v>1.1505440711785387E-4</c:v>
                  </c:pt>
                </c:numCache>
              </c:numRef>
            </c:plus>
            <c:minus>
              <c:numRef>
                <c:f>'TOF2 vs W'!$W$2:$W$13</c:f>
                <c:numCache>
                  <c:formatCode>General</c:formatCode>
                  <c:ptCount val="12"/>
                  <c:pt idx="0">
                    <c:v>6.1143677973849933E-5</c:v>
                  </c:pt>
                  <c:pt idx="1">
                    <c:v>6.6474533539814177E-5</c:v>
                  </c:pt>
                  <c:pt idx="2">
                    <c:v>4.6631131023076592E-5</c:v>
                  </c:pt>
                  <c:pt idx="3">
                    <c:v>8.6470218641584239E-5</c:v>
                  </c:pt>
                  <c:pt idx="4">
                    <c:v>7.9737551605864093E-5</c:v>
                  </c:pt>
                  <c:pt idx="5">
                    <c:v>7.7660094718897654E-5</c:v>
                  </c:pt>
                  <c:pt idx="6">
                    <c:v>6.4357075026183258E-5</c:v>
                  </c:pt>
                  <c:pt idx="7">
                    <c:v>5.3370577631918004E-5</c:v>
                  </c:pt>
                  <c:pt idx="8">
                    <c:v>1.1195755858894588E-4</c:v>
                  </c:pt>
                  <c:pt idx="9">
                    <c:v>1.2145262021084626E-4</c:v>
                  </c:pt>
                  <c:pt idx="10">
                    <c:v>2.2303720656447956E-4</c:v>
                  </c:pt>
                  <c:pt idx="11">
                    <c:v>1.1505440711785387E-4</c:v>
                  </c:pt>
                </c:numCache>
              </c:numRef>
            </c:minus>
            <c:spPr>
              <a:ln w="6350"/>
            </c:spPr>
          </c:errBars>
          <c:xVal>
            <c:numRef>
              <c:f>'TOF2 vs W'!$V$2:$V$13</c:f>
              <c:numCache>
                <c:formatCode>0.0%</c:formatCode>
                <c:ptCount val="12"/>
                <c:pt idx="0">
                  <c:v>0.1622203098106714</c:v>
                </c:pt>
                <c:pt idx="1">
                  <c:v>9.0436590436590164E-2</c:v>
                </c:pt>
                <c:pt idx="2">
                  <c:v>0.19980314960629944</c:v>
                </c:pt>
                <c:pt idx="3">
                  <c:v>0.1508515815085158</c:v>
                </c:pt>
                <c:pt idx="4">
                  <c:v>0.26691858467880425</c:v>
                </c:pt>
                <c:pt idx="5">
                  <c:v>0.18550811785929003</c:v>
                </c:pt>
                <c:pt idx="6">
                  <c:v>0.11699064074874009</c:v>
                </c:pt>
                <c:pt idx="7">
                  <c:v>0.22477693891557984</c:v>
                </c:pt>
                <c:pt idx="8">
                  <c:v>0.10631793478260841</c:v>
                </c:pt>
                <c:pt idx="9">
                  <c:v>0.14524886877828025</c:v>
                </c:pt>
                <c:pt idx="10">
                  <c:v>0.16490566037735838</c:v>
                </c:pt>
                <c:pt idx="11">
                  <c:v>0.22849968612680469</c:v>
                </c:pt>
              </c:numCache>
            </c:numRef>
          </c:xVal>
          <c:yVal>
            <c:numRef>
              <c:f>'TOF2 vs W'!$U$2:$U$13</c:f>
              <c:numCache>
                <c:formatCode>General</c:formatCode>
                <c:ptCount val="12"/>
                <c:pt idx="0">
                  <c:v>6.3282485986349002E-4</c:v>
                </c:pt>
                <c:pt idx="1">
                  <c:v>5.4200277348837034E-4</c:v>
                </c:pt>
                <c:pt idx="2">
                  <c:v>7.8517158538460308E-4</c:v>
                </c:pt>
                <c:pt idx="3">
                  <c:v>4.2969589249786111E-4</c:v>
                </c:pt>
                <c:pt idx="4">
                  <c:v>7.8126525908484012E-4</c:v>
                </c:pt>
                <c:pt idx="5">
                  <c:v>5.8315871124798538E-4</c:v>
                </c:pt>
                <c:pt idx="6">
                  <c:v>6.9337291744142604E-4</c:v>
                </c:pt>
                <c:pt idx="7">
                  <c:v>6.7709655787714007E-4</c:v>
                </c:pt>
                <c:pt idx="8">
                  <c:v>6.1524639153165417E-4</c:v>
                </c:pt>
                <c:pt idx="9">
                  <c:v>5.5990676901510972E-4</c:v>
                </c:pt>
                <c:pt idx="10">
                  <c:v>8.0079689056374492E-4</c:v>
                </c:pt>
                <c:pt idx="11">
                  <c:v>6.1524639152972982E-4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3D-DE40-8EAD-BAA8E9CFEE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28000000000000003"/>
          <c:min val="0.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1.5E-3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TOF2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5.0000000000000001E-4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'F1'!$M$2:$M$18</c:f>
                <c:numCache>
                  <c:formatCode>General</c:formatCode>
                  <c:ptCount val="17"/>
                  <c:pt idx="0">
                    <c:v>0.14533248039048227</c:v>
                  </c:pt>
                  <c:pt idx="1">
                    <c:v>0.41402209909293669</c:v>
                  </c:pt>
                  <c:pt idx="2">
                    <c:v>0.33976318685894813</c:v>
                  </c:pt>
                  <c:pt idx="3">
                    <c:v>0.33922474932521424</c:v>
                  </c:pt>
                  <c:pt idx="4">
                    <c:v>0.42785092601437319</c:v>
                  </c:pt>
                  <c:pt idx="5">
                    <c:v>0.2883705128405239</c:v>
                  </c:pt>
                  <c:pt idx="6">
                    <c:v>0.36023316880429535</c:v>
                  </c:pt>
                  <c:pt idx="7">
                    <c:v>0.49394238598869122</c:v>
                  </c:pt>
                  <c:pt idx="8">
                    <c:v>0.47831813891511588</c:v>
                  </c:pt>
                  <c:pt idx="9">
                    <c:v>0.46424785685652692</c:v>
                  </c:pt>
                  <c:pt idx="10">
                    <c:v>0.32242117742333626</c:v>
                  </c:pt>
                  <c:pt idx="11">
                    <c:v>0.2603831055085693</c:v>
                  </c:pt>
                  <c:pt idx="12">
                    <c:v>0.26912460467009353</c:v>
                  </c:pt>
                  <c:pt idx="13">
                    <c:v>0.46128405522692695</c:v>
                  </c:pt>
                  <c:pt idx="14">
                    <c:v>0.30075442753308113</c:v>
                  </c:pt>
                  <c:pt idx="15">
                    <c:v>0.60282382271864421</c:v>
                  </c:pt>
                  <c:pt idx="16">
                    <c:v>0.59223100613067825</c:v>
                  </c:pt>
                </c:numCache>
              </c:numRef>
            </c:plus>
            <c:minus>
              <c:numRef>
                <c:f>'F1'!$M$2:$M$18</c:f>
                <c:numCache>
                  <c:formatCode>General</c:formatCode>
                  <c:ptCount val="17"/>
                  <c:pt idx="0">
                    <c:v>0.14533248039048227</c:v>
                  </c:pt>
                  <c:pt idx="1">
                    <c:v>0.41402209909293669</c:v>
                  </c:pt>
                  <c:pt idx="2">
                    <c:v>0.33976318685894813</c:v>
                  </c:pt>
                  <c:pt idx="3">
                    <c:v>0.33922474932521424</c:v>
                  </c:pt>
                  <c:pt idx="4">
                    <c:v>0.42785092601437319</c:v>
                  </c:pt>
                  <c:pt idx="5">
                    <c:v>0.2883705128405239</c:v>
                  </c:pt>
                  <c:pt idx="6">
                    <c:v>0.36023316880429535</c:v>
                  </c:pt>
                  <c:pt idx="7">
                    <c:v>0.49394238598869122</c:v>
                  </c:pt>
                  <c:pt idx="8">
                    <c:v>0.47831813891511588</c:v>
                  </c:pt>
                  <c:pt idx="9">
                    <c:v>0.46424785685652692</c:v>
                  </c:pt>
                  <c:pt idx="10">
                    <c:v>0.32242117742333626</c:v>
                  </c:pt>
                  <c:pt idx="11">
                    <c:v>0.2603831055085693</c:v>
                  </c:pt>
                  <c:pt idx="12">
                    <c:v>0.26912460467009353</c:v>
                  </c:pt>
                  <c:pt idx="13">
                    <c:v>0.46128405522692695</c:v>
                  </c:pt>
                  <c:pt idx="14">
                    <c:v>0.30075442753308113</c:v>
                  </c:pt>
                  <c:pt idx="15">
                    <c:v>0.60282382271864421</c:v>
                  </c:pt>
                  <c:pt idx="16">
                    <c:v>0.59223100613067825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'F1'!$L$2:$L$18</c:f>
              <c:numCache>
                <c:formatCode>0.0%</c:formatCode>
                <c:ptCount val="17"/>
                <c:pt idx="0">
                  <c:v>0.1622203098106714</c:v>
                </c:pt>
                <c:pt idx="1">
                  <c:v>0.1622203098106714</c:v>
                </c:pt>
                <c:pt idx="2">
                  <c:v>9.0436590436590164E-2</c:v>
                </c:pt>
                <c:pt idx="3">
                  <c:v>9.0436590436590164E-2</c:v>
                </c:pt>
                <c:pt idx="4">
                  <c:v>0.19980314960629944</c:v>
                </c:pt>
                <c:pt idx="5">
                  <c:v>0.1508515815085158</c:v>
                </c:pt>
                <c:pt idx="6">
                  <c:v>0.26691858467880425</c:v>
                </c:pt>
                <c:pt idx="7">
                  <c:v>0.18550811785929003</c:v>
                </c:pt>
                <c:pt idx="8">
                  <c:v>0.11699064074874009</c:v>
                </c:pt>
                <c:pt idx="9">
                  <c:v>0.22477693891557984</c:v>
                </c:pt>
                <c:pt idx="10">
                  <c:v>0.10631793478260841</c:v>
                </c:pt>
                <c:pt idx="11">
                  <c:v>0.14524886877828025</c:v>
                </c:pt>
                <c:pt idx="12">
                  <c:v>0.14524886877828025</c:v>
                </c:pt>
                <c:pt idx="13">
                  <c:v>0.14524886877828025</c:v>
                </c:pt>
                <c:pt idx="14">
                  <c:v>0.16490566037735838</c:v>
                </c:pt>
                <c:pt idx="15">
                  <c:v>0.22849968612680469</c:v>
                </c:pt>
                <c:pt idx="16">
                  <c:v>0.22849968612680469</c:v>
                </c:pt>
              </c:numCache>
            </c:numRef>
          </c:xVal>
          <c:yVal>
            <c:numRef>
              <c:f>'F1'!$K$2:$K$18</c:f>
              <c:numCache>
                <c:formatCode>General</c:formatCode>
                <c:ptCount val="17"/>
                <c:pt idx="0">
                  <c:v>2.5650682126413478</c:v>
                </c:pt>
                <c:pt idx="1">
                  <c:v>2.6691598452612704</c:v>
                </c:pt>
                <c:pt idx="2">
                  <c:v>2.6610701832437287</c:v>
                </c:pt>
                <c:pt idx="3">
                  <c:v>2.9323477901572517</c:v>
                </c:pt>
                <c:pt idx="4">
                  <c:v>3.7188004175787275</c:v>
                </c:pt>
                <c:pt idx="5">
                  <c:v>2.3321449284662177</c:v>
                </c:pt>
                <c:pt idx="6">
                  <c:v>3.3843681758450024</c:v>
                </c:pt>
                <c:pt idx="7">
                  <c:v>2.9639171140714216</c:v>
                </c:pt>
                <c:pt idx="8">
                  <c:v>2.4957530617775538</c:v>
                </c:pt>
                <c:pt idx="9">
                  <c:v>4.120947298491358</c:v>
                </c:pt>
                <c:pt idx="10">
                  <c:v>2.0158880434200936</c:v>
                </c:pt>
                <c:pt idx="11">
                  <c:v>2.0417622203199088</c:v>
                </c:pt>
                <c:pt idx="12">
                  <c:v>1.9700035332916506</c:v>
                </c:pt>
                <c:pt idx="13">
                  <c:v>2.367607645602956</c:v>
                </c:pt>
                <c:pt idx="14">
                  <c:v>2.0306623489044209</c:v>
                </c:pt>
                <c:pt idx="15">
                  <c:v>2.8830907121228746</c:v>
                </c:pt>
                <c:pt idx="16">
                  <c:v>2.1972161872219305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A7F-7A40-99FA-94915D3E19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0.28000000000000003"/>
          <c:min val="0.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  <c:majorUnit val="0.04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'F1'!$Y$2:$Y$13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plus>
            <c:minus>
              <c:numRef>
                <c:f>'F1'!$Y$2:$Y$13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minus>
            <c:spPr>
              <a:ln w="6350"/>
            </c:spPr>
          </c:errBars>
          <c:xVal>
            <c:numRef>
              <c:f>'F1'!$V$2:$V$13</c:f>
              <c:numCache>
                <c:formatCode>0.0%</c:formatCode>
                <c:ptCount val="12"/>
                <c:pt idx="0">
                  <c:v>0.1622203098106714</c:v>
                </c:pt>
                <c:pt idx="1">
                  <c:v>9.0436590436590164E-2</c:v>
                </c:pt>
                <c:pt idx="2">
                  <c:v>0.19980314960629944</c:v>
                </c:pt>
                <c:pt idx="3">
                  <c:v>0.1508515815085158</c:v>
                </c:pt>
                <c:pt idx="4">
                  <c:v>0.26691858467880425</c:v>
                </c:pt>
                <c:pt idx="5">
                  <c:v>0.18550811785929003</c:v>
                </c:pt>
                <c:pt idx="6">
                  <c:v>0.11699064074874009</c:v>
                </c:pt>
                <c:pt idx="7">
                  <c:v>0.22477693891557984</c:v>
                </c:pt>
                <c:pt idx="8">
                  <c:v>0.10631793478260841</c:v>
                </c:pt>
                <c:pt idx="9">
                  <c:v>0.14524886877828025</c:v>
                </c:pt>
                <c:pt idx="10">
                  <c:v>0.16490566037735838</c:v>
                </c:pt>
                <c:pt idx="11">
                  <c:v>0.22849968612680469</c:v>
                </c:pt>
              </c:numCache>
            </c:numRef>
          </c:xVal>
          <c:yVal>
            <c:numRef>
              <c:f>'F1'!$U$2:$U$13</c:f>
              <c:numCache>
                <c:formatCode>General</c:formatCode>
                <c:ptCount val="12"/>
                <c:pt idx="0">
                  <c:v>2.5650682126413478</c:v>
                </c:pt>
                <c:pt idx="1">
                  <c:v>2.6610701832437287</c:v>
                </c:pt>
                <c:pt idx="2">
                  <c:v>3.7188004175787275</c:v>
                </c:pt>
                <c:pt idx="3">
                  <c:v>2.3321449284662177</c:v>
                </c:pt>
                <c:pt idx="4">
                  <c:v>3.3843681758450024</c:v>
                </c:pt>
                <c:pt idx="5">
                  <c:v>2.9639171140714216</c:v>
                </c:pt>
                <c:pt idx="6">
                  <c:v>2.4957530617775538</c:v>
                </c:pt>
                <c:pt idx="7">
                  <c:v>4.120947298491358</c:v>
                </c:pt>
                <c:pt idx="8">
                  <c:v>2.0158880434200936</c:v>
                </c:pt>
                <c:pt idx="9">
                  <c:v>2.0417622203199088</c:v>
                </c:pt>
                <c:pt idx="10">
                  <c:v>2.0306623489044209</c:v>
                </c:pt>
                <c:pt idx="11">
                  <c:v>2.8830907121228746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35C-F749-B099-578459C61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28000000000000003"/>
          <c:min val="0.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'F1'!$M$2:$M$18</c:f>
                <c:numCache>
                  <c:formatCode>General</c:formatCode>
                  <c:ptCount val="17"/>
                  <c:pt idx="0">
                    <c:v>0.14533248039048227</c:v>
                  </c:pt>
                  <c:pt idx="1">
                    <c:v>0.41402209909293669</c:v>
                  </c:pt>
                  <c:pt idx="2">
                    <c:v>0.33976318685894813</c:v>
                  </c:pt>
                  <c:pt idx="3">
                    <c:v>0.33922474932521424</c:v>
                  </c:pt>
                  <c:pt idx="4">
                    <c:v>0.42785092601437319</c:v>
                  </c:pt>
                  <c:pt idx="5">
                    <c:v>0.2883705128405239</c:v>
                  </c:pt>
                  <c:pt idx="6">
                    <c:v>0.36023316880429535</c:v>
                  </c:pt>
                  <c:pt idx="7">
                    <c:v>0.49394238598869122</c:v>
                  </c:pt>
                  <c:pt idx="8">
                    <c:v>0.47831813891511588</c:v>
                  </c:pt>
                  <c:pt idx="9">
                    <c:v>0.46424785685652692</c:v>
                  </c:pt>
                  <c:pt idx="10">
                    <c:v>0.32242117742333626</c:v>
                  </c:pt>
                  <c:pt idx="11">
                    <c:v>0.2603831055085693</c:v>
                  </c:pt>
                  <c:pt idx="12">
                    <c:v>0.26912460467009353</c:v>
                  </c:pt>
                  <c:pt idx="13">
                    <c:v>0.46128405522692695</c:v>
                  </c:pt>
                  <c:pt idx="14">
                    <c:v>0.30075442753308113</c:v>
                  </c:pt>
                  <c:pt idx="15">
                    <c:v>0.60282382271864421</c:v>
                  </c:pt>
                  <c:pt idx="16">
                    <c:v>0.59223100613067825</c:v>
                  </c:pt>
                </c:numCache>
              </c:numRef>
            </c:plus>
            <c:minus>
              <c:numRef>
                <c:f>'F1'!$M$2:$M$18</c:f>
                <c:numCache>
                  <c:formatCode>General</c:formatCode>
                  <c:ptCount val="17"/>
                  <c:pt idx="0">
                    <c:v>0.14533248039048227</c:v>
                  </c:pt>
                  <c:pt idx="1">
                    <c:v>0.41402209909293669</c:v>
                  </c:pt>
                  <c:pt idx="2">
                    <c:v>0.33976318685894813</c:v>
                  </c:pt>
                  <c:pt idx="3">
                    <c:v>0.33922474932521424</c:v>
                  </c:pt>
                  <c:pt idx="4">
                    <c:v>0.42785092601437319</c:v>
                  </c:pt>
                  <c:pt idx="5">
                    <c:v>0.2883705128405239</c:v>
                  </c:pt>
                  <c:pt idx="6">
                    <c:v>0.36023316880429535</c:v>
                  </c:pt>
                  <c:pt idx="7">
                    <c:v>0.49394238598869122</c:v>
                  </c:pt>
                  <c:pt idx="8">
                    <c:v>0.47831813891511588</c:v>
                  </c:pt>
                  <c:pt idx="9">
                    <c:v>0.46424785685652692</c:v>
                  </c:pt>
                  <c:pt idx="10">
                    <c:v>0.32242117742333626</c:v>
                  </c:pt>
                  <c:pt idx="11">
                    <c:v>0.2603831055085693</c:v>
                  </c:pt>
                  <c:pt idx="12">
                    <c:v>0.26912460467009353</c:v>
                  </c:pt>
                  <c:pt idx="13">
                    <c:v>0.46128405522692695</c:v>
                  </c:pt>
                  <c:pt idx="14">
                    <c:v>0.30075442753308113</c:v>
                  </c:pt>
                  <c:pt idx="15">
                    <c:v>0.60282382271864421</c:v>
                  </c:pt>
                  <c:pt idx="16">
                    <c:v>0.59223100613067825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'F1'!$N$2:$N$18</c:f>
              <c:numCache>
                <c:formatCode>0.0%</c:formatCode>
                <c:ptCount val="17"/>
                <c:pt idx="0">
                  <c:v>0.72146316810745281</c:v>
                </c:pt>
                <c:pt idx="1">
                  <c:v>0.72146316810745281</c:v>
                </c:pt>
                <c:pt idx="2">
                  <c:v>0.48563206852537144</c:v>
                </c:pt>
                <c:pt idx="3">
                  <c:v>0.48563206852537144</c:v>
                </c:pt>
                <c:pt idx="4">
                  <c:v>0.89008626635008214</c:v>
                </c:pt>
                <c:pt idx="5">
                  <c:v>0.87703463949314364</c:v>
                </c:pt>
                <c:pt idx="6">
                  <c:v>0.93239651547725655</c:v>
                </c:pt>
                <c:pt idx="7">
                  <c:v>0.97821310228622105</c:v>
                </c:pt>
                <c:pt idx="8">
                  <c:v>0.45406540028031028</c:v>
                </c:pt>
                <c:pt idx="9">
                  <c:v>0.97159218533661007</c:v>
                </c:pt>
                <c:pt idx="10">
                  <c:v>0.54014282865007168</c:v>
                </c:pt>
                <c:pt idx="11">
                  <c:v>0.80036410954764581</c:v>
                </c:pt>
                <c:pt idx="12">
                  <c:v>0.80036410954764581</c:v>
                </c:pt>
                <c:pt idx="13">
                  <c:v>0.80036410954764581</c:v>
                </c:pt>
                <c:pt idx="14">
                  <c:v>0.93541380997219403</c:v>
                </c:pt>
                <c:pt idx="15">
                  <c:v>0.84752060591561551</c:v>
                </c:pt>
                <c:pt idx="16">
                  <c:v>0.84752060591561551</c:v>
                </c:pt>
              </c:numCache>
            </c:numRef>
          </c:xVal>
          <c:yVal>
            <c:numRef>
              <c:f>'F1'!$K$2:$K$18</c:f>
              <c:numCache>
                <c:formatCode>General</c:formatCode>
                <c:ptCount val="17"/>
                <c:pt idx="0">
                  <c:v>2.5650682126413478</c:v>
                </c:pt>
                <c:pt idx="1">
                  <c:v>2.6691598452612704</c:v>
                </c:pt>
                <c:pt idx="2">
                  <c:v>2.6610701832437287</c:v>
                </c:pt>
                <c:pt idx="3">
                  <c:v>2.9323477901572517</c:v>
                </c:pt>
                <c:pt idx="4">
                  <c:v>3.7188004175787275</c:v>
                </c:pt>
                <c:pt idx="5">
                  <c:v>2.3321449284662177</c:v>
                </c:pt>
                <c:pt idx="6">
                  <c:v>3.3843681758450024</c:v>
                </c:pt>
                <c:pt idx="7">
                  <c:v>2.9639171140714216</c:v>
                </c:pt>
                <c:pt idx="8">
                  <c:v>2.4957530617775538</c:v>
                </c:pt>
                <c:pt idx="9">
                  <c:v>4.120947298491358</c:v>
                </c:pt>
                <c:pt idx="10">
                  <c:v>2.0158880434200936</c:v>
                </c:pt>
                <c:pt idx="11">
                  <c:v>2.0417622203199088</c:v>
                </c:pt>
                <c:pt idx="12">
                  <c:v>1.9700035332916506</c:v>
                </c:pt>
                <c:pt idx="13">
                  <c:v>2.367607645602956</c:v>
                </c:pt>
                <c:pt idx="14">
                  <c:v>2.0306623489044209</c:v>
                </c:pt>
                <c:pt idx="15">
                  <c:v>2.8830907121228746</c:v>
                </c:pt>
                <c:pt idx="16">
                  <c:v>2.1972161872219305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588-DF4B-8CF7-74B0A7EEA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1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  <c:majorUnit val="0.2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'F1'!$Y$2:$Y$13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plus>
            <c:minus>
              <c:numRef>
                <c:f>'F1'!$Y$2:$Y$13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minus>
            <c:spPr>
              <a:ln w="6350"/>
            </c:spPr>
          </c:errBars>
          <c:xVal>
            <c:numRef>
              <c:f>'F1'!$Z$2:$Z$13</c:f>
              <c:numCache>
                <c:formatCode>0.0%</c:formatCode>
                <c:ptCount val="12"/>
                <c:pt idx="0">
                  <c:v>0.72146316810745281</c:v>
                </c:pt>
                <c:pt idx="1">
                  <c:v>0.48563206852537144</c:v>
                </c:pt>
                <c:pt idx="2">
                  <c:v>0.89008626635008214</c:v>
                </c:pt>
                <c:pt idx="3">
                  <c:v>0.87703463949314364</c:v>
                </c:pt>
                <c:pt idx="4">
                  <c:v>0.93239651547725655</c:v>
                </c:pt>
                <c:pt idx="5">
                  <c:v>0.97821310228622105</c:v>
                </c:pt>
                <c:pt idx="6">
                  <c:v>0.45406540028031028</c:v>
                </c:pt>
                <c:pt idx="7">
                  <c:v>0.97159218533661007</c:v>
                </c:pt>
                <c:pt idx="8">
                  <c:v>0.54014282865007168</c:v>
                </c:pt>
                <c:pt idx="9">
                  <c:v>0.80036410954764581</c:v>
                </c:pt>
                <c:pt idx="10">
                  <c:v>0.93541380997219403</c:v>
                </c:pt>
                <c:pt idx="11">
                  <c:v>0.84752060591561551</c:v>
                </c:pt>
              </c:numCache>
            </c:numRef>
          </c:xVal>
          <c:yVal>
            <c:numRef>
              <c:f>'F1'!$U$2:$U$13</c:f>
              <c:numCache>
                <c:formatCode>General</c:formatCode>
                <c:ptCount val="12"/>
                <c:pt idx="0">
                  <c:v>2.5650682126413478</c:v>
                </c:pt>
                <c:pt idx="1">
                  <c:v>2.6610701832437287</c:v>
                </c:pt>
                <c:pt idx="2">
                  <c:v>3.7188004175787275</c:v>
                </c:pt>
                <c:pt idx="3">
                  <c:v>2.3321449284662177</c:v>
                </c:pt>
                <c:pt idx="4">
                  <c:v>3.3843681758450024</c:v>
                </c:pt>
                <c:pt idx="5">
                  <c:v>2.9639171140714216</c:v>
                </c:pt>
                <c:pt idx="6">
                  <c:v>2.4957530617775538</c:v>
                </c:pt>
                <c:pt idx="7">
                  <c:v>4.120947298491358</c:v>
                </c:pt>
                <c:pt idx="8">
                  <c:v>2.0158880434200936</c:v>
                </c:pt>
                <c:pt idx="9">
                  <c:v>2.0417622203199088</c:v>
                </c:pt>
                <c:pt idx="10">
                  <c:v>2.0306623489044209</c:v>
                </c:pt>
                <c:pt idx="11">
                  <c:v>2.8830907121228746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6BC-B94F-9404-5DAAE0D66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1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Saturation(%)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'F1'!$Y$2:$Y$13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plus>
            <c:minus>
              <c:numRef>
                <c:f>'F1'!$Y$2:$Y$13</c:f>
                <c:numCache>
                  <c:formatCode>General</c:formatCode>
                  <c:ptCount val="12"/>
                  <c:pt idx="0">
                    <c:v>0.14533248039048227</c:v>
                  </c:pt>
                  <c:pt idx="1">
                    <c:v>0.33976318685894813</c:v>
                  </c:pt>
                  <c:pt idx="2">
                    <c:v>0.42785092601437319</c:v>
                  </c:pt>
                  <c:pt idx="3">
                    <c:v>0.2883705128405239</c:v>
                  </c:pt>
                  <c:pt idx="4">
                    <c:v>0.36023316880429535</c:v>
                  </c:pt>
                  <c:pt idx="5">
                    <c:v>0.49394238598869122</c:v>
                  </c:pt>
                  <c:pt idx="6">
                    <c:v>0.47831813891511588</c:v>
                  </c:pt>
                  <c:pt idx="7">
                    <c:v>0.46424785685652692</c:v>
                  </c:pt>
                  <c:pt idx="8">
                    <c:v>0.32242117742333626</c:v>
                  </c:pt>
                  <c:pt idx="9">
                    <c:v>0.2603831055085693</c:v>
                  </c:pt>
                  <c:pt idx="10">
                    <c:v>0.30075442753308113</c:v>
                  </c:pt>
                  <c:pt idx="11">
                    <c:v>0.60282382271864421</c:v>
                  </c:pt>
                </c:numCache>
              </c:numRef>
            </c:minus>
            <c:spPr>
              <a:ln w="6350"/>
            </c:spPr>
          </c:errBars>
          <c:xVal>
            <c:numRef>
              <c:f>'F1'!$X$2:$X$13</c:f>
              <c:numCache>
                <c:formatCode>0.0%</c:formatCode>
                <c:ptCount val="12"/>
                <c:pt idx="0">
                  <c:v>0.89624480558381991</c:v>
                </c:pt>
                <c:pt idx="1">
                  <c:v>0.62370062370062185</c:v>
                </c:pt>
                <c:pt idx="2">
                  <c:v>1.1038848044546932</c:v>
                </c:pt>
                <c:pt idx="3">
                  <c:v>1.0403557345414882</c:v>
                </c:pt>
                <c:pt idx="4">
                  <c:v>1.474688313142565</c:v>
                </c:pt>
                <c:pt idx="5">
                  <c:v>1.2793663300640692</c:v>
                </c:pt>
                <c:pt idx="6">
                  <c:v>0.64635713120850879</c:v>
                </c:pt>
                <c:pt idx="7">
                  <c:v>1.5501857856246888</c:v>
                </c:pt>
                <c:pt idx="8">
                  <c:v>0.70878623188405609</c:v>
                </c:pt>
                <c:pt idx="9">
                  <c:v>0.96832579185520173</c:v>
                </c:pt>
                <c:pt idx="10">
                  <c:v>1.0993710691823892</c:v>
                </c:pt>
                <c:pt idx="11">
                  <c:v>1.5233312408453645</c:v>
                </c:pt>
              </c:numCache>
            </c:numRef>
          </c:xVal>
          <c:yVal>
            <c:numRef>
              <c:f>'F1'!$U$2:$U$13</c:f>
              <c:numCache>
                <c:formatCode>General</c:formatCode>
                <c:ptCount val="12"/>
                <c:pt idx="0">
                  <c:v>2.5650682126413478</c:v>
                </c:pt>
                <c:pt idx="1">
                  <c:v>2.6610701832437287</c:v>
                </c:pt>
                <c:pt idx="2">
                  <c:v>3.7188004175787275</c:v>
                </c:pt>
                <c:pt idx="3">
                  <c:v>2.3321449284662177</c:v>
                </c:pt>
                <c:pt idx="4">
                  <c:v>3.3843681758450024</c:v>
                </c:pt>
                <c:pt idx="5">
                  <c:v>2.9639171140714216</c:v>
                </c:pt>
                <c:pt idx="6">
                  <c:v>2.4957530617775538</c:v>
                </c:pt>
                <c:pt idx="7">
                  <c:v>4.120947298491358</c:v>
                </c:pt>
                <c:pt idx="8">
                  <c:v>2.0158880434200936</c:v>
                </c:pt>
                <c:pt idx="9">
                  <c:v>2.0417622203199088</c:v>
                </c:pt>
                <c:pt idx="10">
                  <c:v>2.0306623489044209</c:v>
                </c:pt>
                <c:pt idx="11">
                  <c:v>2.8830907121228746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47D-EB46-9AA7-4A9F57505E4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1.6"/>
          <c:min val="0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W/Wopt(%)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tx>
            <c:v>EST</c:v>
          </c:tx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'F1'!$Y$29:$Y$32</c:f>
                <c:numCache>
                  <c:formatCode>General</c:formatCode>
                  <c:ptCount val="4"/>
                  <c:pt idx="0">
                    <c:v>0.14533248039048227</c:v>
                  </c:pt>
                  <c:pt idx="1">
                    <c:v>0.42785092601437319</c:v>
                  </c:pt>
                  <c:pt idx="2">
                    <c:v>0.36023316880429535</c:v>
                  </c:pt>
                  <c:pt idx="3">
                    <c:v>0.47831813891511588</c:v>
                  </c:pt>
                </c:numCache>
              </c:numRef>
            </c:plus>
            <c:minus>
              <c:numRef>
                <c:f>'F1'!$Y$29:$Y$32</c:f>
                <c:numCache>
                  <c:formatCode>General</c:formatCode>
                  <c:ptCount val="4"/>
                  <c:pt idx="0">
                    <c:v>0.14533248039048227</c:v>
                  </c:pt>
                  <c:pt idx="1">
                    <c:v>0.42785092601437319</c:v>
                  </c:pt>
                  <c:pt idx="2">
                    <c:v>0.36023316880429535</c:v>
                  </c:pt>
                  <c:pt idx="3">
                    <c:v>0.47831813891511588</c:v>
                  </c:pt>
                </c:numCache>
              </c:numRef>
            </c:minus>
            <c:spPr>
              <a:ln w="6350"/>
            </c:spPr>
          </c:errBars>
          <c:xVal>
            <c:numRef>
              <c:f>'F1'!$X$29:$X$32</c:f>
              <c:numCache>
                <c:formatCode>0.0%</c:formatCode>
                <c:ptCount val="4"/>
                <c:pt idx="0">
                  <c:v>0.89624480558381991</c:v>
                </c:pt>
                <c:pt idx="1">
                  <c:v>1.1038848044546932</c:v>
                </c:pt>
                <c:pt idx="2">
                  <c:v>1.474688313142565</c:v>
                </c:pt>
                <c:pt idx="3">
                  <c:v>0.64635713120850879</c:v>
                </c:pt>
              </c:numCache>
            </c:numRef>
          </c:xVal>
          <c:yVal>
            <c:numRef>
              <c:f>'F1'!$U$29:$U$32</c:f>
              <c:numCache>
                <c:formatCode>General</c:formatCode>
                <c:ptCount val="4"/>
                <c:pt idx="0">
                  <c:v>2.5650682126413478</c:v>
                </c:pt>
                <c:pt idx="1">
                  <c:v>3.7188004175787275</c:v>
                </c:pt>
                <c:pt idx="2">
                  <c:v>3.3843681758450024</c:v>
                </c:pt>
                <c:pt idx="3">
                  <c:v>2.4957530617775538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03D-7544-BDBB-927566344A30}"/>
            </c:ext>
          </c:extLst>
        </c:ser>
        <c:ser>
          <c:idx val="1"/>
          <c:order val="1"/>
          <c:tx>
            <c:v>MOD</c:v>
          </c:tx>
          <c:spPr>
            <a:ln w="38100">
              <a:noFill/>
            </a:ln>
          </c:spPr>
          <c:marker>
            <c:symbol val="diamond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'F1'!$Y$33:$Y$36</c:f>
                <c:numCache>
                  <c:formatCode>General</c:formatCode>
                  <c:ptCount val="4"/>
                  <c:pt idx="0">
                    <c:v>0.32242117742333626</c:v>
                  </c:pt>
                  <c:pt idx="1">
                    <c:v>0.2603831055085693</c:v>
                  </c:pt>
                  <c:pt idx="2">
                    <c:v>0.30075442753308113</c:v>
                  </c:pt>
                  <c:pt idx="3">
                    <c:v>0.60282382271864421</c:v>
                  </c:pt>
                </c:numCache>
              </c:numRef>
            </c:plus>
            <c:minus>
              <c:numRef>
                <c:f>'F1'!$Y$33:$Y$36</c:f>
                <c:numCache>
                  <c:formatCode>General</c:formatCode>
                  <c:ptCount val="4"/>
                  <c:pt idx="0">
                    <c:v>0.32242117742333626</c:v>
                  </c:pt>
                  <c:pt idx="1">
                    <c:v>0.2603831055085693</c:v>
                  </c:pt>
                  <c:pt idx="2">
                    <c:v>0.30075442753308113</c:v>
                  </c:pt>
                  <c:pt idx="3">
                    <c:v>0.60282382271864421</c:v>
                  </c:pt>
                </c:numCache>
              </c:numRef>
            </c:minus>
            <c:spPr>
              <a:ln w="6350"/>
            </c:spPr>
          </c:errBars>
          <c:xVal>
            <c:numRef>
              <c:f>'F1'!$X$33:$X$36</c:f>
              <c:numCache>
                <c:formatCode>0.0%</c:formatCode>
                <c:ptCount val="4"/>
                <c:pt idx="0">
                  <c:v>0.70878623188405609</c:v>
                </c:pt>
                <c:pt idx="1">
                  <c:v>0.96832579185520173</c:v>
                </c:pt>
                <c:pt idx="2">
                  <c:v>1.0993710691823892</c:v>
                </c:pt>
                <c:pt idx="3">
                  <c:v>1.5233312408453645</c:v>
                </c:pt>
              </c:numCache>
            </c:numRef>
          </c:xVal>
          <c:yVal>
            <c:numRef>
              <c:f>'F1'!$U$33:$U$36</c:f>
              <c:numCache>
                <c:formatCode>General</c:formatCode>
                <c:ptCount val="4"/>
                <c:pt idx="0">
                  <c:v>2.0158880434200936</c:v>
                </c:pt>
                <c:pt idx="1">
                  <c:v>2.0417622203199088</c:v>
                </c:pt>
                <c:pt idx="2">
                  <c:v>2.0306623489044209</c:v>
                </c:pt>
                <c:pt idx="3">
                  <c:v>2.8830907121228746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D03D-7544-BDBB-927566344A30}"/>
            </c:ext>
          </c:extLst>
        </c:ser>
        <c:ser>
          <c:idx val="2"/>
          <c:order val="2"/>
          <c:tx>
            <c:v>MOD56</c:v>
          </c:tx>
          <c:spPr>
            <a:ln w="38100">
              <a:noFill/>
            </a:ln>
          </c:spPr>
          <c:marker>
            <c:symbol val="triangle"/>
            <c:size val="4"/>
          </c:marker>
          <c:errBars>
            <c:errDir val="y"/>
            <c:errBarType val="both"/>
            <c:errValType val="cust"/>
            <c:noEndCap val="0"/>
            <c:plus>
              <c:numRef>
                <c:f>'F1'!$Y$37:$Y$40</c:f>
                <c:numCache>
                  <c:formatCode>General</c:formatCode>
                  <c:ptCount val="4"/>
                  <c:pt idx="0">
                    <c:v>0.33976318685894813</c:v>
                  </c:pt>
                  <c:pt idx="1">
                    <c:v>0.2883705128405239</c:v>
                  </c:pt>
                  <c:pt idx="2">
                    <c:v>0.49394238598869122</c:v>
                  </c:pt>
                  <c:pt idx="3">
                    <c:v>0.46424785685652692</c:v>
                  </c:pt>
                </c:numCache>
              </c:numRef>
            </c:plus>
            <c:minus>
              <c:numRef>
                <c:f>'F1'!$Y$37:$Y$40</c:f>
                <c:numCache>
                  <c:formatCode>General</c:formatCode>
                  <c:ptCount val="4"/>
                  <c:pt idx="0">
                    <c:v>0.33976318685894813</c:v>
                  </c:pt>
                  <c:pt idx="1">
                    <c:v>0.2883705128405239</c:v>
                  </c:pt>
                  <c:pt idx="2">
                    <c:v>0.49394238598869122</c:v>
                  </c:pt>
                  <c:pt idx="3">
                    <c:v>0.46424785685652692</c:v>
                  </c:pt>
                </c:numCache>
              </c:numRef>
            </c:minus>
            <c:spPr>
              <a:ln w="6350"/>
            </c:spPr>
          </c:errBars>
          <c:xVal>
            <c:numRef>
              <c:f>'F1'!$X$37:$X$40</c:f>
              <c:numCache>
                <c:formatCode>0.0%</c:formatCode>
                <c:ptCount val="4"/>
                <c:pt idx="0">
                  <c:v>0.62370062370062185</c:v>
                </c:pt>
                <c:pt idx="1">
                  <c:v>1.0403557345414882</c:v>
                </c:pt>
                <c:pt idx="2">
                  <c:v>1.2793663300640692</c:v>
                </c:pt>
                <c:pt idx="3">
                  <c:v>1.5501857856246888</c:v>
                </c:pt>
              </c:numCache>
            </c:numRef>
          </c:xVal>
          <c:yVal>
            <c:numRef>
              <c:f>'F1'!$U$37:$U$40</c:f>
              <c:numCache>
                <c:formatCode>General</c:formatCode>
                <c:ptCount val="4"/>
                <c:pt idx="0">
                  <c:v>2.6610701832437287</c:v>
                </c:pt>
                <c:pt idx="1">
                  <c:v>2.3321449284662177</c:v>
                </c:pt>
                <c:pt idx="2">
                  <c:v>2.9639171140714216</c:v>
                </c:pt>
                <c:pt idx="3">
                  <c:v>4.120947298491358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D03D-7544-BDBB-927566344A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1.6"/>
          <c:min val="0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W/Wopt(%)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5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F1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'F2'!$M$2:$M$18</c:f>
                <c:numCache>
                  <c:formatCode>General</c:formatCode>
                  <c:ptCount val="17"/>
                  <c:pt idx="0">
                    <c:v>0.20904612269701839</c:v>
                  </c:pt>
                  <c:pt idx="1">
                    <c:v>0.42927807119963513</c:v>
                  </c:pt>
                  <c:pt idx="2">
                    <c:v>0.76924420040040553</c:v>
                  </c:pt>
                  <c:pt idx="3">
                    <c:v>0.34321137705532206</c:v>
                  </c:pt>
                  <c:pt idx="4">
                    <c:v>0.32860003795337128</c:v>
                  </c:pt>
                  <c:pt idx="5">
                    <c:v>0.60098809698282563</c:v>
                  </c:pt>
                  <c:pt idx="6">
                    <c:v>0.18744562312765112</c:v>
                  </c:pt>
                  <c:pt idx="7">
                    <c:v>0.52946204811862674</c:v>
                  </c:pt>
                  <c:pt idx="8">
                    <c:v>0.52561161880013951</c:v>
                  </c:pt>
                  <c:pt idx="9">
                    <c:v>0.19708040299664545</c:v>
                  </c:pt>
                  <c:pt idx="10">
                    <c:v>0.33654394383501712</c:v>
                  </c:pt>
                  <c:pt idx="11">
                    <c:v>0.75543839770002252</c:v>
                  </c:pt>
                  <c:pt idx="12">
                    <c:v>0.60693836934815792</c:v>
                  </c:pt>
                  <c:pt idx="13">
                    <c:v>0.58572007343564847</c:v>
                  </c:pt>
                  <c:pt idx="14">
                    <c:v>0.44454858071664255</c:v>
                  </c:pt>
                  <c:pt idx="15">
                    <c:v>0.30195390928178178</c:v>
                  </c:pt>
                  <c:pt idx="16">
                    <c:v>0.88443927859376859</c:v>
                  </c:pt>
                </c:numCache>
              </c:numRef>
            </c:plus>
            <c:minus>
              <c:numRef>
                <c:f>'F2'!$M$2:$M$18</c:f>
                <c:numCache>
                  <c:formatCode>General</c:formatCode>
                  <c:ptCount val="17"/>
                  <c:pt idx="0">
                    <c:v>0.20904612269701839</c:v>
                  </c:pt>
                  <c:pt idx="1">
                    <c:v>0.42927807119963513</c:v>
                  </c:pt>
                  <c:pt idx="2">
                    <c:v>0.76924420040040553</c:v>
                  </c:pt>
                  <c:pt idx="3">
                    <c:v>0.34321137705532206</c:v>
                  </c:pt>
                  <c:pt idx="4">
                    <c:v>0.32860003795337128</c:v>
                  </c:pt>
                  <c:pt idx="5">
                    <c:v>0.60098809698282563</c:v>
                  </c:pt>
                  <c:pt idx="6">
                    <c:v>0.18744562312765112</c:v>
                  </c:pt>
                  <c:pt idx="7">
                    <c:v>0.52946204811862674</c:v>
                  </c:pt>
                  <c:pt idx="8">
                    <c:v>0.52561161880013951</c:v>
                  </c:pt>
                  <c:pt idx="9">
                    <c:v>0.19708040299664545</c:v>
                  </c:pt>
                  <c:pt idx="10">
                    <c:v>0.33654394383501712</c:v>
                  </c:pt>
                  <c:pt idx="11">
                    <c:v>0.75543839770002252</c:v>
                  </c:pt>
                  <c:pt idx="12">
                    <c:v>0.60693836934815792</c:v>
                  </c:pt>
                  <c:pt idx="13">
                    <c:v>0.58572007343564847</c:v>
                  </c:pt>
                  <c:pt idx="14">
                    <c:v>0.44454858071664255</c:v>
                  </c:pt>
                  <c:pt idx="15">
                    <c:v>0.30195390928178178</c:v>
                  </c:pt>
                  <c:pt idx="16">
                    <c:v>0.88443927859376859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'F2'!$L$2:$L$18</c:f>
              <c:numCache>
                <c:formatCode>0.0%</c:formatCode>
                <c:ptCount val="17"/>
                <c:pt idx="0">
                  <c:v>0.1622203098106714</c:v>
                </c:pt>
                <c:pt idx="1">
                  <c:v>0.1622203098106714</c:v>
                </c:pt>
                <c:pt idx="2">
                  <c:v>9.0436590436590164E-2</c:v>
                </c:pt>
                <c:pt idx="3">
                  <c:v>9.0436590436590164E-2</c:v>
                </c:pt>
                <c:pt idx="4">
                  <c:v>0.19980314960629944</c:v>
                </c:pt>
                <c:pt idx="5">
                  <c:v>0.1508515815085158</c:v>
                </c:pt>
                <c:pt idx="6">
                  <c:v>0.26691858467880425</c:v>
                </c:pt>
                <c:pt idx="7">
                  <c:v>0.18550811785929003</c:v>
                </c:pt>
                <c:pt idx="8">
                  <c:v>0.11699064074874009</c:v>
                </c:pt>
                <c:pt idx="9">
                  <c:v>0.22477693891557984</c:v>
                </c:pt>
                <c:pt idx="10">
                  <c:v>0.10631793478260841</c:v>
                </c:pt>
                <c:pt idx="11">
                  <c:v>0.14524886877828025</c:v>
                </c:pt>
                <c:pt idx="12">
                  <c:v>0.14524886877828025</c:v>
                </c:pt>
                <c:pt idx="13">
                  <c:v>0.14524886877828025</c:v>
                </c:pt>
                <c:pt idx="14">
                  <c:v>0.16490566037735838</c:v>
                </c:pt>
                <c:pt idx="15">
                  <c:v>0.22849968612680469</c:v>
                </c:pt>
                <c:pt idx="16">
                  <c:v>0.22849968612680499</c:v>
                </c:pt>
              </c:numCache>
            </c:numRef>
          </c:xVal>
          <c:yVal>
            <c:numRef>
              <c:f>'F2'!$K$2:$K$18</c:f>
              <c:numCache>
                <c:formatCode>General</c:formatCode>
                <c:ptCount val="17"/>
                <c:pt idx="0">
                  <c:v>2.0983548102894174</c:v>
                </c:pt>
                <c:pt idx="1">
                  <c:v>3.1041010483117257</c:v>
                </c:pt>
                <c:pt idx="2">
                  <c:v>2.9102501921988395</c:v>
                </c:pt>
                <c:pt idx="3">
                  <c:v>2.7749919849578357</c:v>
                </c:pt>
                <c:pt idx="4">
                  <c:v>1.2870576367732602</c:v>
                </c:pt>
                <c:pt idx="5">
                  <c:v>2.227265998216037</c:v>
                </c:pt>
                <c:pt idx="6">
                  <c:v>1.2039886437345055</c:v>
                </c:pt>
                <c:pt idx="7">
                  <c:v>1.9548274983059</c:v>
                </c:pt>
                <c:pt idx="8">
                  <c:v>2.1680219089700139</c:v>
                </c:pt>
                <c:pt idx="9">
                  <c:v>1.2032143573631102</c:v>
                </c:pt>
                <c:pt idx="10">
                  <c:v>3.1952515252314257</c:v>
                </c:pt>
                <c:pt idx="11">
                  <c:v>2.3984105027978901</c:v>
                </c:pt>
                <c:pt idx="12">
                  <c:v>2.842749738118493</c:v>
                </c:pt>
                <c:pt idx="13">
                  <c:v>2.6603836644842471</c:v>
                </c:pt>
                <c:pt idx="14">
                  <c:v>2.7114328728731256</c:v>
                </c:pt>
                <c:pt idx="15">
                  <c:v>2.6047394878425614</c:v>
                </c:pt>
                <c:pt idx="16">
                  <c:v>3.146286758912467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28C-BA47-BF9B-DE3B54F16E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0.28000000000000003"/>
          <c:min val="0.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  <c:majorUnit val="0.04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'F2'!$Y$2:$Y$13</c:f>
                <c:numCache>
                  <c:formatCode>General</c:formatCode>
                  <c:ptCount val="12"/>
                  <c:pt idx="0">
                    <c:v>0.20904612269701839</c:v>
                  </c:pt>
                  <c:pt idx="1">
                    <c:v>0.34321137705532206</c:v>
                  </c:pt>
                  <c:pt idx="2">
                    <c:v>0.32860003795337128</c:v>
                  </c:pt>
                  <c:pt idx="3">
                    <c:v>0.60098809698282563</c:v>
                  </c:pt>
                  <c:pt idx="4">
                    <c:v>0.18744562312765112</c:v>
                  </c:pt>
                  <c:pt idx="5">
                    <c:v>0.52946204811862674</c:v>
                  </c:pt>
                  <c:pt idx="6">
                    <c:v>0.52561161880013951</c:v>
                  </c:pt>
                  <c:pt idx="7">
                    <c:v>0.19708040299664545</c:v>
                  </c:pt>
                  <c:pt idx="8">
                    <c:v>0.33654394383501712</c:v>
                  </c:pt>
                  <c:pt idx="9">
                    <c:v>0.58572007343564847</c:v>
                  </c:pt>
                  <c:pt idx="10">
                    <c:v>0.44454858071664255</c:v>
                  </c:pt>
                  <c:pt idx="11">
                    <c:v>0.30195390928178178</c:v>
                  </c:pt>
                </c:numCache>
              </c:numRef>
            </c:plus>
            <c:minus>
              <c:numRef>
                <c:f>'F2'!$Y$2:$Y$13</c:f>
                <c:numCache>
                  <c:formatCode>General</c:formatCode>
                  <c:ptCount val="12"/>
                  <c:pt idx="0">
                    <c:v>0.20904612269701839</c:v>
                  </c:pt>
                  <c:pt idx="1">
                    <c:v>0.34321137705532206</c:v>
                  </c:pt>
                  <c:pt idx="2">
                    <c:v>0.32860003795337128</c:v>
                  </c:pt>
                  <c:pt idx="3">
                    <c:v>0.60098809698282563</c:v>
                  </c:pt>
                  <c:pt idx="4">
                    <c:v>0.18744562312765112</c:v>
                  </c:pt>
                  <c:pt idx="5">
                    <c:v>0.52946204811862674</c:v>
                  </c:pt>
                  <c:pt idx="6">
                    <c:v>0.52561161880013951</c:v>
                  </c:pt>
                  <c:pt idx="7">
                    <c:v>0.19708040299664545</c:v>
                  </c:pt>
                  <c:pt idx="8">
                    <c:v>0.33654394383501712</c:v>
                  </c:pt>
                  <c:pt idx="9">
                    <c:v>0.58572007343564847</c:v>
                  </c:pt>
                  <c:pt idx="10">
                    <c:v>0.44454858071664255</c:v>
                  </c:pt>
                  <c:pt idx="11">
                    <c:v>0.30195390928178178</c:v>
                  </c:pt>
                </c:numCache>
              </c:numRef>
            </c:minus>
            <c:spPr>
              <a:ln w="6350"/>
            </c:spPr>
          </c:errBars>
          <c:xVal>
            <c:numRef>
              <c:f>'F2'!$V$2:$V$13</c:f>
              <c:numCache>
                <c:formatCode>0.0%</c:formatCode>
                <c:ptCount val="12"/>
                <c:pt idx="0">
                  <c:v>0.1622203098106714</c:v>
                </c:pt>
                <c:pt idx="1">
                  <c:v>9.0436590436590164E-2</c:v>
                </c:pt>
                <c:pt idx="2">
                  <c:v>0.19980314960629944</c:v>
                </c:pt>
                <c:pt idx="3">
                  <c:v>0.1508515815085158</c:v>
                </c:pt>
                <c:pt idx="4">
                  <c:v>0.26691858467880425</c:v>
                </c:pt>
                <c:pt idx="5">
                  <c:v>0.18550811785929003</c:v>
                </c:pt>
                <c:pt idx="6">
                  <c:v>0.11699064074874009</c:v>
                </c:pt>
                <c:pt idx="7">
                  <c:v>0.22477693891557984</c:v>
                </c:pt>
                <c:pt idx="8">
                  <c:v>0.10631793478260841</c:v>
                </c:pt>
                <c:pt idx="9">
                  <c:v>0.14524886877828025</c:v>
                </c:pt>
                <c:pt idx="10">
                  <c:v>0.16490566037735838</c:v>
                </c:pt>
                <c:pt idx="11">
                  <c:v>0.22849968612680469</c:v>
                </c:pt>
              </c:numCache>
            </c:numRef>
          </c:xVal>
          <c:yVal>
            <c:numRef>
              <c:f>'F2'!$U$2:$U$13</c:f>
              <c:numCache>
                <c:formatCode>General</c:formatCode>
                <c:ptCount val="12"/>
                <c:pt idx="0">
                  <c:v>2.0983548102894174</c:v>
                </c:pt>
                <c:pt idx="1">
                  <c:v>2.7749919849578357</c:v>
                </c:pt>
                <c:pt idx="2">
                  <c:v>1.2870576367732602</c:v>
                </c:pt>
                <c:pt idx="3">
                  <c:v>2.227265998216037</c:v>
                </c:pt>
                <c:pt idx="4">
                  <c:v>1.2039886437345055</c:v>
                </c:pt>
                <c:pt idx="5">
                  <c:v>1.9548274983059</c:v>
                </c:pt>
                <c:pt idx="6">
                  <c:v>2.1680219089700139</c:v>
                </c:pt>
                <c:pt idx="7">
                  <c:v>1.2032143573631102</c:v>
                </c:pt>
                <c:pt idx="8">
                  <c:v>3.1952515252314257</c:v>
                </c:pt>
                <c:pt idx="9">
                  <c:v>2.6603836644842471</c:v>
                </c:pt>
                <c:pt idx="10">
                  <c:v>2.7114328728731256</c:v>
                </c:pt>
                <c:pt idx="11">
                  <c:v>2.6047394878425614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7BC5-E74E-BA25-867CBE36EC6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0.28000000000000003"/>
          <c:min val="0.08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F2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'F2'!$M$2:$M$18</c:f>
                <c:numCache>
                  <c:formatCode>General</c:formatCode>
                  <c:ptCount val="17"/>
                  <c:pt idx="0">
                    <c:v>0.20904612269701839</c:v>
                  </c:pt>
                  <c:pt idx="1">
                    <c:v>0.42927807119963513</c:v>
                  </c:pt>
                  <c:pt idx="2">
                    <c:v>0.76924420040040553</c:v>
                  </c:pt>
                  <c:pt idx="3">
                    <c:v>0.34321137705532206</c:v>
                  </c:pt>
                  <c:pt idx="4">
                    <c:v>0.32860003795337128</c:v>
                  </c:pt>
                  <c:pt idx="5">
                    <c:v>0.60098809698282563</c:v>
                  </c:pt>
                  <c:pt idx="6">
                    <c:v>0.18744562312765112</c:v>
                  </c:pt>
                  <c:pt idx="7">
                    <c:v>0.52946204811862674</c:v>
                  </c:pt>
                  <c:pt idx="8">
                    <c:v>0.52561161880013951</c:v>
                  </c:pt>
                  <c:pt idx="9">
                    <c:v>0.19708040299664545</c:v>
                  </c:pt>
                  <c:pt idx="10">
                    <c:v>0.33654394383501712</c:v>
                  </c:pt>
                  <c:pt idx="11">
                    <c:v>0.75543839770002252</c:v>
                  </c:pt>
                  <c:pt idx="12">
                    <c:v>0.60693836934815792</c:v>
                  </c:pt>
                  <c:pt idx="13">
                    <c:v>0.58572007343564847</c:v>
                  </c:pt>
                  <c:pt idx="14">
                    <c:v>0.44454858071664255</c:v>
                  </c:pt>
                  <c:pt idx="15">
                    <c:v>0.30195390928178178</c:v>
                  </c:pt>
                  <c:pt idx="16">
                    <c:v>0.88443927859376859</c:v>
                  </c:pt>
                </c:numCache>
              </c:numRef>
            </c:plus>
            <c:minus>
              <c:numRef>
                <c:f>'F2'!$M$2:$M$18</c:f>
                <c:numCache>
                  <c:formatCode>General</c:formatCode>
                  <c:ptCount val="17"/>
                  <c:pt idx="0">
                    <c:v>0.20904612269701839</c:v>
                  </c:pt>
                  <c:pt idx="1">
                    <c:v>0.42927807119963513</c:v>
                  </c:pt>
                  <c:pt idx="2">
                    <c:v>0.76924420040040553</c:v>
                  </c:pt>
                  <c:pt idx="3">
                    <c:v>0.34321137705532206</c:v>
                  </c:pt>
                  <c:pt idx="4">
                    <c:v>0.32860003795337128</c:v>
                  </c:pt>
                  <c:pt idx="5">
                    <c:v>0.60098809698282563</c:v>
                  </c:pt>
                  <c:pt idx="6">
                    <c:v>0.18744562312765112</c:v>
                  </c:pt>
                  <c:pt idx="7">
                    <c:v>0.52946204811862674</c:v>
                  </c:pt>
                  <c:pt idx="8">
                    <c:v>0.52561161880013951</c:v>
                  </c:pt>
                  <c:pt idx="9">
                    <c:v>0.19708040299664545</c:v>
                  </c:pt>
                  <c:pt idx="10">
                    <c:v>0.33654394383501712</c:v>
                  </c:pt>
                  <c:pt idx="11">
                    <c:v>0.75543839770002252</c:v>
                  </c:pt>
                  <c:pt idx="12">
                    <c:v>0.60693836934815792</c:v>
                  </c:pt>
                  <c:pt idx="13">
                    <c:v>0.58572007343564847</c:v>
                  </c:pt>
                  <c:pt idx="14">
                    <c:v>0.44454858071664255</c:v>
                  </c:pt>
                  <c:pt idx="15">
                    <c:v>0.30195390928178178</c:v>
                  </c:pt>
                  <c:pt idx="16">
                    <c:v>0.88443927859376859</c:v>
                  </c:pt>
                </c:numCache>
              </c:numRef>
            </c:minus>
            <c:spPr>
              <a:noFill/>
              <a:ln w="9525" cap="flat" cmpd="sng" algn="ctr">
                <a:solidFill>
                  <a:schemeClr val="tx1">
                    <a:lumMod val="65000"/>
                    <a:lumOff val="35000"/>
                  </a:schemeClr>
                </a:solidFill>
                <a:round/>
              </a:ln>
              <a:effectLst/>
            </c:spPr>
          </c:errBars>
          <c:xVal>
            <c:numRef>
              <c:f>'F2'!$N$2:$N$18</c:f>
              <c:numCache>
                <c:formatCode>0.0%</c:formatCode>
                <c:ptCount val="17"/>
                <c:pt idx="0">
                  <c:v>0.72146316810745281</c:v>
                </c:pt>
                <c:pt idx="1">
                  <c:v>0.72146316810745281</c:v>
                </c:pt>
                <c:pt idx="2">
                  <c:v>0.48563206852537144</c:v>
                </c:pt>
                <c:pt idx="3">
                  <c:v>0.48563206852537144</c:v>
                </c:pt>
                <c:pt idx="4">
                  <c:v>0.89008626635008214</c:v>
                </c:pt>
                <c:pt idx="5">
                  <c:v>0.87703463949314364</c:v>
                </c:pt>
                <c:pt idx="6">
                  <c:v>0.93239651547725655</c:v>
                </c:pt>
                <c:pt idx="7">
                  <c:v>0.97821310228622105</c:v>
                </c:pt>
                <c:pt idx="8">
                  <c:v>0.45406540028031028</c:v>
                </c:pt>
                <c:pt idx="9">
                  <c:v>0.97159218533661007</c:v>
                </c:pt>
                <c:pt idx="10">
                  <c:v>0.54014282865007168</c:v>
                </c:pt>
                <c:pt idx="11">
                  <c:v>0.80036410954764581</c:v>
                </c:pt>
                <c:pt idx="12">
                  <c:v>0.80036410954764581</c:v>
                </c:pt>
                <c:pt idx="13">
                  <c:v>0.80036410954764581</c:v>
                </c:pt>
                <c:pt idx="14">
                  <c:v>0.93541380997219403</c:v>
                </c:pt>
                <c:pt idx="15">
                  <c:v>0.84752060591561551</c:v>
                </c:pt>
                <c:pt idx="16">
                  <c:v>0.84752060591561551</c:v>
                </c:pt>
              </c:numCache>
            </c:numRef>
          </c:xVal>
          <c:yVal>
            <c:numRef>
              <c:f>'F2'!$K$2:$K$18</c:f>
              <c:numCache>
                <c:formatCode>General</c:formatCode>
                <c:ptCount val="17"/>
                <c:pt idx="0">
                  <c:v>2.0983548102894174</c:v>
                </c:pt>
                <c:pt idx="1">
                  <c:v>3.1041010483117257</c:v>
                </c:pt>
                <c:pt idx="2">
                  <c:v>2.9102501921988395</c:v>
                </c:pt>
                <c:pt idx="3">
                  <c:v>2.7749919849578357</c:v>
                </c:pt>
                <c:pt idx="4">
                  <c:v>1.2870576367732602</c:v>
                </c:pt>
                <c:pt idx="5">
                  <c:v>2.227265998216037</c:v>
                </c:pt>
                <c:pt idx="6">
                  <c:v>1.2039886437345055</c:v>
                </c:pt>
                <c:pt idx="7">
                  <c:v>1.9548274983059</c:v>
                </c:pt>
                <c:pt idx="8">
                  <c:v>2.1680219089700139</c:v>
                </c:pt>
                <c:pt idx="9">
                  <c:v>1.2032143573631102</c:v>
                </c:pt>
                <c:pt idx="10">
                  <c:v>3.1952515252314257</c:v>
                </c:pt>
                <c:pt idx="11">
                  <c:v>2.3984105027978901</c:v>
                </c:pt>
                <c:pt idx="12">
                  <c:v>2.842749738118493</c:v>
                </c:pt>
                <c:pt idx="13">
                  <c:v>2.6603836644842471</c:v>
                </c:pt>
                <c:pt idx="14">
                  <c:v>2.7114328728731256</c:v>
                </c:pt>
                <c:pt idx="15">
                  <c:v>2.6047394878425614</c:v>
                </c:pt>
                <c:pt idx="16">
                  <c:v>3.146286758912467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8AA-364E-BFD3-572B72301C9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95772768"/>
        <c:axId val="1996407072"/>
      </c:scatterChart>
      <c:valAx>
        <c:axId val="1995772768"/>
        <c:scaling>
          <c:orientation val="minMax"/>
          <c:max val="1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6407072"/>
        <c:crosses val="autoZero"/>
        <c:crossBetween val="midCat"/>
        <c:majorUnit val="0.2"/>
      </c:valAx>
      <c:valAx>
        <c:axId val="19964070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EC"/>
          </a:p>
        </c:txPr>
        <c:crossAx val="199577276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'F2'!$Y$2:$Y$13</c:f>
                <c:numCache>
                  <c:formatCode>General</c:formatCode>
                  <c:ptCount val="12"/>
                  <c:pt idx="0">
                    <c:v>0.20904612269701839</c:v>
                  </c:pt>
                  <c:pt idx="1">
                    <c:v>0.34321137705532206</c:v>
                  </c:pt>
                  <c:pt idx="2">
                    <c:v>0.32860003795337128</c:v>
                  </c:pt>
                  <c:pt idx="3">
                    <c:v>0.60098809698282563</c:v>
                  </c:pt>
                  <c:pt idx="4">
                    <c:v>0.18744562312765112</c:v>
                  </c:pt>
                  <c:pt idx="5">
                    <c:v>0.52946204811862674</c:v>
                  </c:pt>
                  <c:pt idx="6">
                    <c:v>0.52561161880013951</c:v>
                  </c:pt>
                  <c:pt idx="7">
                    <c:v>0.19708040299664545</c:v>
                  </c:pt>
                  <c:pt idx="8">
                    <c:v>0.33654394383501712</c:v>
                  </c:pt>
                  <c:pt idx="9">
                    <c:v>0.58572007343564847</c:v>
                  </c:pt>
                  <c:pt idx="10">
                    <c:v>0.44454858071664255</c:v>
                  </c:pt>
                  <c:pt idx="11">
                    <c:v>0.30195390928178178</c:v>
                  </c:pt>
                </c:numCache>
              </c:numRef>
            </c:plus>
            <c:minus>
              <c:numRef>
                <c:f>'F2'!$Y$2:$Y$13</c:f>
                <c:numCache>
                  <c:formatCode>General</c:formatCode>
                  <c:ptCount val="12"/>
                  <c:pt idx="0">
                    <c:v>0.20904612269701839</c:v>
                  </c:pt>
                  <c:pt idx="1">
                    <c:v>0.34321137705532206</c:v>
                  </c:pt>
                  <c:pt idx="2">
                    <c:v>0.32860003795337128</c:v>
                  </c:pt>
                  <c:pt idx="3">
                    <c:v>0.60098809698282563</c:v>
                  </c:pt>
                  <c:pt idx="4">
                    <c:v>0.18744562312765112</c:v>
                  </c:pt>
                  <c:pt idx="5">
                    <c:v>0.52946204811862674</c:v>
                  </c:pt>
                  <c:pt idx="6">
                    <c:v>0.52561161880013951</c:v>
                  </c:pt>
                  <c:pt idx="7">
                    <c:v>0.19708040299664545</c:v>
                  </c:pt>
                  <c:pt idx="8">
                    <c:v>0.33654394383501712</c:v>
                  </c:pt>
                  <c:pt idx="9">
                    <c:v>0.58572007343564847</c:v>
                  </c:pt>
                  <c:pt idx="10">
                    <c:v>0.44454858071664255</c:v>
                  </c:pt>
                  <c:pt idx="11">
                    <c:v>0.30195390928178178</c:v>
                  </c:pt>
                </c:numCache>
              </c:numRef>
            </c:minus>
            <c:spPr>
              <a:ln w="6350"/>
            </c:spPr>
          </c:errBars>
          <c:xVal>
            <c:numRef>
              <c:f>'F2'!$Z$2:$Z$13</c:f>
              <c:numCache>
                <c:formatCode>0.0%</c:formatCode>
                <c:ptCount val="12"/>
                <c:pt idx="0">
                  <c:v>0.72146316810745281</c:v>
                </c:pt>
                <c:pt idx="1">
                  <c:v>0.48563206852537144</c:v>
                </c:pt>
                <c:pt idx="2">
                  <c:v>0.89008626635008214</c:v>
                </c:pt>
                <c:pt idx="3">
                  <c:v>0.87703463949314364</c:v>
                </c:pt>
                <c:pt idx="4">
                  <c:v>0.93239651547725655</c:v>
                </c:pt>
                <c:pt idx="5">
                  <c:v>0.97821310228622105</c:v>
                </c:pt>
                <c:pt idx="6">
                  <c:v>0.45406540028031028</c:v>
                </c:pt>
                <c:pt idx="7">
                  <c:v>0.97159218533661007</c:v>
                </c:pt>
                <c:pt idx="8">
                  <c:v>0.54014282865007168</c:v>
                </c:pt>
                <c:pt idx="9">
                  <c:v>0.80036410954764581</c:v>
                </c:pt>
                <c:pt idx="10">
                  <c:v>0.93541380997219403</c:v>
                </c:pt>
                <c:pt idx="11">
                  <c:v>0.84752060591561551</c:v>
                </c:pt>
              </c:numCache>
            </c:numRef>
          </c:xVal>
          <c:yVal>
            <c:numRef>
              <c:f>'F2'!$U$2:$U$13</c:f>
              <c:numCache>
                <c:formatCode>General</c:formatCode>
                <c:ptCount val="12"/>
                <c:pt idx="0">
                  <c:v>2.0983548102894174</c:v>
                </c:pt>
                <c:pt idx="1">
                  <c:v>2.7749919849578357</c:v>
                </c:pt>
                <c:pt idx="2">
                  <c:v>1.2870576367732602</c:v>
                </c:pt>
                <c:pt idx="3">
                  <c:v>2.227265998216037</c:v>
                </c:pt>
                <c:pt idx="4">
                  <c:v>1.2039886437345055</c:v>
                </c:pt>
                <c:pt idx="5">
                  <c:v>1.9548274983059</c:v>
                </c:pt>
                <c:pt idx="6">
                  <c:v>2.1680219089700139</c:v>
                </c:pt>
                <c:pt idx="7">
                  <c:v>1.2032143573631102</c:v>
                </c:pt>
                <c:pt idx="8">
                  <c:v>3.1952515252314257</c:v>
                </c:pt>
                <c:pt idx="9">
                  <c:v>2.6603836644842471</c:v>
                </c:pt>
                <c:pt idx="10">
                  <c:v>2.7114328728731256</c:v>
                </c:pt>
                <c:pt idx="11">
                  <c:v>2.6047394878425614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8C1-5D41-B8F0-F1B4E1604FC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ax val="1"/>
          <c:min val="0.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Saturation(%)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F2</a:t>
                </a:r>
                <a:r>
                  <a:rPr lang="es-MX" sz="800" baseline="0">
                    <a:solidFill>
                      <a:schemeClr val="tx1"/>
                    </a:solidFill>
                  </a:rPr>
                  <a:t> </a:t>
                </a:r>
                <a:r>
                  <a:rPr lang="es-MX" sz="800">
                    <a:solidFill>
                      <a:schemeClr val="tx1"/>
                    </a:solidFill>
                  </a:rPr>
                  <a:t>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14638048272624599"/>
          <c:y val="6.4687216240982795E-2"/>
          <c:w val="0.77491583508789874"/>
          <c:h val="0.77128194664457117"/>
        </c:manualLayout>
      </c:layout>
      <c:scatterChart>
        <c:scatterStyle val="lineMarker"/>
        <c:varyColors val="0"/>
        <c:ser>
          <c:idx val="0"/>
          <c:order val="0"/>
          <c:spPr>
            <a:ln w="12700" cap="rnd">
              <a:noFill/>
              <a:round/>
            </a:ln>
            <a:effectLst/>
          </c:spPr>
          <c:marker>
            <c:symbol val="circle"/>
            <c:size val="4"/>
            <c:spPr>
              <a:solidFill>
                <a:schemeClr val="tx1"/>
              </a:solidFill>
              <a:ln w="9525">
                <a:solidFill>
                  <a:schemeClr val="tx1"/>
                </a:solidFill>
              </a:ln>
              <a:effectLst/>
            </c:spPr>
          </c:marker>
          <c:errBars>
            <c:errDir val="y"/>
            <c:errBarType val="both"/>
            <c:errValType val="cust"/>
            <c:noEndCap val="0"/>
            <c:plus>
              <c:numRef>
                <c:f>'F2'!$Y$2:$Y$13</c:f>
                <c:numCache>
                  <c:formatCode>General</c:formatCode>
                  <c:ptCount val="12"/>
                  <c:pt idx="0">
                    <c:v>0.20904612269701839</c:v>
                  </c:pt>
                  <c:pt idx="1">
                    <c:v>0.34321137705532206</c:v>
                  </c:pt>
                  <c:pt idx="2">
                    <c:v>0.32860003795337128</c:v>
                  </c:pt>
                  <c:pt idx="3">
                    <c:v>0.60098809698282563</c:v>
                  </c:pt>
                  <c:pt idx="4">
                    <c:v>0.18744562312765112</c:v>
                  </c:pt>
                  <c:pt idx="5">
                    <c:v>0.52946204811862674</c:v>
                  </c:pt>
                  <c:pt idx="6">
                    <c:v>0.52561161880013951</c:v>
                  </c:pt>
                  <c:pt idx="7">
                    <c:v>0.19708040299664545</c:v>
                  </c:pt>
                  <c:pt idx="8">
                    <c:v>0.33654394383501712</c:v>
                  </c:pt>
                  <c:pt idx="9">
                    <c:v>0.58572007343564847</c:v>
                  </c:pt>
                  <c:pt idx="10">
                    <c:v>0.44454858071664255</c:v>
                  </c:pt>
                  <c:pt idx="11">
                    <c:v>0.30195390928178178</c:v>
                  </c:pt>
                </c:numCache>
              </c:numRef>
            </c:plus>
            <c:minus>
              <c:numRef>
                <c:f>'F2'!$Y$2:$Y$13</c:f>
                <c:numCache>
                  <c:formatCode>General</c:formatCode>
                  <c:ptCount val="12"/>
                  <c:pt idx="0">
                    <c:v>0.20904612269701839</c:v>
                  </c:pt>
                  <c:pt idx="1">
                    <c:v>0.34321137705532206</c:v>
                  </c:pt>
                  <c:pt idx="2">
                    <c:v>0.32860003795337128</c:v>
                  </c:pt>
                  <c:pt idx="3">
                    <c:v>0.60098809698282563</c:v>
                  </c:pt>
                  <c:pt idx="4">
                    <c:v>0.18744562312765112</c:v>
                  </c:pt>
                  <c:pt idx="5">
                    <c:v>0.52946204811862674</c:v>
                  </c:pt>
                  <c:pt idx="6">
                    <c:v>0.52561161880013951</c:v>
                  </c:pt>
                  <c:pt idx="7">
                    <c:v>0.19708040299664545</c:v>
                  </c:pt>
                  <c:pt idx="8">
                    <c:v>0.33654394383501712</c:v>
                  </c:pt>
                  <c:pt idx="9">
                    <c:v>0.58572007343564847</c:v>
                  </c:pt>
                  <c:pt idx="10">
                    <c:v>0.44454858071664255</c:v>
                  </c:pt>
                  <c:pt idx="11">
                    <c:v>0.30195390928178178</c:v>
                  </c:pt>
                </c:numCache>
              </c:numRef>
            </c:minus>
            <c:spPr>
              <a:ln w="6350"/>
            </c:spPr>
          </c:errBars>
          <c:xVal>
            <c:numRef>
              <c:f>'F2'!$X$2:$X$13</c:f>
              <c:numCache>
                <c:formatCode>0.00%</c:formatCode>
                <c:ptCount val="12"/>
                <c:pt idx="0">
                  <c:v>0.89624480558381991</c:v>
                </c:pt>
                <c:pt idx="1">
                  <c:v>0.62370062370062185</c:v>
                </c:pt>
                <c:pt idx="2">
                  <c:v>1.1038848044546932</c:v>
                </c:pt>
                <c:pt idx="3">
                  <c:v>1.0403557345414882</c:v>
                </c:pt>
                <c:pt idx="4">
                  <c:v>1.474688313142565</c:v>
                </c:pt>
                <c:pt idx="5">
                  <c:v>1.2793663300640692</c:v>
                </c:pt>
                <c:pt idx="6">
                  <c:v>0.64635713120850879</c:v>
                </c:pt>
                <c:pt idx="7">
                  <c:v>1.5501857856246888</c:v>
                </c:pt>
                <c:pt idx="8">
                  <c:v>0.70878623188405609</c:v>
                </c:pt>
                <c:pt idx="9">
                  <c:v>0.96832579185520173</c:v>
                </c:pt>
                <c:pt idx="10">
                  <c:v>1.0993710691823892</c:v>
                </c:pt>
                <c:pt idx="11">
                  <c:v>1.5233312408453645</c:v>
                </c:pt>
              </c:numCache>
            </c:numRef>
          </c:xVal>
          <c:yVal>
            <c:numRef>
              <c:f>'F2'!$U$2:$U$13</c:f>
              <c:numCache>
                <c:formatCode>General</c:formatCode>
                <c:ptCount val="12"/>
                <c:pt idx="0">
                  <c:v>2.0983548102894174</c:v>
                </c:pt>
                <c:pt idx="1">
                  <c:v>2.7749919849578357</c:v>
                </c:pt>
                <c:pt idx="2">
                  <c:v>1.2870576367732602</c:v>
                </c:pt>
                <c:pt idx="3">
                  <c:v>2.227265998216037</c:v>
                </c:pt>
                <c:pt idx="4">
                  <c:v>1.2039886437345055</c:v>
                </c:pt>
                <c:pt idx="5">
                  <c:v>1.9548274983059</c:v>
                </c:pt>
                <c:pt idx="6">
                  <c:v>2.1680219089700139</c:v>
                </c:pt>
                <c:pt idx="7">
                  <c:v>1.2032143573631102</c:v>
                </c:pt>
                <c:pt idx="8">
                  <c:v>3.1952515252314257</c:v>
                </c:pt>
                <c:pt idx="9">
                  <c:v>2.6603836644842471</c:v>
                </c:pt>
                <c:pt idx="10">
                  <c:v>2.7114328728731256</c:v>
                </c:pt>
                <c:pt idx="11">
                  <c:v>2.6047394878425614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556-374D-BA2F-4B71E0533F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14742240"/>
        <c:axId val="1814743952"/>
      </c:scatterChart>
      <c:valAx>
        <c:axId val="1814742240"/>
        <c:scaling>
          <c:orientation val="minMax"/>
          <c:min val="0.6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W(%)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#,##0.00" sourceLinked="0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3952"/>
        <c:crosses val="autoZero"/>
        <c:crossBetween val="midCat"/>
      </c:valAx>
      <c:valAx>
        <c:axId val="1814743952"/>
        <c:scaling>
          <c:orientation val="minMax"/>
          <c:max val="6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800" b="0" i="0" u="none" strike="noStrike" kern="1200" baseline="0">
                    <a:solidFill>
                      <a:schemeClr val="tx1"/>
                    </a:solidFill>
                    <a:latin typeface="Times New Roman" panose="02020603050405020304" pitchFamily="18" charset="0"/>
                    <a:ea typeface="+mn-ea"/>
                    <a:cs typeface="Times New Roman" panose="02020603050405020304" pitchFamily="18" charset="0"/>
                  </a:defRPr>
                </a:pPr>
                <a:r>
                  <a:rPr lang="es-MX" sz="800">
                    <a:solidFill>
                      <a:schemeClr val="tx1"/>
                    </a:solidFill>
                  </a:rPr>
                  <a:t>F2 (-)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</c:title>
        <c:numFmt formatCode="General" sourceLinked="1"/>
        <c:majorTickMark val="out"/>
        <c:minorTickMark val="none"/>
        <c:tickLblPos val="nextTo"/>
        <c:spPr>
          <a:noFill/>
          <a:ln w="6350" cap="flat" cmpd="sng" algn="ctr">
            <a:solidFill>
              <a:schemeClr val="tx1"/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chemeClr val="tx1"/>
                </a:solidFill>
                <a:latin typeface="Times New Roman" panose="02020603050405020304" pitchFamily="18" charset="0"/>
                <a:ea typeface="+mn-ea"/>
                <a:cs typeface="Times New Roman" panose="02020603050405020304" pitchFamily="18" charset="0"/>
              </a:defRPr>
            </a:pPr>
            <a:endParaRPr lang="es-EC"/>
          </a:p>
        </c:txPr>
        <c:crossAx val="1814742240"/>
        <c:crosses val="autoZero"/>
        <c:crossBetween val="midCat"/>
        <c:majorUnit val="1"/>
      </c:valAx>
    </c:plotArea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>
          <a:solidFill>
            <a:schemeClr val="tx1"/>
          </a:solidFill>
          <a:latin typeface="Times New Roman" panose="02020603050405020304" pitchFamily="18" charset="0"/>
          <a:cs typeface="Times New Roman" panose="02020603050405020304" pitchFamily="18" charset="0"/>
        </a:defRPr>
      </a:pPr>
      <a:endParaRPr lang="es-EC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6" Type="http://schemas.openxmlformats.org/officeDocument/2006/relationships/chart" Target="../charts/chart13.xml"/><Relationship Id="rId5" Type="http://schemas.openxmlformats.org/officeDocument/2006/relationships/chart" Target="../charts/chart12.xml"/><Relationship Id="rId4" Type="http://schemas.openxmlformats.org/officeDocument/2006/relationships/chart" Target="../charts/chart11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6.xml"/><Relationship Id="rId2" Type="http://schemas.openxmlformats.org/officeDocument/2006/relationships/chart" Target="../charts/chart15.xml"/><Relationship Id="rId1" Type="http://schemas.openxmlformats.org/officeDocument/2006/relationships/chart" Target="../charts/chart14.xml"/><Relationship Id="rId5" Type="http://schemas.openxmlformats.org/officeDocument/2006/relationships/chart" Target="../charts/chart18.xml"/><Relationship Id="rId4" Type="http://schemas.openxmlformats.org/officeDocument/2006/relationships/chart" Target="../charts/chart1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406400</xdr:colOff>
      <xdr:row>3</xdr:row>
      <xdr:rowOff>10160</xdr:rowOff>
    </xdr:from>
    <xdr:to>
      <xdr:col>18</xdr:col>
      <xdr:colOff>340045</xdr:colOff>
      <xdr:row>14</xdr:row>
      <xdr:rowOff>118250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7043C52-7B9D-8E4B-85A9-7E9558E251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37</xdr:col>
      <xdr:colOff>497840</xdr:colOff>
      <xdr:row>1</xdr:row>
      <xdr:rowOff>172720</xdr:rowOff>
    </xdr:from>
    <xdr:to>
      <xdr:col>41</xdr:col>
      <xdr:colOff>431485</xdr:colOff>
      <xdr:row>13</xdr:row>
      <xdr:rowOff>87770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17A7E28A-0156-0B4D-8103-26A38C57528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396240</xdr:colOff>
      <xdr:row>15</xdr:row>
      <xdr:rowOff>142240</xdr:rowOff>
    </xdr:from>
    <xdr:to>
      <xdr:col>18</xdr:col>
      <xdr:colOff>329885</xdr:colOff>
      <xdr:row>27</xdr:row>
      <xdr:rowOff>57290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100C241-F240-6A48-A533-7C264FEB6D7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37</xdr:col>
      <xdr:colOff>452765</xdr:colOff>
      <xdr:row>13</xdr:row>
      <xdr:rowOff>181321</xdr:rowOff>
    </xdr:from>
    <xdr:to>
      <xdr:col>41</xdr:col>
      <xdr:colOff>386410</xdr:colOff>
      <xdr:row>25</xdr:row>
      <xdr:rowOff>100773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E75E4EA-2F40-BC46-9B7B-D75F4C2D44C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29</xdr:col>
      <xdr:colOff>1059051</xdr:colOff>
      <xdr:row>14</xdr:row>
      <xdr:rowOff>13203</xdr:rowOff>
    </xdr:from>
    <xdr:to>
      <xdr:col>34</xdr:col>
      <xdr:colOff>271065</xdr:colOff>
      <xdr:row>25</xdr:row>
      <xdr:rowOff>111549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A0731AAC-427D-9444-A29C-251BC92732F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1079500</xdr:colOff>
      <xdr:row>40</xdr:row>
      <xdr:rowOff>139700</xdr:rowOff>
    </xdr:from>
    <xdr:to>
      <xdr:col>34</xdr:col>
      <xdr:colOff>287855</xdr:colOff>
      <xdr:row>52</xdr:row>
      <xdr:rowOff>47546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40B65AF2-CE33-DA40-9D44-001A57EFEB5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20</xdr:col>
      <xdr:colOff>118777</xdr:colOff>
      <xdr:row>15</xdr:row>
      <xdr:rowOff>73093</xdr:rowOff>
    </xdr:from>
    <xdr:to>
      <xdr:col>24</xdr:col>
      <xdr:colOff>344796</xdr:colOff>
      <xdr:row>26</xdr:row>
      <xdr:rowOff>180014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6DC4A714-1444-6D44-9EDC-F0564031BE1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406400</xdr:colOff>
      <xdr:row>3</xdr:row>
      <xdr:rowOff>10160</xdr:rowOff>
    </xdr:from>
    <xdr:to>
      <xdr:col>18</xdr:col>
      <xdr:colOff>340045</xdr:colOff>
      <xdr:row>14</xdr:row>
      <xdr:rowOff>118250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A42B777-08FD-2641-8B36-EE54E15F941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497840</xdr:colOff>
      <xdr:row>1</xdr:row>
      <xdr:rowOff>172720</xdr:rowOff>
    </xdr:from>
    <xdr:to>
      <xdr:col>31</xdr:col>
      <xdr:colOff>431485</xdr:colOff>
      <xdr:row>13</xdr:row>
      <xdr:rowOff>87770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B58FA18-79DF-F34C-AAD3-6F519FF0FD4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396240</xdr:colOff>
      <xdr:row>15</xdr:row>
      <xdr:rowOff>142240</xdr:rowOff>
    </xdr:from>
    <xdr:to>
      <xdr:col>18</xdr:col>
      <xdr:colOff>329885</xdr:colOff>
      <xdr:row>27</xdr:row>
      <xdr:rowOff>57290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8D3C48D-121B-9749-88C8-AFABED4320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27</xdr:col>
      <xdr:colOff>452765</xdr:colOff>
      <xdr:row>13</xdr:row>
      <xdr:rowOff>181321</xdr:rowOff>
    </xdr:from>
    <xdr:to>
      <xdr:col>31</xdr:col>
      <xdr:colOff>386410</xdr:colOff>
      <xdr:row>25</xdr:row>
      <xdr:rowOff>100773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6EFCE62C-9AD6-AC40-B08B-251738B9F02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19</xdr:col>
      <xdr:colOff>1059051</xdr:colOff>
      <xdr:row>14</xdr:row>
      <xdr:rowOff>13203</xdr:rowOff>
    </xdr:from>
    <xdr:to>
      <xdr:col>24</xdr:col>
      <xdr:colOff>271065</xdr:colOff>
      <xdr:row>25</xdr:row>
      <xdr:rowOff>111549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F7561B2-4438-174C-898D-FA38B42B469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19</xdr:col>
      <xdr:colOff>1079500</xdr:colOff>
      <xdr:row>40</xdr:row>
      <xdr:rowOff>139700</xdr:rowOff>
    </xdr:from>
    <xdr:to>
      <xdr:col>24</xdr:col>
      <xdr:colOff>287855</xdr:colOff>
      <xdr:row>52</xdr:row>
      <xdr:rowOff>47546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A73D6E47-4DD7-B547-8D60-FFA42D9DD65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406400</xdr:colOff>
      <xdr:row>3</xdr:row>
      <xdr:rowOff>10160</xdr:rowOff>
    </xdr:from>
    <xdr:to>
      <xdr:col>18</xdr:col>
      <xdr:colOff>340045</xdr:colOff>
      <xdr:row>14</xdr:row>
      <xdr:rowOff>118250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B4BEC04-1DA0-4841-93F6-0B8C7368472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27</xdr:col>
      <xdr:colOff>497840</xdr:colOff>
      <xdr:row>1</xdr:row>
      <xdr:rowOff>172720</xdr:rowOff>
    </xdr:from>
    <xdr:to>
      <xdr:col>31</xdr:col>
      <xdr:colOff>431485</xdr:colOff>
      <xdr:row>13</xdr:row>
      <xdr:rowOff>87770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7950B440-E584-094C-8908-6434349E7F1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396240</xdr:colOff>
      <xdr:row>15</xdr:row>
      <xdr:rowOff>142240</xdr:rowOff>
    </xdr:from>
    <xdr:to>
      <xdr:col>18</xdr:col>
      <xdr:colOff>329885</xdr:colOff>
      <xdr:row>27</xdr:row>
      <xdr:rowOff>57290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A62FA5C-9FC5-8C43-B128-23A7E274A76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452765</xdr:colOff>
      <xdr:row>13</xdr:row>
      <xdr:rowOff>181321</xdr:rowOff>
    </xdr:from>
    <xdr:to>
      <xdr:col>30</xdr:col>
      <xdr:colOff>386410</xdr:colOff>
      <xdr:row>25</xdr:row>
      <xdr:rowOff>100773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48ECE4D-9561-F349-9EF8-521146B2C5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423333</xdr:colOff>
      <xdr:row>14</xdr:row>
      <xdr:rowOff>55217</xdr:rowOff>
    </xdr:from>
    <xdr:to>
      <xdr:col>25</xdr:col>
      <xdr:colOff>347775</xdr:colOff>
      <xdr:row>25</xdr:row>
      <xdr:rowOff>163527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B9213E4F-04B1-A34A-B6CB-FAA08025F92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3"/>
  <sheetViews>
    <sheetView topLeftCell="A88" workbookViewId="0">
      <selection activeCell="I2" sqref="I2"/>
    </sheetView>
  </sheetViews>
  <sheetFormatPr baseColWidth="10" defaultColWidth="8.83203125" defaultRowHeight="15" x14ac:dyDescent="0.2"/>
  <cols>
    <col min="1" max="1" width="19.5" customWidth="1"/>
    <col min="2" max="2" width="6.5" customWidth="1"/>
    <col min="3" max="3" width="11.6640625" customWidth="1"/>
    <col min="4" max="4" width="14.6640625" customWidth="1"/>
    <col min="5" max="5" width="11.6640625" customWidth="1"/>
    <col min="6" max="6" width="14.6640625" customWidth="1"/>
    <col min="7" max="7" width="11.6640625" customWidth="1"/>
    <col min="8" max="9" width="14.6640625" customWidth="1"/>
    <col min="10" max="10" width="15.6640625" customWidth="1"/>
  </cols>
  <sheetData>
    <row r="1" spans="1:10" x14ac:dyDescent="0.2">
      <c r="A1" t="s">
        <v>22</v>
      </c>
      <c r="B1" t="s">
        <v>57</v>
      </c>
      <c r="C1" t="s">
        <v>58</v>
      </c>
      <c r="D1" t="s">
        <v>59</v>
      </c>
      <c r="E1" t="s">
        <v>60</v>
      </c>
      <c r="F1" t="s">
        <v>61</v>
      </c>
      <c r="G1" t="s">
        <v>62</v>
      </c>
      <c r="H1" t="s">
        <v>63</v>
      </c>
      <c r="I1" t="s">
        <v>64</v>
      </c>
      <c r="J1" t="s">
        <v>65</v>
      </c>
    </row>
    <row r="2" spans="1:10" x14ac:dyDescent="0.2">
      <c r="A2" t="s">
        <v>23</v>
      </c>
      <c r="B2">
        <v>1</v>
      </c>
      <c r="C2">
        <v>29.420312449618159</v>
      </c>
      <c r="D2">
        <v>1.5208962963E-2</v>
      </c>
      <c r="E2">
        <v>29.421855448504854</v>
      </c>
      <c r="F2">
        <v>6.0719556070000002E-3</v>
      </c>
      <c r="G2">
        <v>29.422421865817693</v>
      </c>
      <c r="H2">
        <v>3.283007997E-3</v>
      </c>
      <c r="I2">
        <v>1.5429988866948463E-3</v>
      </c>
      <c r="J2">
        <v>5.6641731283946228E-4</v>
      </c>
    </row>
    <row r="3" spans="1:10" x14ac:dyDescent="0.2">
      <c r="A3" t="s">
        <v>23</v>
      </c>
      <c r="B3">
        <v>2</v>
      </c>
      <c r="C3">
        <v>40.431967607752107</v>
      </c>
      <c r="D3">
        <v>1.7429136136999999E-2</v>
      </c>
      <c r="E3">
        <v>40.433491075007325</v>
      </c>
      <c r="F3">
        <v>6.3423065460000002E-3</v>
      </c>
      <c r="G3">
        <v>40.434174682109031</v>
      </c>
      <c r="H3">
        <v>2.8393395260000003E-3</v>
      </c>
      <c r="I3">
        <v>1.523467255218236E-3</v>
      </c>
      <c r="J3">
        <v>6.8360710170622951E-4</v>
      </c>
    </row>
    <row r="4" spans="1:10" x14ac:dyDescent="0.2">
      <c r="A4" t="s">
        <v>23</v>
      </c>
      <c r="B4">
        <v>3</v>
      </c>
      <c r="C4">
        <v>51.51848358421649</v>
      </c>
      <c r="D4">
        <v>1.6973262206000001E-2</v>
      </c>
      <c r="E4">
        <v>51.520026583103181</v>
      </c>
      <c r="F4">
        <v>7.1472566330000008E-3</v>
      </c>
      <c r="G4">
        <v>51.520690658573407</v>
      </c>
      <c r="H4">
        <v>3.7462052040000003E-3</v>
      </c>
      <c r="I4">
        <v>1.5429988866912936E-3</v>
      </c>
      <c r="J4">
        <v>6.640754702260665E-4</v>
      </c>
    </row>
    <row r="5" spans="1:10" x14ac:dyDescent="0.2">
      <c r="A5" t="s">
        <v>23</v>
      </c>
      <c r="B5">
        <v>4</v>
      </c>
      <c r="C5">
        <v>93.723273540600402</v>
      </c>
      <c r="D5">
        <v>1.6527762915999999E-2</v>
      </c>
      <c r="E5">
        <v>93.724777476224133</v>
      </c>
      <c r="F5">
        <v>6.20072321E-3</v>
      </c>
      <c r="G5">
        <v>93.72546108332584</v>
      </c>
      <c r="H5">
        <v>2.8539860780000003E-3</v>
      </c>
      <c r="I5">
        <v>1.5039356237309676E-3</v>
      </c>
      <c r="J5">
        <v>6.8360710170622951E-4</v>
      </c>
    </row>
    <row r="6" spans="1:10" x14ac:dyDescent="0.2">
      <c r="A6" t="s">
        <v>23</v>
      </c>
      <c r="B6">
        <v>5</v>
      </c>
      <c r="C6">
        <v>102.10681965552452</v>
      </c>
      <c r="D6">
        <v>1.5183941770000001E-2</v>
      </c>
      <c r="E6">
        <v>102.10834312277974</v>
      </c>
      <c r="F6">
        <v>5.996281755E-3</v>
      </c>
      <c r="G6">
        <v>102.10890954009258</v>
      </c>
      <c r="H6">
        <v>2.5757015900000004E-3</v>
      </c>
      <c r="I6">
        <v>1.5234672552253414E-3</v>
      </c>
      <c r="J6">
        <v>5.6641731283946228E-4</v>
      </c>
    </row>
    <row r="7" spans="1:10" x14ac:dyDescent="0.2">
      <c r="A7" t="s">
        <v>24</v>
      </c>
    </row>
    <row r="8" spans="1:10" x14ac:dyDescent="0.2">
      <c r="A8" t="s">
        <v>25</v>
      </c>
      <c r="B8">
        <v>1</v>
      </c>
      <c r="C8">
        <v>16.097330808205239</v>
      </c>
      <c r="D8">
        <v>1.4187976234000001E-2</v>
      </c>
      <c r="E8">
        <v>16.099049591775231</v>
      </c>
      <c r="F8">
        <v>4.0037404100000005E-3</v>
      </c>
      <c r="G8">
        <v>16.100241021295336</v>
      </c>
      <c r="H8">
        <v>1.3215905750000004E-3</v>
      </c>
      <c r="I8">
        <v>1.7187835699914444E-3</v>
      </c>
      <c r="J8">
        <v>1.1914295201052028E-3</v>
      </c>
    </row>
    <row r="9" spans="1:10" x14ac:dyDescent="0.2">
      <c r="A9" t="s">
        <v>25</v>
      </c>
      <c r="B9">
        <v>2</v>
      </c>
      <c r="C9">
        <v>40.301872251684607</v>
      </c>
      <c r="D9">
        <v>1.3653987359000001E-2</v>
      </c>
      <c r="E9">
        <v>40.303434782202778</v>
      </c>
      <c r="F9">
        <v>4.95576629E-3</v>
      </c>
      <c r="G9">
        <v>40.304528553565497</v>
      </c>
      <c r="H9">
        <v>1.7677001380000002E-3</v>
      </c>
      <c r="I9">
        <v>1.5625305181714566E-3</v>
      </c>
      <c r="J9">
        <v>1.0937713627185985E-3</v>
      </c>
    </row>
    <row r="10" spans="1:10" x14ac:dyDescent="0.2">
      <c r="A10" t="s">
        <v>25</v>
      </c>
      <c r="B10">
        <v>3</v>
      </c>
      <c r="C10">
        <v>48.343014409377133</v>
      </c>
      <c r="D10">
        <v>1.2351054504E-2</v>
      </c>
      <c r="E10">
        <v>48.344518345000878</v>
      </c>
      <c r="F10">
        <v>4.9283040050000001E-3</v>
      </c>
      <c r="G10">
        <v>48.345026167419284</v>
      </c>
      <c r="H10">
        <v>1.7359659420000003E-3</v>
      </c>
      <c r="I10">
        <v>1.5039356237451784E-3</v>
      </c>
      <c r="J10">
        <v>5.0782241840607867E-4</v>
      </c>
    </row>
    <row r="11" spans="1:10" x14ac:dyDescent="0.2">
      <c r="A11" t="s">
        <v>25</v>
      </c>
      <c r="B11">
        <v>4</v>
      </c>
      <c r="C11">
        <v>59.561622456018675</v>
      </c>
      <c r="D11">
        <v>1.3224355167000001E-2</v>
      </c>
      <c r="E11">
        <v>59.563145923273893</v>
      </c>
      <c r="F11">
        <v>5.4207943160000001E-3</v>
      </c>
      <c r="G11">
        <v>59.564786580317978</v>
      </c>
      <c r="H11">
        <v>1.6743283690000001E-3</v>
      </c>
      <c r="I11">
        <v>1.523467255218236E-3</v>
      </c>
      <c r="J11">
        <v>1.6406570440850032E-3</v>
      </c>
    </row>
    <row r="12" spans="1:10" x14ac:dyDescent="0.2">
      <c r="A12" t="s">
        <v>25</v>
      </c>
      <c r="B12">
        <v>5</v>
      </c>
      <c r="C12">
        <v>76.180134049791988</v>
      </c>
      <c r="D12">
        <v>1.5863175619000001E-2</v>
      </c>
      <c r="E12">
        <v>76.181637985415733</v>
      </c>
      <c r="F12">
        <v>6.0652426040000004E-3</v>
      </c>
      <c r="G12">
        <v>76.18503648929277</v>
      </c>
      <c r="H12">
        <v>1.5547148610000003E-3</v>
      </c>
      <c r="I12">
        <v>1.5039356237451784E-3</v>
      </c>
      <c r="J12">
        <v>3.3985038770367737E-3</v>
      </c>
    </row>
    <row r="13" spans="1:10" x14ac:dyDescent="0.2">
      <c r="A13" t="s">
        <v>25</v>
      </c>
      <c r="B13">
        <v>6</v>
      </c>
      <c r="C13">
        <v>96.653007616484686</v>
      </c>
      <c r="D13">
        <v>1.2173465061E-2</v>
      </c>
      <c r="E13">
        <v>96.654492020476951</v>
      </c>
      <c r="F13">
        <v>4.7610892030000001E-3</v>
      </c>
      <c r="G13">
        <v>96.655117032684231</v>
      </c>
      <c r="H13">
        <v>1.8244555270000003E-3</v>
      </c>
      <c r="I13">
        <v>1.4844039922650154E-3</v>
      </c>
      <c r="J13">
        <v>6.2501220727995133E-4</v>
      </c>
    </row>
    <row r="14" spans="1:10" x14ac:dyDescent="0.2">
      <c r="A14" t="s">
        <v>25</v>
      </c>
      <c r="B14">
        <v>7</v>
      </c>
      <c r="C14">
        <v>107.85226637371433</v>
      </c>
      <c r="D14">
        <v>1.2540849407000001E-2</v>
      </c>
      <c r="E14">
        <v>107.85375077770659</v>
      </c>
      <c r="F14">
        <v>5.5312537290000009E-3</v>
      </c>
      <c r="G14">
        <v>107.85427813175647</v>
      </c>
      <c r="H14">
        <v>1.6718872770000001E-3</v>
      </c>
      <c r="I14">
        <v>1.4844039922650154E-3</v>
      </c>
      <c r="J14">
        <v>5.2735404987913626E-4</v>
      </c>
    </row>
    <row r="15" spans="1:10" x14ac:dyDescent="0.2">
      <c r="A15" t="s">
        <v>26</v>
      </c>
    </row>
    <row r="16" spans="1:10" x14ac:dyDescent="0.2">
      <c r="A16" t="s">
        <v>27</v>
      </c>
      <c r="B16">
        <v>1</v>
      </c>
      <c r="C16">
        <v>25.996151177708551</v>
      </c>
      <c r="D16">
        <v>1.3780313870000001E-2</v>
      </c>
      <c r="E16">
        <v>25.997244949071273</v>
      </c>
      <c r="F16">
        <v>4.7385091020000006E-3</v>
      </c>
      <c r="G16">
        <v>25.997811366384109</v>
      </c>
      <c r="H16">
        <v>1.7158269330000001E-3</v>
      </c>
      <c r="I16">
        <v>1.0937713627221513E-3</v>
      </c>
      <c r="J16">
        <v>5.6641731283590957E-4</v>
      </c>
    </row>
    <row r="17" spans="1:10" x14ac:dyDescent="0.2">
      <c r="A17" t="s">
        <v>27</v>
      </c>
      <c r="B17">
        <v>2</v>
      </c>
      <c r="C17">
        <v>59.0678126197582</v>
      </c>
      <c r="D17">
        <v>1.3738815306000001E-2</v>
      </c>
      <c r="E17">
        <v>59.068925922752399</v>
      </c>
      <c r="F17">
        <v>5.7021301690000003E-3</v>
      </c>
      <c r="G17">
        <v>59.069375150276372</v>
      </c>
      <c r="H17">
        <v>2.2193021580000005E-3</v>
      </c>
      <c r="I17">
        <v>1.1133029941987616E-3</v>
      </c>
      <c r="J17">
        <v>4.4922752397269505E-4</v>
      </c>
    </row>
    <row r="18" spans="1:10" x14ac:dyDescent="0.2">
      <c r="A18" t="s">
        <v>27</v>
      </c>
      <c r="B18">
        <v>3</v>
      </c>
      <c r="C18">
        <v>75.509216956520632</v>
      </c>
      <c r="D18">
        <v>1.922394903E-2</v>
      </c>
      <c r="E18">
        <v>75.510271664620404</v>
      </c>
      <c r="F18">
        <v>6.4155393060000001E-3</v>
      </c>
      <c r="G18">
        <v>75.51087714519619</v>
      </c>
      <c r="H18">
        <v>2.808825876E-3</v>
      </c>
      <c r="I18">
        <v>1.0547080997724834E-3</v>
      </c>
      <c r="J18">
        <v>6.0548057578557746E-4</v>
      </c>
    </row>
    <row r="19" spans="1:10" x14ac:dyDescent="0.2">
      <c r="A19" t="s">
        <v>27</v>
      </c>
      <c r="B19">
        <v>4</v>
      </c>
      <c r="C19">
        <v>88.708332773786594</v>
      </c>
      <c r="D19">
        <v>1.6606488132999999E-2</v>
      </c>
      <c r="E19">
        <v>88.709446076780793</v>
      </c>
      <c r="F19">
        <v>7.1265073510000006E-3</v>
      </c>
      <c r="G19">
        <v>88.709992962462152</v>
      </c>
      <c r="H19">
        <v>1.7701412300000002E-3</v>
      </c>
      <c r="I19">
        <v>1.1133029941987616E-3</v>
      </c>
      <c r="J19">
        <v>5.4688568135929927E-4</v>
      </c>
    </row>
    <row r="20" spans="1:10" x14ac:dyDescent="0.2">
      <c r="A20" t="s">
        <v>28</v>
      </c>
    </row>
    <row r="21" spans="1:10" x14ac:dyDescent="0.2">
      <c r="A21" t="s">
        <v>29</v>
      </c>
      <c r="B21">
        <v>1</v>
      </c>
      <c r="C21">
        <v>26.174245705455185</v>
      </c>
      <c r="D21">
        <v>1.6500300631000001E-2</v>
      </c>
      <c r="E21">
        <v>26.17545666660677</v>
      </c>
      <c r="F21">
        <v>4.797705583E-3</v>
      </c>
      <c r="G21">
        <v>26.176511374706539</v>
      </c>
      <c r="H21">
        <v>1.4265575310000002E-3</v>
      </c>
      <c r="I21">
        <v>1.2109611515853658E-3</v>
      </c>
      <c r="J21">
        <v>1.0547080997689307E-3</v>
      </c>
    </row>
    <row r="22" spans="1:10" x14ac:dyDescent="0.2">
      <c r="A22" t="s">
        <v>29</v>
      </c>
      <c r="B22">
        <v>2</v>
      </c>
      <c r="C22">
        <v>42.040105961239476</v>
      </c>
      <c r="D22">
        <v>1.5862565345999998E-2</v>
      </c>
      <c r="E22">
        <v>42.041375517285495</v>
      </c>
      <c r="F22">
        <v>5.2651747010000003E-3</v>
      </c>
      <c r="G22">
        <v>42.042352098859354</v>
      </c>
      <c r="H22">
        <v>2.0569695400000001E-3</v>
      </c>
      <c r="I22">
        <v>1.2695560460187494E-3</v>
      </c>
      <c r="J22">
        <v>9.7658157385893674E-4</v>
      </c>
    </row>
    <row r="23" spans="1:10" x14ac:dyDescent="0.2">
      <c r="A23" t="s">
        <v>29</v>
      </c>
      <c r="B23">
        <v>3</v>
      </c>
      <c r="C23">
        <v>53.876109295624914</v>
      </c>
      <c r="D23">
        <v>1.7433408048000001E-2</v>
      </c>
      <c r="E23">
        <v>53.877300725145027</v>
      </c>
      <c r="F23">
        <v>5.7161664479999999E-3</v>
      </c>
      <c r="G23">
        <v>53.877906205720819</v>
      </c>
      <c r="H23">
        <v>1.9928908750000002E-3</v>
      </c>
      <c r="I23">
        <v>1.1914295201123082E-3</v>
      </c>
      <c r="J23">
        <v>6.0548057579268288E-4</v>
      </c>
    </row>
    <row r="24" spans="1:10" x14ac:dyDescent="0.2">
      <c r="A24" t="s">
        <v>29</v>
      </c>
      <c r="B24">
        <v>4</v>
      </c>
      <c r="C24">
        <v>66.02634907070842</v>
      </c>
      <c r="D24">
        <v>1.0380482987000001E-2</v>
      </c>
      <c r="E24">
        <v>66.027560031860006</v>
      </c>
      <c r="F24">
        <v>4.2283208739999998E-3</v>
      </c>
      <c r="G24">
        <v>66.027931132858072</v>
      </c>
      <c r="H24">
        <v>1.4918567420000002E-3</v>
      </c>
      <c r="I24">
        <v>1.2109611515853658E-3</v>
      </c>
      <c r="J24">
        <v>3.7110099806625385E-4</v>
      </c>
    </row>
    <row r="25" spans="1:10" x14ac:dyDescent="0.2">
      <c r="A25" t="s">
        <v>29</v>
      </c>
      <c r="B25">
        <v>5</v>
      </c>
      <c r="C25">
        <v>78.261286469298227</v>
      </c>
      <c r="D25">
        <v>1.5576957582000001E-2</v>
      </c>
      <c r="E25">
        <v>78.262477898818332</v>
      </c>
      <c r="F25">
        <v>5.2486973299999996E-3</v>
      </c>
      <c r="G25">
        <v>78.263356822234812</v>
      </c>
      <c r="H25">
        <v>1.9697005010000002E-3</v>
      </c>
      <c r="I25">
        <v>1.1914295201052028E-3</v>
      </c>
      <c r="J25">
        <v>8.7892341647943795E-4</v>
      </c>
    </row>
    <row r="26" spans="1:10" x14ac:dyDescent="0.2">
      <c r="A26" t="s">
        <v>29</v>
      </c>
      <c r="B26">
        <v>6</v>
      </c>
      <c r="C26">
        <v>92.928066490249805</v>
      </c>
      <c r="D26">
        <v>1.3069956098000001E-2</v>
      </c>
      <c r="E26">
        <v>92.92923838813843</v>
      </c>
      <c r="F26">
        <v>4.8959595360000005E-3</v>
      </c>
      <c r="G26">
        <v>92.929687615662417</v>
      </c>
      <c r="H26">
        <v>2.074667457E-3</v>
      </c>
      <c r="I26">
        <v>1.1718978886250397E-3</v>
      </c>
      <c r="J26">
        <v>4.4922752398690591E-4</v>
      </c>
    </row>
    <row r="27" spans="1:10" x14ac:dyDescent="0.2">
      <c r="A27" t="s">
        <v>30</v>
      </c>
    </row>
    <row r="28" spans="1:10" x14ac:dyDescent="0.2">
      <c r="A28" t="s">
        <v>31</v>
      </c>
      <c r="B28">
        <v>1</v>
      </c>
      <c r="C28">
        <v>3.9353001502568414</v>
      </c>
      <c r="D28">
        <v>1.6243375697999999E-2</v>
      </c>
      <c r="E28">
        <v>3.9381322368210321</v>
      </c>
      <c r="F28">
        <v>3.5728876720000002E-3</v>
      </c>
      <c r="G28">
        <v>3.94008539996875</v>
      </c>
      <c r="H28">
        <v>2.4432723490000001E-3</v>
      </c>
      <c r="I28">
        <v>2.8320865641906501E-3</v>
      </c>
      <c r="J28">
        <v>1.9531631477178735E-3</v>
      </c>
    </row>
    <row r="29" spans="1:10" x14ac:dyDescent="0.2">
      <c r="A29" t="s">
        <v>31</v>
      </c>
      <c r="B29">
        <v>2</v>
      </c>
      <c r="C29">
        <v>20.172711553940509</v>
      </c>
      <c r="D29">
        <v>1.6339798831999999E-2</v>
      </c>
      <c r="E29">
        <v>20.175602235399129</v>
      </c>
      <c r="F29">
        <v>4.7934336720000005E-3</v>
      </c>
      <c r="G29">
        <v>20.176422563921172</v>
      </c>
      <c r="H29">
        <v>2.5921789610000002E-3</v>
      </c>
      <c r="I29">
        <v>2.8906814586200369E-3</v>
      </c>
      <c r="J29">
        <v>8.2032852204250162E-4</v>
      </c>
    </row>
    <row r="30" spans="1:10" x14ac:dyDescent="0.2">
      <c r="A30" t="s">
        <v>31</v>
      </c>
      <c r="B30">
        <v>3</v>
      </c>
      <c r="C30">
        <v>28.01114722857282</v>
      </c>
      <c r="D30">
        <v>1.5466498169E-2</v>
      </c>
      <c r="E30">
        <v>28.013998846768491</v>
      </c>
      <c r="F30">
        <v>4.3760069399999997E-3</v>
      </c>
      <c r="G30">
        <v>28.014721517133147</v>
      </c>
      <c r="H30">
        <v>4.221607871E-3</v>
      </c>
      <c r="I30">
        <v>2.851618195670369E-3</v>
      </c>
      <c r="J30">
        <v>7.226703646558974E-4</v>
      </c>
    </row>
    <row r="31" spans="1:10" x14ac:dyDescent="0.2">
      <c r="A31" t="s">
        <v>31</v>
      </c>
      <c r="B31">
        <v>4</v>
      </c>
      <c r="C31">
        <v>37.277190062884038</v>
      </c>
      <c r="D31">
        <v>1.8339053179999999E-2</v>
      </c>
      <c r="E31">
        <v>37.280158870868568</v>
      </c>
      <c r="F31">
        <v>4.844086331E-3</v>
      </c>
      <c r="G31">
        <v>37.280998731022088</v>
      </c>
      <c r="H31">
        <v>3.8157763260000003E-3</v>
      </c>
      <c r="I31">
        <v>2.9688079845300308E-3</v>
      </c>
      <c r="J31">
        <v>8.3986015351911192E-4</v>
      </c>
    </row>
    <row r="32" spans="1:10" x14ac:dyDescent="0.2">
      <c r="A32" t="s">
        <v>31</v>
      </c>
      <c r="B32">
        <v>5</v>
      </c>
      <c r="C32">
        <v>46.827090702919975</v>
      </c>
      <c r="D32">
        <v>1.6563158750000001E-2</v>
      </c>
      <c r="E32">
        <v>46.830000916010071</v>
      </c>
      <c r="F32">
        <v>4.8294397790000004E-3</v>
      </c>
      <c r="G32">
        <v>46.830762649637684</v>
      </c>
      <c r="H32">
        <v>4.1910942210000007E-3</v>
      </c>
      <c r="I32">
        <v>2.9102130900966472E-3</v>
      </c>
      <c r="J32">
        <v>7.6173362761267072E-4</v>
      </c>
    </row>
    <row r="33" spans="1:10" x14ac:dyDescent="0.2">
      <c r="A33" t="s">
        <v>31</v>
      </c>
      <c r="B33">
        <v>6</v>
      </c>
      <c r="C33">
        <v>56.306939854649507</v>
      </c>
      <c r="D33">
        <v>1.640448777E-2</v>
      </c>
      <c r="E33">
        <v>56.30981100447665</v>
      </c>
      <c r="F33">
        <v>4.54688338E-3</v>
      </c>
      <c r="G33">
        <v>56.310592269735743</v>
      </c>
      <c r="H33">
        <v>4.7739049360000004E-3</v>
      </c>
      <c r="I33">
        <v>2.8711498271434266E-3</v>
      </c>
      <c r="J33">
        <v>7.8126525909283373E-4</v>
      </c>
    </row>
    <row r="34" spans="1:10" x14ac:dyDescent="0.2">
      <c r="A34" t="s">
        <v>32</v>
      </c>
    </row>
    <row r="35" spans="1:10" x14ac:dyDescent="0.2">
      <c r="A35" t="s">
        <v>33</v>
      </c>
      <c r="B35">
        <v>1</v>
      </c>
      <c r="C35">
        <v>21.726247776060077</v>
      </c>
      <c r="D35">
        <v>1.7163667381999998E-2</v>
      </c>
      <c r="E35">
        <v>21.727361079054276</v>
      </c>
      <c r="F35">
        <v>6.3172853529999996E-3</v>
      </c>
      <c r="G35">
        <v>21.727849369841206</v>
      </c>
      <c r="H35">
        <v>2.7185054720000002E-3</v>
      </c>
      <c r="I35">
        <v>1.1133029941987616E-3</v>
      </c>
      <c r="J35">
        <v>4.8829078692946837E-4</v>
      </c>
    </row>
    <row r="36" spans="1:10" x14ac:dyDescent="0.2">
      <c r="A36" t="s">
        <v>33</v>
      </c>
      <c r="B36">
        <v>2</v>
      </c>
      <c r="C36">
        <v>34.15822471619758</v>
      </c>
      <c r="D36">
        <v>1.5933357014000001E-2</v>
      </c>
      <c r="E36">
        <v>34.159318487560299</v>
      </c>
      <c r="F36">
        <v>7.0746341460000001E-3</v>
      </c>
      <c r="G36">
        <v>34.159787246715752</v>
      </c>
      <c r="H36">
        <v>3.2103855100000002E-3</v>
      </c>
      <c r="I36">
        <v>1.0937713627185985E-3</v>
      </c>
      <c r="J36">
        <v>4.6875915545285807E-4</v>
      </c>
    </row>
    <row r="37" spans="1:10" x14ac:dyDescent="0.2">
      <c r="A37" t="s">
        <v>33</v>
      </c>
      <c r="B37">
        <v>3</v>
      </c>
      <c r="C37">
        <v>47.268099836006563</v>
      </c>
      <c r="D37">
        <v>6.4265242200000003E-3</v>
      </c>
      <c r="E37">
        <v>47.269291265526675</v>
      </c>
      <c r="F37">
        <v>2.4115381530000002E-3</v>
      </c>
      <c r="G37">
        <v>47.269564708367355</v>
      </c>
      <c r="H37">
        <v>1.9672594090000004E-3</v>
      </c>
      <c r="I37">
        <v>1.1914295201123082E-3</v>
      </c>
      <c r="J37">
        <v>2.7344284067964963E-4</v>
      </c>
    </row>
    <row r="38" spans="1:10" x14ac:dyDescent="0.2">
      <c r="A38" t="s">
        <v>33</v>
      </c>
      <c r="B38">
        <v>4</v>
      </c>
      <c r="C38">
        <v>58.191398889027134</v>
      </c>
      <c r="D38">
        <v>1.8338442906999999E-2</v>
      </c>
      <c r="E38">
        <v>58.19247312875838</v>
      </c>
      <c r="F38">
        <v>8.2610048579999998E-3</v>
      </c>
      <c r="G38">
        <v>58.192980951176786</v>
      </c>
      <c r="H38">
        <v>3.0443912540000003E-3</v>
      </c>
      <c r="I38">
        <v>1.074239731245541E-3</v>
      </c>
      <c r="J38">
        <v>5.0782241840607867E-4</v>
      </c>
    </row>
    <row r="39" spans="1:10" x14ac:dyDescent="0.2">
      <c r="A39" t="s">
        <v>33</v>
      </c>
      <c r="B39">
        <v>5</v>
      </c>
      <c r="C39">
        <v>67.499413105142679</v>
      </c>
      <c r="D39">
        <v>1.3962175224000001E-2</v>
      </c>
      <c r="E39">
        <v>67.500487344873918</v>
      </c>
      <c r="F39">
        <v>6.738983996E-3</v>
      </c>
      <c r="G39">
        <v>67.50093657239789</v>
      </c>
      <c r="H39">
        <v>2.5244386580000003E-3</v>
      </c>
      <c r="I39">
        <v>1.0742397312384355E-3</v>
      </c>
      <c r="J39">
        <v>4.4922752397269505E-4</v>
      </c>
    </row>
    <row r="40" spans="1:10" x14ac:dyDescent="0.2">
      <c r="A40" t="s">
        <v>33</v>
      </c>
      <c r="B40">
        <v>6</v>
      </c>
      <c r="C40">
        <v>76.330122268784535</v>
      </c>
      <c r="D40">
        <v>1.6756005017999998E-2</v>
      </c>
      <c r="E40">
        <v>76.331196508515788</v>
      </c>
      <c r="F40">
        <v>8.1059955160000009E-3</v>
      </c>
      <c r="G40">
        <v>76.331587141145334</v>
      </c>
      <c r="H40">
        <v>2.1723111370000004E-3</v>
      </c>
      <c r="I40">
        <v>1.0742397312526464E-3</v>
      </c>
      <c r="J40">
        <v>3.9063262954641687E-4</v>
      </c>
    </row>
    <row r="41" spans="1:10" x14ac:dyDescent="0.2">
      <c r="A41" t="s">
        <v>34</v>
      </c>
    </row>
    <row r="42" spans="1:10" x14ac:dyDescent="0.2">
      <c r="A42" t="s">
        <v>35</v>
      </c>
      <c r="B42">
        <v>1</v>
      </c>
      <c r="C42">
        <v>8.9543307784976278</v>
      </c>
      <c r="D42">
        <v>2.0035612119999997E-2</v>
      </c>
      <c r="E42">
        <v>8.9575144344284077</v>
      </c>
      <c r="F42">
        <v>5.2358815970000002E-3</v>
      </c>
      <c r="G42">
        <v>8.9583542945819268</v>
      </c>
      <c r="H42">
        <v>4.9398991920000003E-3</v>
      </c>
      <c r="I42">
        <v>3.1836559307798495E-3</v>
      </c>
      <c r="J42">
        <v>8.3986015351911192E-4</v>
      </c>
    </row>
    <row r="43" spans="1:10" x14ac:dyDescent="0.2">
      <c r="A43" t="s">
        <v>35</v>
      </c>
      <c r="B43">
        <v>2</v>
      </c>
      <c r="C43">
        <v>24.984024999105451</v>
      </c>
      <c r="D43">
        <v>1.7452326511E-2</v>
      </c>
      <c r="E43">
        <v>24.987071933615891</v>
      </c>
      <c r="F43">
        <v>5.9273209060000005E-3</v>
      </c>
      <c r="G43">
        <v>24.987775072349066</v>
      </c>
      <c r="H43">
        <v>5.0363223260000006E-3</v>
      </c>
      <c r="I43">
        <v>3.0469345104400247E-3</v>
      </c>
      <c r="J43">
        <v>7.0313873317573439E-4</v>
      </c>
    </row>
    <row r="44" spans="1:10" x14ac:dyDescent="0.2">
      <c r="A44" t="s">
        <v>35</v>
      </c>
      <c r="B44">
        <v>3</v>
      </c>
      <c r="C44">
        <v>52.36103355508115</v>
      </c>
      <c r="D44">
        <v>2.0312065788999998E-2</v>
      </c>
      <c r="E44">
        <v>52.364275805906367</v>
      </c>
      <c r="F44">
        <v>5.9883482060000002E-3</v>
      </c>
      <c r="G44">
        <v>52.365135197691359</v>
      </c>
      <c r="H44">
        <v>4.0580547070000004E-3</v>
      </c>
      <c r="I44">
        <v>3.2422508252167859E-3</v>
      </c>
      <c r="J44">
        <v>8.5939178499216951E-4</v>
      </c>
    </row>
    <row r="45" spans="1:10" x14ac:dyDescent="0.2">
      <c r="A45" t="s">
        <v>35</v>
      </c>
      <c r="B45">
        <v>4</v>
      </c>
      <c r="C45">
        <v>65.095967329359937</v>
      </c>
      <c r="D45">
        <v>1.8517252896000001E-2</v>
      </c>
      <c r="E45">
        <v>65.098994732238907</v>
      </c>
      <c r="F45">
        <v>5.4873140730000002E-3</v>
      </c>
      <c r="G45">
        <v>65.099717402603559</v>
      </c>
      <c r="H45">
        <v>4.9728539339999999E-3</v>
      </c>
      <c r="I45">
        <v>3.0274028789705199E-3</v>
      </c>
      <c r="J45">
        <v>7.2267036465234469E-4</v>
      </c>
    </row>
    <row r="46" spans="1:10" x14ac:dyDescent="0.2">
      <c r="A46" t="s">
        <v>36</v>
      </c>
    </row>
    <row r="47" spans="1:10" x14ac:dyDescent="0.2">
      <c r="A47" t="s">
        <v>37</v>
      </c>
      <c r="B47">
        <v>1</v>
      </c>
      <c r="C47">
        <v>8.1420820804019609</v>
      </c>
      <c r="D47">
        <v>1.6976313571000001E-2</v>
      </c>
      <c r="E47">
        <v>8.1437422690775207</v>
      </c>
      <c r="F47">
        <v>4.175227123E-3</v>
      </c>
      <c r="G47">
        <v>8.1444844710736533</v>
      </c>
      <c r="H47">
        <v>3.0401193430000003E-3</v>
      </c>
      <c r="I47">
        <v>1.6601886755598372E-3</v>
      </c>
      <c r="J47">
        <v>7.422019961325077E-4</v>
      </c>
    </row>
    <row r="48" spans="1:10" x14ac:dyDescent="0.2">
      <c r="A48" t="s">
        <v>37</v>
      </c>
      <c r="B48">
        <v>2</v>
      </c>
      <c r="C48">
        <v>24.372484742389499</v>
      </c>
      <c r="D48">
        <v>1.5511048098E-2</v>
      </c>
      <c r="E48">
        <v>24.373910551487334</v>
      </c>
      <c r="F48">
        <v>5.5892296640000002E-3</v>
      </c>
      <c r="G48">
        <v>24.374457437168694</v>
      </c>
      <c r="H48">
        <v>2.6263542490000003E-3</v>
      </c>
      <c r="I48">
        <v>1.4258090978351845E-3</v>
      </c>
      <c r="J48">
        <v>5.4688568135929927E-4</v>
      </c>
    </row>
    <row r="49" spans="1:10" x14ac:dyDescent="0.2">
      <c r="A49" t="s">
        <v>37</v>
      </c>
      <c r="B49">
        <v>3</v>
      </c>
      <c r="C49">
        <v>32.878852342553564</v>
      </c>
      <c r="D49">
        <v>1.7836188228E-2</v>
      </c>
      <c r="E49">
        <v>32.88023908838845</v>
      </c>
      <c r="F49">
        <v>6.1531219160000008E-3</v>
      </c>
      <c r="G49">
        <v>32.880805505701282</v>
      </c>
      <c r="H49">
        <v>3.8804652640000003E-3</v>
      </c>
      <c r="I49">
        <v>1.3867458348855166E-3</v>
      </c>
      <c r="J49">
        <v>5.6641731283235686E-4</v>
      </c>
    </row>
    <row r="50" spans="1:10" x14ac:dyDescent="0.2">
      <c r="A50" t="s">
        <v>37</v>
      </c>
      <c r="B50">
        <v>4</v>
      </c>
      <c r="C50">
        <v>44.516640101169941</v>
      </c>
      <c r="D50">
        <v>1.7571329746000001E-2</v>
      </c>
      <c r="E50">
        <v>44.518046378636299</v>
      </c>
      <c r="F50">
        <v>6.5967903869999997E-3</v>
      </c>
      <c r="G50">
        <v>44.518651859212092</v>
      </c>
      <c r="H50">
        <v>3.0724638120000003E-3</v>
      </c>
      <c r="I50">
        <v>1.4062774663585742E-3</v>
      </c>
      <c r="J50">
        <v>6.0548057579268288E-4</v>
      </c>
    </row>
    <row r="51" spans="1:10" x14ac:dyDescent="0.2">
      <c r="A51" t="s">
        <v>37</v>
      </c>
      <c r="B51">
        <v>5</v>
      </c>
      <c r="C51">
        <v>55.207154383571947</v>
      </c>
      <c r="D51">
        <v>1.8146206912000001E-2</v>
      </c>
      <c r="E51">
        <v>55.208560661038298</v>
      </c>
      <c r="F51">
        <v>6.4448324100000003E-3</v>
      </c>
      <c r="G51">
        <v>55.209068483456704</v>
      </c>
      <c r="H51">
        <v>3.8096735960000002E-3</v>
      </c>
      <c r="I51">
        <v>1.4062774663514688E-3</v>
      </c>
      <c r="J51">
        <v>5.0782241840607867E-4</v>
      </c>
    </row>
    <row r="52" spans="1:10" x14ac:dyDescent="0.2">
      <c r="A52" t="s">
        <v>37</v>
      </c>
      <c r="B52">
        <v>6</v>
      </c>
      <c r="C52">
        <v>64.748333189388461</v>
      </c>
      <c r="D52">
        <v>1.6187840855E-2</v>
      </c>
      <c r="E52">
        <v>64.749700403591859</v>
      </c>
      <c r="F52">
        <v>6.061580966E-3</v>
      </c>
      <c r="G52">
        <v>64.750227757641753</v>
      </c>
      <c r="H52">
        <v>3.4007906860000002E-3</v>
      </c>
      <c r="I52">
        <v>1.3672142033982482E-3</v>
      </c>
      <c r="J52">
        <v>5.2735404989334711E-4</v>
      </c>
    </row>
    <row r="53" spans="1:10" x14ac:dyDescent="0.2">
      <c r="A53" t="s">
        <v>37</v>
      </c>
      <c r="B53">
        <v>7</v>
      </c>
      <c r="C53">
        <v>73.925898170946695</v>
      </c>
      <c r="D53">
        <v>1.8627102036000001E-2</v>
      </c>
      <c r="E53">
        <v>73.927284916781574</v>
      </c>
      <c r="F53">
        <v>6.5180651700000002E-3</v>
      </c>
      <c r="G53">
        <v>73.927870865725893</v>
      </c>
      <c r="H53">
        <v>2.1906193270000004E-3</v>
      </c>
      <c r="I53">
        <v>1.3867458348784112E-3</v>
      </c>
      <c r="J53">
        <v>5.859489443196253E-4</v>
      </c>
    </row>
    <row r="54" spans="1:10" x14ac:dyDescent="0.2">
      <c r="A54" t="s">
        <v>38</v>
      </c>
    </row>
    <row r="55" spans="1:10" x14ac:dyDescent="0.2">
      <c r="A55" t="s">
        <v>39</v>
      </c>
      <c r="B55">
        <v>1</v>
      </c>
      <c r="C55">
        <v>12.98640213454169</v>
      </c>
      <c r="D55">
        <v>1.4357632128E-2</v>
      </c>
      <c r="E55">
        <v>12.988023259954296</v>
      </c>
      <c r="F55">
        <v>4.6536811550000005E-3</v>
      </c>
      <c r="G55">
        <v>12.988628740530089</v>
      </c>
      <c r="H55">
        <v>2.5049099220000003E-3</v>
      </c>
      <c r="I55">
        <v>1.6211254126066166E-3</v>
      </c>
      <c r="J55">
        <v>6.0548057579268288E-4</v>
      </c>
    </row>
    <row r="56" spans="1:10" x14ac:dyDescent="0.2">
      <c r="A56" t="s">
        <v>39</v>
      </c>
      <c r="B56">
        <v>2</v>
      </c>
      <c r="C56">
        <v>20.612455888943142</v>
      </c>
      <c r="D56">
        <v>1.5896130360999999E-2</v>
      </c>
      <c r="E56">
        <v>20.61405748272427</v>
      </c>
      <c r="F56">
        <v>4.9411197380000004E-3</v>
      </c>
      <c r="G56">
        <v>20.614780153088926</v>
      </c>
      <c r="H56">
        <v>2.697145917E-3</v>
      </c>
      <c r="I56">
        <v>1.6015937811282299E-3</v>
      </c>
      <c r="J56">
        <v>7.226703646558974E-4</v>
      </c>
    </row>
    <row r="57" spans="1:10" x14ac:dyDescent="0.2">
      <c r="A57" t="s">
        <v>39</v>
      </c>
      <c r="B57">
        <v>3</v>
      </c>
      <c r="C57">
        <v>30.259065560266801</v>
      </c>
      <c r="D57">
        <v>1.6363599478999999E-2</v>
      </c>
      <c r="E57">
        <v>30.26066715404793</v>
      </c>
      <c r="F57">
        <v>6.0152002180000001E-3</v>
      </c>
      <c r="G57">
        <v>30.261272634623722</v>
      </c>
      <c r="H57">
        <v>2.9778714970000002E-3</v>
      </c>
      <c r="I57">
        <v>1.6015937811282299E-3</v>
      </c>
      <c r="J57">
        <v>6.0548057579268288E-4</v>
      </c>
    </row>
    <row r="58" spans="1:10" x14ac:dyDescent="0.2">
      <c r="A58" t="s">
        <v>39</v>
      </c>
      <c r="B58">
        <v>4</v>
      </c>
      <c r="C58">
        <v>38.01461854241294</v>
      </c>
      <c r="D58">
        <v>1.8074804970999999E-2</v>
      </c>
      <c r="E58">
        <v>38.016220136194072</v>
      </c>
      <c r="F58">
        <v>7.6519524040000002E-3</v>
      </c>
      <c r="G58">
        <v>38.016923274927251</v>
      </c>
      <c r="H58">
        <v>2.5714296790000004E-3</v>
      </c>
      <c r="I58">
        <v>1.6015937811317826E-3</v>
      </c>
      <c r="J58">
        <v>7.031387331792871E-4</v>
      </c>
    </row>
    <row r="59" spans="1:10" x14ac:dyDescent="0.2">
      <c r="A59" t="s">
        <v>39</v>
      </c>
      <c r="B59">
        <v>5</v>
      </c>
      <c r="C59">
        <v>46.372672116262038</v>
      </c>
      <c r="D59">
        <v>1.8418998943E-2</v>
      </c>
      <c r="E59">
        <v>46.37425417841169</v>
      </c>
      <c r="F59">
        <v>7.9924847380000007E-3</v>
      </c>
      <c r="G59">
        <v>46.374937785513389</v>
      </c>
      <c r="H59">
        <v>3.487449452E-3</v>
      </c>
      <c r="I59">
        <v>1.5820621496516196E-3</v>
      </c>
      <c r="J59">
        <v>6.8360710169912409E-4</v>
      </c>
    </row>
    <row r="60" spans="1:10" x14ac:dyDescent="0.2">
      <c r="A60" t="s">
        <v>39</v>
      </c>
      <c r="B60">
        <v>6</v>
      </c>
      <c r="C60">
        <v>68.265898470124412</v>
      </c>
      <c r="D60">
        <v>1.7015371043000001E-2</v>
      </c>
      <c r="E60">
        <v>68.267500063905544</v>
      </c>
      <c r="F60">
        <v>8.7370177980000008E-3</v>
      </c>
      <c r="G60">
        <v>68.26818367100725</v>
      </c>
      <c r="H60">
        <v>5.2847034370000004E-3</v>
      </c>
      <c r="I60">
        <v>1.6015937811317826E-3</v>
      </c>
      <c r="J60">
        <v>6.8360710170622951E-4</v>
      </c>
    </row>
    <row r="61" spans="1:10" x14ac:dyDescent="0.2">
      <c r="A61" t="s">
        <v>39</v>
      </c>
      <c r="B61">
        <v>7</v>
      </c>
      <c r="C61">
        <v>83.997498545295798</v>
      </c>
      <c r="D61">
        <v>1.5747834022000001E-2</v>
      </c>
      <c r="E61">
        <v>83.99908060744545</v>
      </c>
      <c r="F61">
        <v>8.1542070830000011E-3</v>
      </c>
      <c r="G61">
        <v>83.999861872704543</v>
      </c>
      <c r="H61">
        <v>2.7661067660000004E-3</v>
      </c>
      <c r="I61">
        <v>1.5820621496516196E-3</v>
      </c>
      <c r="J61">
        <v>7.8126525909283373E-4</v>
      </c>
    </row>
    <row r="62" spans="1:10" x14ac:dyDescent="0.2">
      <c r="A62" t="s">
        <v>39</v>
      </c>
      <c r="B62">
        <v>8</v>
      </c>
      <c r="C62">
        <v>91.575811244332897</v>
      </c>
      <c r="D62">
        <v>1.7750139735E-2</v>
      </c>
      <c r="E62">
        <v>91.577393306482548</v>
      </c>
      <c r="F62">
        <v>7.4023507470000003E-3</v>
      </c>
      <c r="G62">
        <v>91.578155040110161</v>
      </c>
      <c r="H62">
        <v>4.1923147669999999E-3</v>
      </c>
      <c r="I62">
        <v>1.5820621496516196E-3</v>
      </c>
      <c r="J62">
        <v>7.6173362761267072E-4</v>
      </c>
    </row>
    <row r="63" spans="1:10" x14ac:dyDescent="0.2">
      <c r="A63" t="s">
        <v>40</v>
      </c>
    </row>
    <row r="64" spans="1:10" x14ac:dyDescent="0.2">
      <c r="A64" t="s">
        <v>41</v>
      </c>
      <c r="B64">
        <v>1</v>
      </c>
      <c r="C64">
        <v>7.6811701007988447</v>
      </c>
      <c r="D64">
        <v>1.8285959429E-2</v>
      </c>
      <c r="E64">
        <v>7.6836506179964461</v>
      </c>
      <c r="F64">
        <v>2.3859066870000004E-3</v>
      </c>
      <c r="G64">
        <v>7.6881233616047195</v>
      </c>
      <c r="H64">
        <v>1.8220144350000003E-3</v>
      </c>
      <c r="I64">
        <v>2.4805171976014506E-3</v>
      </c>
      <c r="J64">
        <v>4.4727436082734329E-3</v>
      </c>
    </row>
    <row r="65" spans="1:10" x14ac:dyDescent="0.2">
      <c r="A65" t="s">
        <v>41</v>
      </c>
      <c r="B65">
        <v>2</v>
      </c>
      <c r="C65">
        <v>28.054015806755991</v>
      </c>
      <c r="D65">
        <v>1.7985705112999999E-2</v>
      </c>
      <c r="E65">
        <v>28.056496323953592</v>
      </c>
      <c r="F65">
        <v>4.0531725229999999E-3</v>
      </c>
      <c r="G65">
        <v>28.057179931055291</v>
      </c>
      <c r="H65">
        <v>4.7269139150000004E-3</v>
      </c>
      <c r="I65">
        <v>2.4805171976005624E-3</v>
      </c>
      <c r="J65">
        <v>6.8360710169912409E-4</v>
      </c>
    </row>
    <row r="66" spans="1:10" x14ac:dyDescent="0.2">
      <c r="A66" t="s">
        <v>41</v>
      </c>
      <c r="B66">
        <v>3</v>
      </c>
      <c r="C66">
        <v>37.677584719621478</v>
      </c>
      <c r="D66">
        <v>2.1344037431999998E-2</v>
      </c>
      <c r="E66">
        <v>37.680104300082029</v>
      </c>
      <c r="F66">
        <v>4.6658866149999999E-3</v>
      </c>
      <c r="G66">
        <v>37.680846502078168</v>
      </c>
      <c r="H66">
        <v>3.7248456490000001E-3</v>
      </c>
      <c r="I66">
        <v>2.5195804605502303E-3</v>
      </c>
      <c r="J66">
        <v>7.4220199613961313E-4</v>
      </c>
    </row>
    <row r="67" spans="1:10" x14ac:dyDescent="0.2">
      <c r="A67" t="s">
        <v>41</v>
      </c>
      <c r="B67">
        <v>4</v>
      </c>
      <c r="C67">
        <v>46.013084883706711</v>
      </c>
      <c r="D67">
        <v>2.0770991084999999E-2</v>
      </c>
      <c r="E67">
        <v>46.015526337641361</v>
      </c>
      <c r="F67">
        <v>4.5676326620000002E-3</v>
      </c>
      <c r="G67">
        <v>46.016209944743061</v>
      </c>
      <c r="H67">
        <v>4.3302364649999998E-3</v>
      </c>
      <c r="I67">
        <v>2.4414539346508946E-3</v>
      </c>
      <c r="J67">
        <v>6.8360710169912409E-4</v>
      </c>
    </row>
    <row r="68" spans="1:10" x14ac:dyDescent="0.2">
      <c r="A68" t="s">
        <v>41</v>
      </c>
      <c r="B68">
        <v>5</v>
      </c>
      <c r="C68">
        <v>56.124982336453833</v>
      </c>
      <c r="D68">
        <v>1.5204691052000001E-2</v>
      </c>
      <c r="E68">
        <v>56.127228474073711</v>
      </c>
      <c r="F68">
        <v>4.1056560010000005E-3</v>
      </c>
      <c r="G68">
        <v>56.127853486280983</v>
      </c>
      <c r="H68">
        <v>3.5362712920000003E-3</v>
      </c>
      <c r="I68">
        <v>2.2461376198776861E-3</v>
      </c>
      <c r="J68">
        <v>6.250122072728459E-4</v>
      </c>
    </row>
    <row r="69" spans="1:10" x14ac:dyDescent="0.2">
      <c r="A69" t="s">
        <v>41</v>
      </c>
      <c r="B69">
        <v>6</v>
      </c>
      <c r="C69">
        <v>66.252776889816204</v>
      </c>
      <c r="D69">
        <v>1.4868430629E-2</v>
      </c>
      <c r="E69">
        <v>66.254905837647215</v>
      </c>
      <c r="F69">
        <v>4.2545626130000005E-3</v>
      </c>
      <c r="G69">
        <v>66.255511318223014</v>
      </c>
      <c r="H69">
        <v>2.9638352180000002E-3</v>
      </c>
      <c r="I69">
        <v>2.1289478310109189E-3</v>
      </c>
      <c r="J69">
        <v>6.0548057579978831E-4</v>
      </c>
    </row>
    <row r="70" spans="1:10" x14ac:dyDescent="0.2">
      <c r="A70" t="s">
        <v>41</v>
      </c>
      <c r="B70">
        <v>7</v>
      </c>
      <c r="C70">
        <v>75.011779418066766</v>
      </c>
      <c r="D70">
        <v>1.8144986366E-2</v>
      </c>
      <c r="E70">
        <v>75.013947429160723</v>
      </c>
      <c r="F70">
        <v>4.5725148460000007E-3</v>
      </c>
      <c r="G70">
        <v>75.014670099525375</v>
      </c>
      <c r="H70">
        <v>3.3830927690000003E-3</v>
      </c>
      <c r="I70">
        <v>2.1680110939570341E-3</v>
      </c>
      <c r="J70">
        <v>7.2267036465234469E-4</v>
      </c>
    </row>
    <row r="71" spans="1:10" x14ac:dyDescent="0.2">
      <c r="A71" t="s">
        <v>42</v>
      </c>
    </row>
    <row r="72" spans="1:10" x14ac:dyDescent="0.2">
      <c r="A72" t="s">
        <v>43</v>
      </c>
      <c r="B72">
        <v>1</v>
      </c>
      <c r="C72">
        <v>2.9857608301392604</v>
      </c>
      <c r="D72">
        <v>1.5935187832999999E-2</v>
      </c>
      <c r="E72">
        <v>2.9872647657630029</v>
      </c>
      <c r="F72">
        <v>5.9675989240000008E-3</v>
      </c>
      <c r="G72">
        <v>2.9881241575479986</v>
      </c>
      <c r="H72">
        <v>2.1332536650000003E-3</v>
      </c>
      <c r="I72">
        <v>1.5039356237425139E-3</v>
      </c>
      <c r="J72">
        <v>8.5939178499572222E-4</v>
      </c>
    </row>
    <row r="73" spans="1:10" x14ac:dyDescent="0.2">
      <c r="A73" t="s">
        <v>43</v>
      </c>
      <c r="B73">
        <v>2</v>
      </c>
      <c r="C73">
        <v>13.259403238457782</v>
      </c>
      <c r="D73">
        <v>1.8417168123999999E-2</v>
      </c>
      <c r="E73">
        <v>13.260692326135276</v>
      </c>
      <c r="F73">
        <v>8.7797369079999996E-3</v>
      </c>
      <c r="G73">
        <v>13.261336869974024</v>
      </c>
      <c r="H73">
        <v>2.4981969190000001E-3</v>
      </c>
      <c r="I73">
        <v>1.2890876774935833E-3</v>
      </c>
      <c r="J73">
        <v>6.4454383874767984E-4</v>
      </c>
    </row>
    <row r="74" spans="1:10" x14ac:dyDescent="0.2">
      <c r="A74" t="s">
        <v>43</v>
      </c>
      <c r="B74">
        <v>3</v>
      </c>
      <c r="C74">
        <v>21.955696124301255</v>
      </c>
      <c r="D74">
        <v>1.5877211897999999E-2</v>
      </c>
      <c r="E74">
        <v>21.956946148715794</v>
      </c>
      <c r="F74">
        <v>7.1130813450000002E-3</v>
      </c>
      <c r="G74">
        <v>21.957414907871247</v>
      </c>
      <c r="H74">
        <v>2.260190449E-3</v>
      </c>
      <c r="I74">
        <v>1.2500244145385864E-3</v>
      </c>
      <c r="J74">
        <v>4.6875915545285807E-4</v>
      </c>
    </row>
    <row r="75" spans="1:10" x14ac:dyDescent="0.2">
      <c r="A75" t="s">
        <v>43</v>
      </c>
      <c r="B75">
        <v>4</v>
      </c>
      <c r="C75">
        <v>32.760624955915148</v>
      </c>
      <c r="D75">
        <v>1.7140477008000001E-2</v>
      </c>
      <c r="E75">
        <v>32.76181638543526</v>
      </c>
      <c r="F75">
        <v>8.412962835000001E-3</v>
      </c>
      <c r="G75">
        <v>32.7623828027481</v>
      </c>
      <c r="H75">
        <v>3.1603431240000003E-3</v>
      </c>
      <c r="I75">
        <v>1.1914295201123082E-3</v>
      </c>
      <c r="J75">
        <v>5.6641731283946228E-4</v>
      </c>
    </row>
    <row r="76" spans="1:10" x14ac:dyDescent="0.2">
      <c r="A76" t="s">
        <v>43</v>
      </c>
      <c r="B76">
        <v>5</v>
      </c>
      <c r="C76">
        <v>52.614411593165883</v>
      </c>
      <c r="D76">
        <v>1.6774923481000001E-2</v>
      </c>
      <c r="E76">
        <v>52.615622554317468</v>
      </c>
      <c r="F76">
        <v>9.3918407270000004E-3</v>
      </c>
      <c r="G76">
        <v>52.616208503261781</v>
      </c>
      <c r="H76">
        <v>3.0248625180000002E-3</v>
      </c>
      <c r="I76">
        <v>1.2109611515853658E-3</v>
      </c>
      <c r="J76">
        <v>5.8594894431251987E-4</v>
      </c>
    </row>
    <row r="77" spans="1:10" x14ac:dyDescent="0.2">
      <c r="A77" t="s">
        <v>43</v>
      </c>
      <c r="B77">
        <v>6</v>
      </c>
      <c r="C77">
        <v>73.662364974671377</v>
      </c>
      <c r="D77">
        <v>1.8312811440999999E-2</v>
      </c>
      <c r="E77">
        <v>73.663556404191482</v>
      </c>
      <c r="F77">
        <v>1.0087551946999999E-2</v>
      </c>
      <c r="G77">
        <v>73.664161884767282</v>
      </c>
      <c r="H77">
        <v>3.0736843580000004E-3</v>
      </c>
      <c r="I77">
        <v>1.1914295201052028E-3</v>
      </c>
      <c r="J77">
        <v>6.0548057579978831E-4</v>
      </c>
    </row>
    <row r="78" spans="1:10" x14ac:dyDescent="0.2">
      <c r="A78" t="s">
        <v>43</v>
      </c>
      <c r="B78">
        <v>7</v>
      </c>
      <c r="C78">
        <v>81.495125580353132</v>
      </c>
      <c r="D78">
        <v>1.8557530914E-2</v>
      </c>
      <c r="E78">
        <v>81.496297478241758</v>
      </c>
      <c r="F78">
        <v>1.0350579610000001E-2</v>
      </c>
      <c r="G78">
        <v>81.496922490449023</v>
      </c>
      <c r="H78">
        <v>2.8765661790000003E-3</v>
      </c>
      <c r="I78">
        <v>1.1718978886250397E-3</v>
      </c>
      <c r="J78">
        <v>6.2501220726574047E-4</v>
      </c>
    </row>
    <row r="79" spans="1:10" x14ac:dyDescent="0.2">
      <c r="A79" t="s">
        <v>43</v>
      </c>
      <c r="B79">
        <v>8</v>
      </c>
      <c r="C79">
        <v>107.18898966945252</v>
      </c>
      <c r="D79">
        <v>1.7374821839999999E-2</v>
      </c>
      <c r="E79">
        <v>107.19014203570968</v>
      </c>
      <c r="F79">
        <v>1.0249274292E-2</v>
      </c>
      <c r="G79">
        <v>107.19070845302252</v>
      </c>
      <c r="H79">
        <v>2.9656660370000003E-3</v>
      </c>
      <c r="I79">
        <v>1.1523662571590876E-3</v>
      </c>
      <c r="J79">
        <v>5.6641731283946228E-4</v>
      </c>
    </row>
    <row r="80" spans="1:10" x14ac:dyDescent="0.2">
      <c r="A80" t="s">
        <v>44</v>
      </c>
    </row>
    <row r="81" spans="1:10" x14ac:dyDescent="0.2">
      <c r="A81" t="s">
        <v>45</v>
      </c>
      <c r="B81">
        <v>1</v>
      </c>
      <c r="C81">
        <v>16.058917426670444</v>
      </c>
      <c r="D81">
        <v>1.1146985875000001E-2</v>
      </c>
      <c r="E81">
        <v>16.060265109242369</v>
      </c>
      <c r="F81">
        <v>4.9728539339999999E-3</v>
      </c>
      <c r="G81">
        <v>16.060733868397822</v>
      </c>
      <c r="H81">
        <v>2.7471883030000003E-3</v>
      </c>
      <c r="I81">
        <v>1.3476825719251906E-3</v>
      </c>
      <c r="J81">
        <v>4.6875915545285807E-4</v>
      </c>
    </row>
    <row r="82" spans="1:10" x14ac:dyDescent="0.2">
      <c r="A82" t="s">
        <v>45</v>
      </c>
      <c r="B82">
        <v>2</v>
      </c>
      <c r="C82">
        <v>35.132253805564559</v>
      </c>
      <c r="D82">
        <v>8.8639545820000006E-3</v>
      </c>
      <c r="E82">
        <v>35.133523361610578</v>
      </c>
      <c r="F82">
        <v>4.7720741170000002E-3</v>
      </c>
      <c r="G82">
        <v>35.133894462608644</v>
      </c>
      <c r="H82">
        <v>2.6440521660000002E-3</v>
      </c>
      <c r="I82">
        <v>1.2695560460187494E-3</v>
      </c>
      <c r="J82">
        <v>3.7110099806625385E-4</v>
      </c>
    </row>
    <row r="83" spans="1:10" x14ac:dyDescent="0.2">
      <c r="A83" t="s">
        <v>45</v>
      </c>
      <c r="B83">
        <v>3</v>
      </c>
      <c r="C83">
        <v>47.859910979724212</v>
      </c>
      <c r="D83">
        <v>1.1959259238000002E-2</v>
      </c>
      <c r="E83">
        <v>47.861414915347957</v>
      </c>
      <c r="F83">
        <v>5.1004009910000005E-3</v>
      </c>
      <c r="G83">
        <v>47.861981332660797</v>
      </c>
      <c r="H83">
        <v>3.1054185540000004E-3</v>
      </c>
      <c r="I83">
        <v>1.5039356237451784E-3</v>
      </c>
      <c r="J83">
        <v>5.6641731283946228E-4</v>
      </c>
    </row>
    <row r="84" spans="1:10" x14ac:dyDescent="0.2">
      <c r="A84" t="s">
        <v>45</v>
      </c>
      <c r="B84">
        <v>4</v>
      </c>
      <c r="C84">
        <v>67.314598097671819</v>
      </c>
      <c r="D84">
        <v>1.9995944374999998E-2</v>
      </c>
      <c r="E84">
        <v>67.315984843506698</v>
      </c>
      <c r="F84">
        <v>8.9262024279999994E-3</v>
      </c>
      <c r="G84">
        <v>67.316687982239884</v>
      </c>
      <c r="H84">
        <v>3.455104983E-3</v>
      </c>
      <c r="I84">
        <v>1.3867458348784112E-3</v>
      </c>
      <c r="J84">
        <v>7.0313873318639253E-4</v>
      </c>
    </row>
    <row r="85" spans="1:10" x14ac:dyDescent="0.2">
      <c r="A85" t="s">
        <v>45</v>
      </c>
      <c r="B85">
        <v>5</v>
      </c>
      <c r="C85">
        <v>83.334081669446661</v>
      </c>
      <c r="D85">
        <v>1.5797266135000002E-2</v>
      </c>
      <c r="E85">
        <v>83.335468415281539</v>
      </c>
      <c r="F85">
        <v>8.924981882000001E-3</v>
      </c>
      <c r="G85">
        <v>83.336073895857339</v>
      </c>
      <c r="H85">
        <v>2.6593089910000004E-3</v>
      </c>
      <c r="I85">
        <v>1.3867458348784112E-3</v>
      </c>
      <c r="J85">
        <v>6.0548057579978831E-4</v>
      </c>
    </row>
    <row r="86" spans="1:10" x14ac:dyDescent="0.2">
      <c r="A86" t="s">
        <v>45</v>
      </c>
      <c r="B86">
        <v>6</v>
      </c>
      <c r="C86">
        <v>91.120690219555073</v>
      </c>
      <c r="D86">
        <v>1.7319897269999999E-2</v>
      </c>
      <c r="E86">
        <v>91.122076965389951</v>
      </c>
      <c r="F86">
        <v>9.6402218380000002E-3</v>
      </c>
      <c r="G86">
        <v>91.122721509228697</v>
      </c>
      <c r="H86">
        <v>3.0187597880000001E-3</v>
      </c>
      <c r="I86">
        <v>1.3867458348784112E-3</v>
      </c>
      <c r="J86">
        <v>6.4454383874590349E-4</v>
      </c>
    </row>
    <row r="87" spans="1:10" x14ac:dyDescent="0.2">
      <c r="A87" t="s">
        <v>46</v>
      </c>
    </row>
    <row r="88" spans="1:10" x14ac:dyDescent="0.2">
      <c r="A88" t="s">
        <v>47</v>
      </c>
      <c r="B88">
        <v>1</v>
      </c>
      <c r="C88">
        <v>19.378106232815096</v>
      </c>
      <c r="D88">
        <v>1.5298062821E-2</v>
      </c>
      <c r="E88">
        <v>19.379668763333271</v>
      </c>
      <c r="F88">
        <v>7.1429847220000004E-3</v>
      </c>
      <c r="G88">
        <v>19.380371902066447</v>
      </c>
      <c r="H88">
        <v>2.8704634490000001E-3</v>
      </c>
      <c r="I88">
        <v>1.5625305181750093E-3</v>
      </c>
      <c r="J88">
        <v>7.0313873317573439E-4</v>
      </c>
    </row>
    <row r="89" spans="1:10" x14ac:dyDescent="0.2">
      <c r="A89" t="s">
        <v>47</v>
      </c>
      <c r="B89">
        <v>2</v>
      </c>
      <c r="C89">
        <v>25.318146080874627</v>
      </c>
      <c r="D89">
        <v>1.6668125706E-2</v>
      </c>
      <c r="E89">
        <v>25.319689079761321</v>
      </c>
      <c r="F89">
        <v>8.1737358189999994E-3</v>
      </c>
      <c r="G89">
        <v>25.323185241795738</v>
      </c>
      <c r="H89">
        <v>2.7282698400000003E-3</v>
      </c>
      <c r="I89">
        <v>1.5429988866948463E-3</v>
      </c>
      <c r="J89">
        <v>3.4961620344162725E-3</v>
      </c>
    </row>
    <row r="90" spans="1:10" x14ac:dyDescent="0.2">
      <c r="A90" t="s">
        <v>47</v>
      </c>
      <c r="B90">
        <v>3</v>
      </c>
      <c r="C90">
        <v>34.779445758075347</v>
      </c>
      <c r="D90">
        <v>1.7435238866999998E-2</v>
      </c>
      <c r="E90">
        <v>34.780969225330573</v>
      </c>
      <c r="F90">
        <v>7.6305928490000008E-3</v>
      </c>
      <c r="G90">
        <v>34.781770022221131</v>
      </c>
      <c r="H90">
        <v>3.0810076340000003E-3</v>
      </c>
      <c r="I90">
        <v>1.5234672552253414E-3</v>
      </c>
      <c r="J90">
        <v>8.0079689055878589E-4</v>
      </c>
    </row>
    <row r="91" spans="1:10" x14ac:dyDescent="0.2">
      <c r="A91" t="s">
        <v>47</v>
      </c>
      <c r="B91">
        <v>4</v>
      </c>
      <c r="C91">
        <v>48.284265012131094</v>
      </c>
      <c r="D91">
        <v>1.5061887170000001E-2</v>
      </c>
      <c r="E91">
        <v>48.285827542649265</v>
      </c>
      <c r="F91">
        <v>9.0622933070000009E-3</v>
      </c>
      <c r="G91">
        <v>48.286589276276878</v>
      </c>
      <c r="H91">
        <v>3.7620723020000001E-3</v>
      </c>
      <c r="I91">
        <v>1.5625305181714566E-3</v>
      </c>
      <c r="J91">
        <v>7.6173362761267072E-4</v>
      </c>
    </row>
    <row r="92" spans="1:10" x14ac:dyDescent="0.2">
      <c r="A92" t="s">
        <v>47</v>
      </c>
      <c r="B92">
        <v>5</v>
      </c>
      <c r="C92">
        <v>64.88379279852731</v>
      </c>
      <c r="D92">
        <v>1.7042223055E-2</v>
      </c>
      <c r="E92">
        <v>64.885316265782535</v>
      </c>
      <c r="F92">
        <v>9.8959262250000006E-3</v>
      </c>
      <c r="G92">
        <v>64.886038936147187</v>
      </c>
      <c r="H92">
        <v>2.5744810440000002E-3</v>
      </c>
      <c r="I92">
        <v>1.5234672552253414E-3</v>
      </c>
      <c r="J92">
        <v>7.2267036465234469E-4</v>
      </c>
    </row>
    <row r="93" spans="1:10" x14ac:dyDescent="0.2">
      <c r="A93" t="s">
        <v>48</v>
      </c>
    </row>
    <row r="94" spans="1:10" x14ac:dyDescent="0.2">
      <c r="A94" t="s">
        <v>49</v>
      </c>
      <c r="B94">
        <v>1</v>
      </c>
      <c r="C94">
        <v>3.3621897984394229</v>
      </c>
      <c r="D94">
        <v>1.7408997127999998E-2</v>
      </c>
      <c r="E94">
        <v>3.3637132656946429</v>
      </c>
      <c r="F94">
        <v>5.2962986240000006E-3</v>
      </c>
      <c r="G94">
        <v>3.3644945309537295</v>
      </c>
      <c r="H94">
        <v>2.055748994E-3</v>
      </c>
      <c r="I94">
        <v>1.5234672552200124E-3</v>
      </c>
      <c r="J94">
        <v>7.8126525908661648E-4</v>
      </c>
    </row>
    <row r="95" spans="1:10" x14ac:dyDescent="0.2">
      <c r="A95" t="s">
        <v>49</v>
      </c>
      <c r="B95">
        <v>2</v>
      </c>
      <c r="C95">
        <v>12.507403995648353</v>
      </c>
      <c r="D95">
        <v>1.6572312844999999E-2</v>
      </c>
      <c r="E95">
        <v>12.508732146588802</v>
      </c>
      <c r="F95">
        <v>7.2735831439999996E-3</v>
      </c>
      <c r="G95">
        <v>12.509279032270163</v>
      </c>
      <c r="H95">
        <v>2.5152845630000004E-3</v>
      </c>
      <c r="I95">
        <v>1.3281509404485803E-3</v>
      </c>
      <c r="J95">
        <v>5.4688568136107563E-4</v>
      </c>
    </row>
    <row r="96" spans="1:10" x14ac:dyDescent="0.2">
      <c r="A96" t="s">
        <v>49</v>
      </c>
      <c r="B96">
        <v>3</v>
      </c>
      <c r="C96">
        <v>21.088812062507081</v>
      </c>
      <c r="D96">
        <v>1.5924813191999999E-2</v>
      </c>
      <c r="E96">
        <v>21.090081618553096</v>
      </c>
      <c r="F96">
        <v>6.7426456340000003E-3</v>
      </c>
      <c r="G96">
        <v>21.090726162391842</v>
      </c>
      <c r="H96">
        <v>2.4298463430000002E-3</v>
      </c>
      <c r="I96">
        <v>1.2695560460151967E-3</v>
      </c>
      <c r="J96">
        <v>6.4454383874590349E-4</v>
      </c>
    </row>
    <row r="97" spans="1:10" x14ac:dyDescent="0.2">
      <c r="A97" t="s">
        <v>49</v>
      </c>
      <c r="B97">
        <v>4</v>
      </c>
      <c r="C97">
        <v>49.76081718258169</v>
      </c>
      <c r="D97">
        <v>1.8309149803E-2</v>
      </c>
      <c r="E97">
        <v>49.762067206996228</v>
      </c>
      <c r="F97">
        <v>8.8444258460000005E-3</v>
      </c>
      <c r="G97">
        <v>49.762672687572021</v>
      </c>
      <c r="H97">
        <v>2.3553930370000002E-3</v>
      </c>
      <c r="I97">
        <v>1.2500244145385864E-3</v>
      </c>
      <c r="J97">
        <v>6.0548057579268288E-4</v>
      </c>
    </row>
    <row r="98" spans="1:10" x14ac:dyDescent="0.2">
      <c r="A98" t="s">
        <v>49</v>
      </c>
      <c r="B98">
        <v>5</v>
      </c>
      <c r="C98">
        <v>93.77568352693217</v>
      </c>
      <c r="D98">
        <v>1.8324406628000001E-2</v>
      </c>
      <c r="E98">
        <v>93.777070272767048</v>
      </c>
      <c r="F98">
        <v>7.3571905449999996E-3</v>
      </c>
      <c r="G98">
        <v>93.777871069657607</v>
      </c>
      <c r="H98">
        <v>2.9003668260000003E-3</v>
      </c>
      <c r="I98">
        <v>1.3867458348784112E-3</v>
      </c>
      <c r="J98">
        <v>8.0079689055878589E-4</v>
      </c>
    </row>
    <row r="99" spans="1:10" x14ac:dyDescent="0.2">
      <c r="A99" t="s">
        <v>49</v>
      </c>
      <c r="B99">
        <v>6</v>
      </c>
      <c r="C99">
        <v>103.66846712316061</v>
      </c>
      <c r="D99">
        <v>7.7788891879999999E-3</v>
      </c>
      <c r="E99">
        <v>103.66969761594368</v>
      </c>
      <c r="F99">
        <v>4.2985022690000003E-3</v>
      </c>
      <c r="G99">
        <v>103.67004918531026</v>
      </c>
      <c r="H99">
        <v>2.1839063240000002E-3</v>
      </c>
      <c r="I99">
        <v>1.2304927830655288E-3</v>
      </c>
      <c r="J99">
        <v>3.5156936658609084E-4</v>
      </c>
    </row>
    <row r="100" spans="1:10" x14ac:dyDescent="0.2">
      <c r="A100" t="s">
        <v>49</v>
      </c>
      <c r="B100">
        <v>7</v>
      </c>
      <c r="C100">
        <v>114.4146783264849</v>
      </c>
      <c r="D100">
        <v>1.5712438188E-2</v>
      </c>
      <c r="E100">
        <v>114.41624085700307</v>
      </c>
      <c r="F100">
        <v>6.9049782519999998E-3</v>
      </c>
      <c r="G100">
        <v>114.41702212226215</v>
      </c>
      <c r="H100">
        <v>3.2573765310000002E-3</v>
      </c>
      <c r="I100">
        <v>1.5625305181714566E-3</v>
      </c>
      <c r="J100">
        <v>7.8126525907862288E-4</v>
      </c>
    </row>
    <row r="101" spans="1:10" x14ac:dyDescent="0.2">
      <c r="A101" t="s">
        <v>50</v>
      </c>
    </row>
    <row r="102" spans="1:10" x14ac:dyDescent="0.2">
      <c r="A102" t="s">
        <v>51</v>
      </c>
      <c r="B102">
        <v>1</v>
      </c>
      <c r="C102">
        <v>2.7788909811734603</v>
      </c>
      <c r="D102">
        <v>1.6604047040999999E-2</v>
      </c>
      <c r="E102">
        <v>2.7806683596378834</v>
      </c>
      <c r="F102">
        <v>6.358783917E-3</v>
      </c>
      <c r="G102">
        <v>2.7814496248969705</v>
      </c>
      <c r="H102">
        <v>2.9546811230000002E-3</v>
      </c>
      <c r="I102">
        <v>1.7773784644230517E-3</v>
      </c>
      <c r="J102">
        <v>7.8126525908706057E-4</v>
      </c>
    </row>
    <row r="103" spans="1:10" x14ac:dyDescent="0.2">
      <c r="A103" t="s">
        <v>51</v>
      </c>
      <c r="B103">
        <v>2</v>
      </c>
      <c r="C103">
        <v>29.799945596333913</v>
      </c>
      <c r="D103">
        <v>1.92788736E-2</v>
      </c>
      <c r="E103">
        <v>29.801430000326178</v>
      </c>
      <c r="F103">
        <v>9.1477315270000002E-3</v>
      </c>
      <c r="G103">
        <v>29.802133139059357</v>
      </c>
      <c r="H103">
        <v>3.0907720020000003E-3</v>
      </c>
      <c r="I103">
        <v>1.4844039922650154E-3</v>
      </c>
      <c r="J103">
        <v>7.031387331792871E-4</v>
      </c>
    </row>
    <row r="104" spans="1:10" x14ac:dyDescent="0.2">
      <c r="A104" t="s">
        <v>51</v>
      </c>
      <c r="B104">
        <v>3</v>
      </c>
      <c r="C104">
        <v>47.043615128877519</v>
      </c>
      <c r="D104">
        <v>1.8542884361999998E-2</v>
      </c>
      <c r="E104">
        <v>47.045080001238311</v>
      </c>
      <c r="F104">
        <v>9.8477146580000004E-3</v>
      </c>
      <c r="G104">
        <v>47.04633002565285</v>
      </c>
      <c r="H104">
        <v>2.92965993E-3</v>
      </c>
      <c r="I104">
        <v>1.4648723607919578E-3</v>
      </c>
      <c r="J104">
        <v>1.2500244145385864E-3</v>
      </c>
    </row>
    <row r="105" spans="1:10" x14ac:dyDescent="0.2">
      <c r="A105" t="s">
        <v>51</v>
      </c>
      <c r="B105">
        <v>4</v>
      </c>
      <c r="C105">
        <v>54.425535414273718</v>
      </c>
      <c r="D105">
        <v>1.7941155184E-2</v>
      </c>
      <c r="E105">
        <v>54.42700028663451</v>
      </c>
      <c r="F105">
        <v>9.5218288759999995E-3</v>
      </c>
      <c r="G105">
        <v>54.427703425367689</v>
      </c>
      <c r="H105">
        <v>3.5930266810000003E-3</v>
      </c>
      <c r="I105">
        <v>1.4648723607919578E-3</v>
      </c>
      <c r="J105">
        <v>7.031387331792871E-4</v>
      </c>
    </row>
    <row r="106" spans="1:10" x14ac:dyDescent="0.2">
      <c r="A106" t="s">
        <v>51</v>
      </c>
      <c r="B106">
        <v>5</v>
      </c>
      <c r="C106">
        <v>92.651342019627336</v>
      </c>
      <c r="D106">
        <v>1.7975330471999999E-2</v>
      </c>
      <c r="E106">
        <v>92.652787360356655</v>
      </c>
      <c r="F106">
        <v>9.7604456190000001E-3</v>
      </c>
      <c r="G106">
        <v>92.653470967458347</v>
      </c>
      <c r="H106">
        <v>3.4300837900000003E-3</v>
      </c>
      <c r="I106">
        <v>1.4453407293189002E-3</v>
      </c>
      <c r="J106">
        <v>6.8360710169201866E-4</v>
      </c>
    </row>
    <row r="107" spans="1:10" x14ac:dyDescent="0.2">
      <c r="A107" t="s">
        <v>51</v>
      </c>
      <c r="B107">
        <v>6</v>
      </c>
      <c r="C107">
        <v>129.63768846141917</v>
      </c>
      <c r="D107">
        <v>1.6577805301999999E-2</v>
      </c>
      <c r="E107">
        <v>129.63915333377997</v>
      </c>
      <c r="F107">
        <v>8.9298640659999998E-3</v>
      </c>
      <c r="G107">
        <v>129.63983694088168</v>
      </c>
      <c r="H107">
        <v>3.8829063560000001E-3</v>
      </c>
      <c r="I107">
        <v>1.4648723607990632E-3</v>
      </c>
      <c r="J107">
        <v>6.8360710170622951E-4</v>
      </c>
    </row>
    <row r="108" spans="1:10" x14ac:dyDescent="0.2">
      <c r="A108" t="s">
        <v>52</v>
      </c>
    </row>
    <row r="109" spans="1:10" x14ac:dyDescent="0.2">
      <c r="A109" t="s">
        <v>53</v>
      </c>
      <c r="B109">
        <v>1</v>
      </c>
      <c r="C109">
        <v>3.4300570538467552</v>
      </c>
      <c r="D109">
        <v>1.9324644074999998E-2</v>
      </c>
      <c r="E109">
        <v>3.4323031914666307</v>
      </c>
      <c r="F109">
        <v>4.6256085970000005E-3</v>
      </c>
      <c r="G109">
        <v>3.4332993046719666</v>
      </c>
      <c r="H109">
        <v>1.9678696820000004E-3</v>
      </c>
      <c r="I109">
        <v>2.2461376198754657E-3</v>
      </c>
      <c r="J109">
        <v>9.9611320533599113E-4</v>
      </c>
    </row>
    <row r="110" spans="1:10" x14ac:dyDescent="0.2">
      <c r="A110" t="s">
        <v>53</v>
      </c>
      <c r="B110">
        <v>2</v>
      </c>
      <c r="C110">
        <v>12.890606730832634</v>
      </c>
      <c r="D110">
        <v>1.7517625722E-2</v>
      </c>
      <c r="E110">
        <v>12.89236457766558</v>
      </c>
      <c r="F110">
        <v>6.4875515200000008E-3</v>
      </c>
      <c r="G110">
        <v>12.893048184767281</v>
      </c>
      <c r="H110">
        <v>2.8582579890000003E-3</v>
      </c>
      <c r="I110">
        <v>1.7578468329464414E-3</v>
      </c>
      <c r="J110">
        <v>6.8360710170090044E-4</v>
      </c>
    </row>
    <row r="111" spans="1:10" x14ac:dyDescent="0.2">
      <c r="A111" t="s">
        <v>53</v>
      </c>
      <c r="B111">
        <v>3</v>
      </c>
      <c r="C111">
        <v>16.820805960639856</v>
      </c>
      <c r="D111">
        <v>1.6104233454E-2</v>
      </c>
      <c r="E111">
        <v>16.822446617683937</v>
      </c>
      <c r="F111">
        <v>7.0178787570000008E-3</v>
      </c>
      <c r="G111">
        <v>16.823540389046659</v>
      </c>
      <c r="H111">
        <v>2.6165898810000003E-3</v>
      </c>
      <c r="I111">
        <v>1.6406570440814505E-3</v>
      </c>
      <c r="J111">
        <v>1.0937713627221513E-3</v>
      </c>
    </row>
    <row r="112" spans="1:10" x14ac:dyDescent="0.2">
      <c r="A112" t="s">
        <v>53</v>
      </c>
      <c r="B112">
        <v>4</v>
      </c>
      <c r="C112">
        <v>20.312867379196859</v>
      </c>
      <c r="D112">
        <v>1.829633407E-2</v>
      </c>
      <c r="E112">
        <v>20.314508036240944</v>
      </c>
      <c r="F112">
        <v>7.1826524670000006E-3</v>
      </c>
      <c r="G112">
        <v>20.315250238237077</v>
      </c>
      <c r="H112">
        <v>2.4060456960000001E-3</v>
      </c>
      <c r="I112">
        <v>1.6406570440850032E-3</v>
      </c>
      <c r="J112">
        <v>7.422019961325077E-4</v>
      </c>
    </row>
    <row r="113" spans="1:10" x14ac:dyDescent="0.2">
      <c r="A113" t="s">
        <v>53</v>
      </c>
      <c r="B113">
        <v>5</v>
      </c>
      <c r="C113">
        <v>27.579473245416903</v>
      </c>
      <c r="D113">
        <v>1.9735357804000001E-2</v>
      </c>
      <c r="E113">
        <v>27.581074839198031</v>
      </c>
      <c r="F113">
        <v>6.9794315579999999E-3</v>
      </c>
      <c r="G113">
        <v>27.58218814219223</v>
      </c>
      <c r="H113">
        <v>3.0535453490000003E-3</v>
      </c>
      <c r="I113">
        <v>1.6015937811282299E-3</v>
      </c>
      <c r="J113">
        <v>1.1133029941987616E-3</v>
      </c>
    </row>
    <row r="114" spans="1:10" x14ac:dyDescent="0.2">
      <c r="A114" t="s">
        <v>53</v>
      </c>
      <c r="B114">
        <v>6</v>
      </c>
      <c r="C114">
        <v>31.317753974880368</v>
      </c>
      <c r="D114">
        <v>1.9192214834E-2</v>
      </c>
      <c r="E114">
        <v>31.31933603703002</v>
      </c>
      <c r="F114">
        <v>6.8262530350000003E-3</v>
      </c>
      <c r="G114">
        <v>31.320058707394676</v>
      </c>
      <c r="H114">
        <v>2.3376951200000003E-3</v>
      </c>
      <c r="I114">
        <v>1.5820621496516196E-3</v>
      </c>
      <c r="J114">
        <v>7.226703646558974E-4</v>
      </c>
    </row>
    <row r="115" spans="1:10" x14ac:dyDescent="0.2">
      <c r="A115" t="s">
        <v>53</v>
      </c>
      <c r="B115">
        <v>7</v>
      </c>
      <c r="C115">
        <v>34.513315246538021</v>
      </c>
      <c r="D115">
        <v>1.9261785955999998E-2</v>
      </c>
      <c r="E115">
        <v>34.514877777056192</v>
      </c>
      <c r="F115">
        <v>6.8244222160000001E-3</v>
      </c>
      <c r="G115">
        <v>34.515541852526418</v>
      </c>
      <c r="H115">
        <v>2.4908736430000003E-3</v>
      </c>
      <c r="I115">
        <v>1.5625305181714566E-3</v>
      </c>
      <c r="J115">
        <v>6.640754702260665E-4</v>
      </c>
    </row>
    <row r="116" spans="1:10" x14ac:dyDescent="0.2">
      <c r="A116" t="s">
        <v>54</v>
      </c>
    </row>
    <row r="117" spans="1:10" x14ac:dyDescent="0.2">
      <c r="A117" t="s">
        <v>55</v>
      </c>
      <c r="B117">
        <v>1</v>
      </c>
      <c r="C117">
        <v>3.5587516713900667</v>
      </c>
      <c r="D117">
        <v>1.6652868881E-2</v>
      </c>
      <c r="E117">
        <v>3.560138417224946</v>
      </c>
      <c r="F117">
        <v>5.0772106170000001E-3</v>
      </c>
      <c r="G117">
        <v>3.5609782773784646</v>
      </c>
      <c r="H117">
        <v>2.3029095590000005E-3</v>
      </c>
      <c r="I117">
        <v>1.3867458348792994E-3</v>
      </c>
      <c r="J117">
        <v>8.3986015351866783E-4</v>
      </c>
    </row>
    <row r="118" spans="1:10" x14ac:dyDescent="0.2">
      <c r="A118" t="s">
        <v>55</v>
      </c>
      <c r="B118">
        <v>2</v>
      </c>
      <c r="C118">
        <v>21.471575930295515</v>
      </c>
      <c r="D118">
        <v>1.4696943916E-2</v>
      </c>
      <c r="E118">
        <v>21.4727868914471</v>
      </c>
      <c r="F118">
        <v>7.6842968730000006E-3</v>
      </c>
      <c r="G118">
        <v>21.47335330875994</v>
      </c>
      <c r="H118">
        <v>2.3401362120000005E-3</v>
      </c>
      <c r="I118">
        <v>1.2109611515853658E-3</v>
      </c>
      <c r="J118">
        <v>5.6641731283946228E-4</v>
      </c>
    </row>
    <row r="119" spans="1:10" x14ac:dyDescent="0.2">
      <c r="A119" t="s">
        <v>55</v>
      </c>
      <c r="B119">
        <v>3</v>
      </c>
      <c r="C119">
        <v>31.694806053813554</v>
      </c>
      <c r="D119">
        <v>1.7107522266E-2</v>
      </c>
      <c r="E119">
        <v>31.69601701496514</v>
      </c>
      <c r="F119">
        <v>6.944035724E-3</v>
      </c>
      <c r="G119">
        <v>31.696544369015022</v>
      </c>
      <c r="H119">
        <v>2.5055201950000003E-3</v>
      </c>
      <c r="I119">
        <v>1.2109611515853658E-3</v>
      </c>
      <c r="J119">
        <v>5.2735404988268897E-4</v>
      </c>
    </row>
    <row r="120" spans="1:10" x14ac:dyDescent="0.2">
      <c r="A120" t="s">
        <v>55</v>
      </c>
      <c r="B120">
        <v>4</v>
      </c>
      <c r="C120">
        <v>40.357456816930018</v>
      </c>
      <c r="D120">
        <v>1.6339798831999999E-2</v>
      </c>
      <c r="E120">
        <v>40.35864824645013</v>
      </c>
      <c r="F120">
        <v>9.1239308800000005E-3</v>
      </c>
      <c r="G120">
        <v>40.359195132131489</v>
      </c>
      <c r="H120">
        <v>2.4322874350000004E-3</v>
      </c>
      <c r="I120">
        <v>1.1914295201123082E-3</v>
      </c>
      <c r="J120">
        <v>5.4688568135929927E-4</v>
      </c>
    </row>
    <row r="121" spans="1:10" x14ac:dyDescent="0.2">
      <c r="A121" t="s">
        <v>55</v>
      </c>
      <c r="B121">
        <v>5</v>
      </c>
      <c r="C121">
        <v>56.139550324209459</v>
      </c>
      <c r="D121">
        <v>1.4777499952000001E-2</v>
      </c>
      <c r="E121">
        <v>56.140761285361044</v>
      </c>
      <c r="F121">
        <v>8.6235070200000007E-3</v>
      </c>
      <c r="G121">
        <v>56.141347234305357</v>
      </c>
      <c r="H121">
        <v>1.9105040200000003E-3</v>
      </c>
      <c r="I121">
        <v>1.2109611515853658E-3</v>
      </c>
      <c r="J121">
        <v>5.8594894431251987E-4</v>
      </c>
    </row>
    <row r="122" spans="1:10" x14ac:dyDescent="0.2">
      <c r="A122" t="s">
        <v>55</v>
      </c>
      <c r="B122">
        <v>6</v>
      </c>
      <c r="C122">
        <v>65.665575135959685</v>
      </c>
      <c r="D122">
        <v>1.5993163767999998E-2</v>
      </c>
      <c r="E122">
        <v>65.66676656547979</v>
      </c>
      <c r="F122">
        <v>7.9070465179999997E-3</v>
      </c>
      <c r="G122">
        <v>65.667391577687056</v>
      </c>
      <c r="H122">
        <v>3.3605126680000003E-3</v>
      </c>
      <c r="I122">
        <v>1.1914295201052028E-3</v>
      </c>
      <c r="J122">
        <v>6.2501220726574047E-4</v>
      </c>
    </row>
    <row r="123" spans="1:10" x14ac:dyDescent="0.2">
      <c r="A123" t="s">
        <v>56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5D053-7F22-094F-8857-FB144A258CCE}">
  <dimension ref="A1:AJ179"/>
  <sheetViews>
    <sheetView zoomScale="150" zoomScaleNormal="125" workbookViewId="0">
      <selection activeCell="T2" sqref="T2"/>
    </sheetView>
  </sheetViews>
  <sheetFormatPr baseColWidth="10" defaultRowHeight="15" x14ac:dyDescent="0.2"/>
  <cols>
    <col min="1" max="1" width="20.5" style="2" customWidth="1"/>
    <col min="2" max="3" width="14.6640625" style="2" customWidth="1"/>
    <col min="4" max="5" width="10.83203125" style="2"/>
    <col min="6" max="6" width="12.33203125" style="2" bestFit="1" customWidth="1"/>
    <col min="7" max="7" width="11.1640625" style="2" bestFit="1" customWidth="1"/>
    <col min="8" max="8" width="11.1640625" style="2" customWidth="1"/>
    <col min="9" max="9" width="10.83203125" style="2"/>
    <col min="10" max="10" width="18.83203125" style="2" bestFit="1" customWidth="1"/>
    <col min="11" max="12" width="10.83203125" style="2"/>
    <col min="13" max="13" width="11.83203125" style="2" bestFit="1" customWidth="1"/>
    <col min="14" max="19" width="10.83203125" style="2"/>
    <col min="20" max="20" width="17.6640625" style="2" bestFit="1" customWidth="1"/>
    <col min="21" max="21" width="12.1640625" style="2" bestFit="1" customWidth="1"/>
    <col min="22" max="22" width="6" style="2" bestFit="1" customWidth="1"/>
    <col min="23" max="23" width="12.1640625" style="2" bestFit="1" customWidth="1"/>
    <col min="24" max="24" width="9.1640625" style="2" bestFit="1" customWidth="1"/>
    <col min="25" max="29" width="10.83203125" style="2"/>
    <col min="30" max="30" width="18.83203125" style="2" bestFit="1" customWidth="1"/>
    <col min="31" max="31" width="12.1640625" style="2" bestFit="1" customWidth="1"/>
    <col min="32" max="32" width="7" style="2" bestFit="1" customWidth="1"/>
    <col min="33" max="33" width="7" style="2" customWidth="1"/>
    <col min="34" max="34" width="7.83203125" style="2" bestFit="1" customWidth="1"/>
    <col min="35" max="35" width="12.1640625" style="2" bestFit="1" customWidth="1"/>
    <col min="36" max="37" width="12.1640625" style="2" customWidth="1"/>
    <col min="38" max="16384" width="10.83203125" style="2"/>
  </cols>
  <sheetData>
    <row r="1" spans="1:36" x14ac:dyDescent="0.2">
      <c r="A1" s="1" t="s">
        <v>0</v>
      </c>
      <c r="B1" s="1" t="s">
        <v>19</v>
      </c>
      <c r="C1" s="1" t="s">
        <v>20</v>
      </c>
      <c r="D1" s="1" t="s">
        <v>65</v>
      </c>
      <c r="E1" s="1" t="s">
        <v>77</v>
      </c>
      <c r="F1" s="1" t="s">
        <v>78</v>
      </c>
      <c r="G1" s="1" t="s">
        <v>69</v>
      </c>
      <c r="H1" s="1" t="s">
        <v>74</v>
      </c>
      <c r="J1" s="1" t="s">
        <v>70</v>
      </c>
      <c r="K1" s="1" t="s">
        <v>77</v>
      </c>
      <c r="L1" s="1" t="s">
        <v>71</v>
      </c>
      <c r="M1" s="1" t="s">
        <v>72</v>
      </c>
      <c r="N1" s="1" t="s">
        <v>73</v>
      </c>
      <c r="T1" s="2" t="s">
        <v>70</v>
      </c>
      <c r="U1" s="2" t="s">
        <v>77</v>
      </c>
      <c r="V1" s="2" t="s">
        <v>71</v>
      </c>
      <c r="W1" s="2" t="s">
        <v>72</v>
      </c>
      <c r="X1" s="2" t="s">
        <v>73</v>
      </c>
      <c r="AD1" s="2" t="s">
        <v>70</v>
      </c>
      <c r="AE1" s="2" t="s">
        <v>66</v>
      </c>
      <c r="AF1" s="2" t="s">
        <v>71</v>
      </c>
      <c r="AG1" s="2" t="s">
        <v>76</v>
      </c>
      <c r="AH1" s="2" t="s">
        <v>75</v>
      </c>
      <c r="AI1" s="2" t="s">
        <v>72</v>
      </c>
      <c r="AJ1" s="2" t="s">
        <v>73</v>
      </c>
    </row>
    <row r="2" spans="1:36" x14ac:dyDescent="0.2">
      <c r="A2" s="1" t="s">
        <v>1</v>
      </c>
      <c r="B2" s="1">
        <v>1.5208962963E-2</v>
      </c>
      <c r="C2" s="1">
        <v>6.0719556070000002E-3</v>
      </c>
      <c r="D2" s="1">
        <v>5.6641731283946228E-4</v>
      </c>
      <c r="E2" s="1">
        <f>AVERAGE(D2:D6)</f>
        <v>6.3282485986349002E-4</v>
      </c>
      <c r="F2" s="2">
        <f>_xlfn.STDEV.S(D2:D6)</f>
        <v>6.1143677973849933E-5</v>
      </c>
      <c r="G2" s="3">
        <v>0.1622203098106714</v>
      </c>
      <c r="H2" s="3">
        <v>0.72146316810745281</v>
      </c>
      <c r="J2" s="1" t="str">
        <f>A2</f>
        <v>C_M1_EST#2.mat</v>
      </c>
      <c r="K2" s="1">
        <f>E2</f>
        <v>6.3282485986349002E-4</v>
      </c>
      <c r="L2" s="5">
        <f>G2</f>
        <v>0.1622203098106714</v>
      </c>
      <c r="M2" s="1">
        <f>F2</f>
        <v>6.1143677973849933E-5</v>
      </c>
      <c r="N2" s="5">
        <f>H2</f>
        <v>0.72146316810745281</v>
      </c>
      <c r="T2" s="2" t="s">
        <v>1</v>
      </c>
      <c r="U2" s="2">
        <v>6.3282485986349002E-4</v>
      </c>
      <c r="V2" s="6">
        <v>0.1622203098106714</v>
      </c>
      <c r="W2" s="2">
        <v>6.1143677973849933E-5</v>
      </c>
      <c r="X2" s="6">
        <v>0.72146316810745281</v>
      </c>
      <c r="AD2" s="2" t="s">
        <v>1</v>
      </c>
      <c r="AE2" s="2">
        <v>2.5650682126413478</v>
      </c>
      <c r="AF2" s="6">
        <v>0.1622203098106714</v>
      </c>
      <c r="AG2" s="4">
        <v>0.18099999999999999</v>
      </c>
      <c r="AH2" s="6">
        <f>AF2/AG2</f>
        <v>0.89624480558381991</v>
      </c>
      <c r="AI2" s="2">
        <v>0.14533248039048227</v>
      </c>
      <c r="AJ2" s="6">
        <v>0.72146316810745281</v>
      </c>
    </row>
    <row r="3" spans="1:36" x14ac:dyDescent="0.2">
      <c r="A3" s="1" t="s">
        <v>1</v>
      </c>
      <c r="B3" s="1">
        <v>1.7429136136999999E-2</v>
      </c>
      <c r="C3" s="1">
        <v>6.3423065460000002E-3</v>
      </c>
      <c r="D3" s="1">
        <v>6.8360710170622951E-4</v>
      </c>
      <c r="E3" s="1"/>
      <c r="G3" s="3"/>
      <c r="H3" s="3"/>
      <c r="J3" s="1" t="str">
        <f>A8</f>
        <v>C_M1_EST.mat</v>
      </c>
      <c r="K3" s="1">
        <f>E8</f>
        <v>1.2835072113586779E-3</v>
      </c>
      <c r="L3" s="5">
        <f>G8</f>
        <v>0.1622203098106714</v>
      </c>
      <c r="M3" s="1">
        <f>F8</f>
        <v>1.0208097328723662E-3</v>
      </c>
      <c r="N3" s="5">
        <f>H8</f>
        <v>0.72146316810745281</v>
      </c>
      <c r="T3" s="2" t="s">
        <v>4</v>
      </c>
      <c r="U3" s="2">
        <v>5.4200277348837034E-4</v>
      </c>
      <c r="V3" s="6">
        <v>9.0436590436590164E-2</v>
      </c>
      <c r="W3" s="2">
        <v>6.6474533539814177E-5</v>
      </c>
      <c r="X3" s="6">
        <v>0.48563206852537144</v>
      </c>
      <c r="AD3" s="2" t="s">
        <v>4</v>
      </c>
      <c r="AE3" s="2">
        <v>2.6610701832437287</v>
      </c>
      <c r="AF3" s="6">
        <v>9.0436590436590164E-2</v>
      </c>
      <c r="AG3" s="7">
        <v>0.14499999999999999</v>
      </c>
      <c r="AH3" s="6">
        <f t="shared" ref="AH3:AH13" si="0">AF3/AG3</f>
        <v>0.62370062370062185</v>
      </c>
      <c r="AI3" s="2">
        <v>0.33976318685894813</v>
      </c>
      <c r="AJ3" s="6">
        <v>0.48563206852537144</v>
      </c>
    </row>
    <row r="4" spans="1:36" x14ac:dyDescent="0.2">
      <c r="A4" s="1" t="s">
        <v>1</v>
      </c>
      <c r="B4" s="1">
        <v>1.6973262206000001E-2</v>
      </c>
      <c r="C4" s="1">
        <v>7.1472566330000008E-3</v>
      </c>
      <c r="D4" s="1">
        <v>6.640754702260665E-4</v>
      </c>
      <c r="E4" s="1"/>
      <c r="G4" s="3"/>
      <c r="H4" s="3"/>
      <c r="J4" s="1" t="str">
        <f>A16</f>
        <v>C_M1_MOD56#2.mat</v>
      </c>
      <c r="K4" s="1">
        <f>E16</f>
        <v>5.4200277348837034E-4</v>
      </c>
      <c r="L4" s="5">
        <f>G16</f>
        <v>9.0436590436590164E-2</v>
      </c>
      <c r="M4" s="1">
        <f>F16</f>
        <v>6.6474533539814177E-5</v>
      </c>
      <c r="N4" s="5">
        <f>H16</f>
        <v>0.48563206852537144</v>
      </c>
      <c r="T4" s="2" t="s">
        <v>6</v>
      </c>
      <c r="U4" s="2">
        <v>7.8517158538460308E-4</v>
      </c>
      <c r="V4" s="6">
        <v>0.19980314960629944</v>
      </c>
      <c r="W4" s="2">
        <v>4.6631131023076592E-5</v>
      </c>
      <c r="X4" s="6">
        <v>0.89008626635008214</v>
      </c>
      <c r="AD4" s="2" t="s">
        <v>6</v>
      </c>
      <c r="AE4" s="2">
        <v>3.7188004175787275</v>
      </c>
      <c r="AF4" s="6">
        <v>0.19980314960629944</v>
      </c>
      <c r="AG4" s="4">
        <v>0.18099999999999999</v>
      </c>
      <c r="AH4" s="6">
        <f t="shared" si="0"/>
        <v>1.1038848044546932</v>
      </c>
      <c r="AI4" s="2">
        <v>0.42785092601437319</v>
      </c>
      <c r="AJ4" s="6">
        <v>0.89008626635008214</v>
      </c>
    </row>
    <row r="5" spans="1:36" x14ac:dyDescent="0.2">
      <c r="A5" s="1" t="s">
        <v>1</v>
      </c>
      <c r="B5" s="1">
        <v>1.6527762915999999E-2</v>
      </c>
      <c r="C5" s="1">
        <v>6.20072321E-3</v>
      </c>
      <c r="D5" s="1">
        <v>6.8360710170622951E-4</v>
      </c>
      <c r="E5" s="1"/>
      <c r="G5" s="3"/>
      <c r="H5" s="3"/>
      <c r="J5" s="1" t="str">
        <f>A21</f>
        <v>C_M1_MOD56.mat</v>
      </c>
      <c r="K5" s="1">
        <f>E21</f>
        <v>7.2267036465885803E-4</v>
      </c>
      <c r="L5" s="5">
        <f>G21</f>
        <v>9.0436590436590164E-2</v>
      </c>
      <c r="M5" s="1">
        <f>F21</f>
        <v>2.8678927077325882E-4</v>
      </c>
      <c r="N5" s="5">
        <f>H21</f>
        <v>0.48563206852537144</v>
      </c>
      <c r="T5" s="2" t="s">
        <v>7</v>
      </c>
      <c r="U5" s="2">
        <v>4.2969589249786111E-4</v>
      </c>
      <c r="V5" s="6">
        <v>0.1508515815085158</v>
      </c>
      <c r="W5" s="2">
        <v>8.6470218641584239E-5</v>
      </c>
      <c r="X5" s="6">
        <v>0.87703463949314364</v>
      </c>
      <c r="AD5" s="2" t="s">
        <v>7</v>
      </c>
      <c r="AE5" s="2">
        <v>2.3321449284662177</v>
      </c>
      <c r="AF5" s="6">
        <v>0.1508515815085158</v>
      </c>
      <c r="AG5" s="7">
        <v>0.14499999999999999</v>
      </c>
      <c r="AH5" s="6">
        <f t="shared" si="0"/>
        <v>1.0403557345414882</v>
      </c>
      <c r="AI5" s="2">
        <v>0.2883705128405239</v>
      </c>
      <c r="AJ5" s="6">
        <v>0.87703463949314364</v>
      </c>
    </row>
    <row r="6" spans="1:36" x14ac:dyDescent="0.2">
      <c r="A6" s="1" t="s">
        <v>1</v>
      </c>
      <c r="B6" s="1">
        <v>1.5183941770000001E-2</v>
      </c>
      <c r="C6" s="1">
        <v>5.996281755E-3</v>
      </c>
      <c r="D6" s="1">
        <v>5.6641731283946228E-4</v>
      </c>
      <c r="E6" s="1"/>
      <c r="G6" s="3"/>
      <c r="H6" s="3"/>
      <c r="J6" s="1" t="str">
        <f>A28</f>
        <v>C_M2_EST.mat</v>
      </c>
      <c r="K6" s="1">
        <f>E28</f>
        <v>7.8517158538460308E-4</v>
      </c>
      <c r="L6" s="5">
        <f>G28</f>
        <v>0.19980314960629944</v>
      </c>
      <c r="M6" s="1">
        <f>F28</f>
        <v>4.6631131023076592E-5</v>
      </c>
      <c r="N6" s="5">
        <f>H28</f>
        <v>0.89008626635008214</v>
      </c>
      <c r="T6" s="2" t="s">
        <v>8</v>
      </c>
      <c r="U6" s="2">
        <v>7.8126525908484012E-4</v>
      </c>
      <c r="V6" s="6">
        <v>0.26691858467880425</v>
      </c>
      <c r="W6" s="2">
        <v>7.9737551605864093E-5</v>
      </c>
      <c r="X6" s="6">
        <v>0.93239651547725655</v>
      </c>
      <c r="AD6" s="2" t="s">
        <v>8</v>
      </c>
      <c r="AE6" s="2">
        <v>3.3843681758450024</v>
      </c>
      <c r="AF6" s="6">
        <v>0.26691858467880425</v>
      </c>
      <c r="AG6" s="4">
        <v>0.18099999999999999</v>
      </c>
      <c r="AH6" s="6">
        <f t="shared" si="0"/>
        <v>1.474688313142565</v>
      </c>
      <c r="AI6" s="2">
        <v>0.36023316880429535</v>
      </c>
      <c r="AJ6" s="6">
        <v>0.93239651547725655</v>
      </c>
    </row>
    <row r="7" spans="1:36" x14ac:dyDescent="0.2">
      <c r="A7" s="1" t="s">
        <v>2</v>
      </c>
      <c r="B7" s="1"/>
      <c r="C7" s="1"/>
      <c r="D7" s="1"/>
      <c r="E7" s="1"/>
      <c r="G7" s="1"/>
      <c r="H7" s="1"/>
      <c r="J7" s="1" t="str">
        <f>A35</f>
        <v>C_M2_MOD56.mat</v>
      </c>
      <c r="K7" s="1">
        <f>E35</f>
        <v>4.2969589249786111E-4</v>
      </c>
      <c r="L7" s="5">
        <f>G35</f>
        <v>0.1508515815085158</v>
      </c>
      <c r="M7" s="1">
        <f>F35</f>
        <v>8.6470218641584239E-5</v>
      </c>
      <c r="N7" s="5">
        <f>H35</f>
        <v>0.87703463949314364</v>
      </c>
      <c r="T7" s="2" t="s">
        <v>9</v>
      </c>
      <c r="U7" s="2">
        <v>5.8315871124798538E-4</v>
      </c>
      <c r="V7" s="6">
        <v>0.18550811785929003</v>
      </c>
      <c r="W7" s="2">
        <v>7.7660094718897654E-5</v>
      </c>
      <c r="X7" s="6">
        <v>0.97821310228622105</v>
      </c>
      <c r="AD7" s="2" t="s">
        <v>9</v>
      </c>
      <c r="AE7" s="2">
        <v>2.9639171140714216</v>
      </c>
      <c r="AF7" s="6">
        <v>0.18550811785929003</v>
      </c>
      <c r="AG7" s="7">
        <v>0.14499999999999999</v>
      </c>
      <c r="AH7" s="6">
        <f t="shared" si="0"/>
        <v>1.2793663300640692</v>
      </c>
      <c r="AI7" s="2">
        <v>0.49394238598869122</v>
      </c>
      <c r="AJ7" s="6">
        <v>0.97821310228622105</v>
      </c>
    </row>
    <row r="8" spans="1:36" x14ac:dyDescent="0.2">
      <c r="A8" s="1" t="s">
        <v>3</v>
      </c>
      <c r="B8" s="1">
        <v>1.4187976234000001E-2</v>
      </c>
      <c r="C8" s="1">
        <v>4.0037404100000005E-3</v>
      </c>
      <c r="D8" s="1">
        <v>1.1914295201052028E-3</v>
      </c>
      <c r="E8" s="1">
        <f>AVERAGE(D8:D14)</f>
        <v>1.2835072113586779E-3</v>
      </c>
      <c r="F8" s="2">
        <f>_xlfn.STDEV.S(D8:D14)</f>
        <v>1.0208097328723662E-3</v>
      </c>
      <c r="G8" s="3">
        <v>0.1622203098106714</v>
      </c>
      <c r="H8" s="3">
        <v>0.72146316810745281</v>
      </c>
      <c r="J8" s="1" t="str">
        <f>A42</f>
        <v>C_M3_EST.mat</v>
      </c>
      <c r="K8" s="1">
        <f>E42</f>
        <v>7.8126525908484012E-4</v>
      </c>
      <c r="L8" s="5">
        <f>G42</f>
        <v>0.26691858467880425</v>
      </c>
      <c r="M8" s="1">
        <f>F42</f>
        <v>7.9737551605864093E-5</v>
      </c>
      <c r="N8" s="5">
        <f>H42</f>
        <v>0.93239651547725655</v>
      </c>
      <c r="T8" s="2" t="s">
        <v>10</v>
      </c>
      <c r="U8" s="2">
        <v>6.9337291744142604E-4</v>
      </c>
      <c r="V8" s="6">
        <v>0.11699064074874009</v>
      </c>
      <c r="W8" s="2">
        <v>6.4357075026183258E-5</v>
      </c>
      <c r="X8" s="6">
        <v>0.45406540028031028</v>
      </c>
      <c r="AD8" s="2" t="s">
        <v>10</v>
      </c>
      <c r="AE8" s="2">
        <v>2.4957530617775538</v>
      </c>
      <c r="AF8" s="6">
        <v>0.11699064074874009</v>
      </c>
      <c r="AG8" s="4">
        <v>0.18099999999999999</v>
      </c>
      <c r="AH8" s="6">
        <f t="shared" si="0"/>
        <v>0.64635713120850879</v>
      </c>
      <c r="AI8" s="2">
        <v>0.47831813891511588</v>
      </c>
      <c r="AJ8" s="6">
        <v>0.45406540028031028</v>
      </c>
    </row>
    <row r="9" spans="1:36" x14ac:dyDescent="0.2">
      <c r="A9" s="1" t="s">
        <v>3</v>
      </c>
      <c r="B9" s="1">
        <v>1.3653987359000001E-2</v>
      </c>
      <c r="C9" s="1">
        <v>4.95576629E-3</v>
      </c>
      <c r="D9" s="1">
        <v>1.0937713627185985E-3</v>
      </c>
      <c r="E9" s="1"/>
      <c r="G9" s="3"/>
      <c r="H9" s="3"/>
      <c r="J9" s="1" t="str">
        <f>A47</f>
        <v>C_M3_MOD56.mat</v>
      </c>
      <c r="K9" s="1">
        <f>E47</f>
        <v>5.8315871124798538E-4</v>
      </c>
      <c r="L9" s="5">
        <f>G47</f>
        <v>0.18550811785929003</v>
      </c>
      <c r="M9" s="1">
        <f>F47</f>
        <v>7.7660094718897654E-5</v>
      </c>
      <c r="N9" s="5">
        <f>H47</f>
        <v>0.97821310228622105</v>
      </c>
      <c r="T9" s="2" t="s">
        <v>11</v>
      </c>
      <c r="U9" s="2">
        <v>6.7709655787714007E-4</v>
      </c>
      <c r="V9" s="6">
        <v>0.22477693891557984</v>
      </c>
      <c r="W9" s="2">
        <v>5.3370577631918004E-5</v>
      </c>
      <c r="X9" s="6">
        <v>0.97159218533661007</v>
      </c>
      <c r="AD9" s="2" t="s">
        <v>11</v>
      </c>
      <c r="AE9" s="2">
        <v>4.120947298491358</v>
      </c>
      <c r="AF9" s="6">
        <v>0.22477693891557984</v>
      </c>
      <c r="AG9" s="7">
        <v>0.14499999999999999</v>
      </c>
      <c r="AH9" s="6">
        <f t="shared" si="0"/>
        <v>1.5501857856246888</v>
      </c>
      <c r="AI9" s="2">
        <v>0.46424785685652692</v>
      </c>
      <c r="AJ9" s="6">
        <v>0.97159218533661007</v>
      </c>
    </row>
    <row r="10" spans="1:36" x14ac:dyDescent="0.2">
      <c r="A10" s="1" t="s">
        <v>3</v>
      </c>
      <c r="B10" s="1">
        <v>1.2351054504E-2</v>
      </c>
      <c r="C10" s="1">
        <v>4.9283040050000001E-3</v>
      </c>
      <c r="D10" s="1">
        <v>5.0782241840607867E-4</v>
      </c>
      <c r="E10" s="1"/>
      <c r="G10" s="3"/>
      <c r="H10" s="3"/>
      <c r="J10" s="1" t="str">
        <f>A55</f>
        <v>C_M4_EST.mat</v>
      </c>
      <c r="K10" s="1">
        <f>E55</f>
        <v>6.9337291744142604E-4</v>
      </c>
      <c r="L10" s="5">
        <f>G55</f>
        <v>0.11699064074874009</v>
      </c>
      <c r="M10" s="1">
        <f>F55</f>
        <v>6.4357075026183258E-5</v>
      </c>
      <c r="N10" s="5">
        <f>H55</f>
        <v>0.45406540028031028</v>
      </c>
      <c r="T10" s="2" t="s">
        <v>12</v>
      </c>
      <c r="U10" s="2">
        <v>6.1524639153165417E-4</v>
      </c>
      <c r="V10" s="6">
        <v>0.10631793478260841</v>
      </c>
      <c r="W10" s="2">
        <v>1.1195755858894588E-4</v>
      </c>
      <c r="X10" s="6">
        <v>0.54014282865007168</v>
      </c>
      <c r="AD10" s="2" t="s">
        <v>12</v>
      </c>
      <c r="AE10" s="2">
        <v>2.0158880434200936</v>
      </c>
      <c r="AF10" s="6">
        <v>0.10631793478260841</v>
      </c>
      <c r="AG10" s="4">
        <v>0.15</v>
      </c>
      <c r="AH10" s="6">
        <f t="shared" si="0"/>
        <v>0.70878623188405609</v>
      </c>
      <c r="AI10" s="2">
        <v>0.32242117742333626</v>
      </c>
      <c r="AJ10" s="6">
        <v>0.54014282865007168</v>
      </c>
    </row>
    <row r="11" spans="1:36" x14ac:dyDescent="0.2">
      <c r="A11" s="1" t="s">
        <v>3</v>
      </c>
      <c r="B11" s="1">
        <v>1.3224355167000001E-2</v>
      </c>
      <c r="C11" s="1">
        <v>5.4207943160000001E-3</v>
      </c>
      <c r="D11" s="1">
        <v>1.6406570440850032E-3</v>
      </c>
      <c r="E11" s="1"/>
      <c r="G11" s="3"/>
      <c r="H11" s="3"/>
      <c r="J11" s="1" t="str">
        <f>A64</f>
        <v>C_M4_MOD56.mat</v>
      </c>
      <c r="K11" s="1">
        <f>E64</f>
        <v>6.7709655787714007E-4</v>
      </c>
      <c r="L11" s="5">
        <f>G64</f>
        <v>0.22477693891557984</v>
      </c>
      <c r="M11" s="1">
        <f>F64</f>
        <v>5.3370577631918004E-5</v>
      </c>
      <c r="N11" s="5">
        <f>H64</f>
        <v>0.97159218533661007</v>
      </c>
      <c r="T11" s="2" t="s">
        <v>13</v>
      </c>
      <c r="U11" s="2">
        <v>5.5990676901510972E-4</v>
      </c>
      <c r="V11" s="6">
        <v>0.14524886877828025</v>
      </c>
      <c r="W11" s="2">
        <v>1.2145262021084626E-4</v>
      </c>
      <c r="X11" s="6">
        <v>0.80036410954764581</v>
      </c>
      <c r="AD11" s="2" t="s">
        <v>13</v>
      </c>
      <c r="AE11" s="2">
        <v>2.0417622203199088</v>
      </c>
      <c r="AF11" s="6">
        <v>0.14524886877828025</v>
      </c>
      <c r="AG11" s="4">
        <v>0.15</v>
      </c>
      <c r="AH11" s="6">
        <f t="shared" si="0"/>
        <v>0.96832579185520173</v>
      </c>
      <c r="AI11" s="2">
        <v>0.2603831055085693</v>
      </c>
      <c r="AJ11" s="6">
        <v>0.80036410954764581</v>
      </c>
    </row>
    <row r="12" spans="1:36" x14ac:dyDescent="0.2">
      <c r="A12" s="1" t="s">
        <v>3</v>
      </c>
      <c r="B12" s="1">
        <v>1.5863175619000001E-2</v>
      </c>
      <c r="C12" s="1">
        <v>6.0652426040000004E-3</v>
      </c>
      <c r="D12" s="1">
        <v>3.3985038770367737E-3</v>
      </c>
      <c r="E12" s="1"/>
      <c r="G12" s="3"/>
      <c r="H12" s="3"/>
      <c r="J12" s="1" t="str">
        <f>A72</f>
        <v>C_M5_MOD.mat</v>
      </c>
      <c r="K12" s="1">
        <f>E72</f>
        <v>6.1524639153165417E-4</v>
      </c>
      <c r="L12" s="5">
        <f>G72</f>
        <v>0.10631793478260841</v>
      </c>
      <c r="M12" s="1">
        <f>F72</f>
        <v>1.1195755858894588E-4</v>
      </c>
      <c r="N12" s="5">
        <f>H72</f>
        <v>0.54014282865007168</v>
      </c>
      <c r="T12" s="2" t="s">
        <v>16</v>
      </c>
      <c r="U12" s="2">
        <v>8.0079689056374492E-4</v>
      </c>
      <c r="V12" s="6">
        <v>0.16490566037735838</v>
      </c>
      <c r="W12" s="2">
        <v>2.2303720656447956E-4</v>
      </c>
      <c r="X12" s="6">
        <v>0.93541380997219403</v>
      </c>
      <c r="AD12" s="2" t="s">
        <v>16</v>
      </c>
      <c r="AE12" s="2">
        <v>2.0306623489044209</v>
      </c>
      <c r="AF12" s="6">
        <v>0.16490566037735838</v>
      </c>
      <c r="AG12" s="4">
        <v>0.15</v>
      </c>
      <c r="AH12" s="6">
        <f>AF12/AG12</f>
        <v>1.0993710691823892</v>
      </c>
      <c r="AI12" s="2">
        <v>0.30075442753308113</v>
      </c>
      <c r="AJ12" s="6">
        <v>0.93541380997219403</v>
      </c>
    </row>
    <row r="13" spans="1:36" x14ac:dyDescent="0.2">
      <c r="A13" s="1" t="s">
        <v>3</v>
      </c>
      <c r="B13" s="1">
        <v>1.2173465061E-2</v>
      </c>
      <c r="C13" s="1">
        <v>4.7610892030000001E-3</v>
      </c>
      <c r="D13" s="1">
        <v>6.2501220727995133E-4</v>
      </c>
      <c r="E13" s="1"/>
      <c r="G13" s="1"/>
      <c r="H13" s="1"/>
      <c r="J13" s="1" t="str">
        <f>A81</f>
        <v>C_M6#2_MOD.mat</v>
      </c>
      <c r="K13" s="1">
        <f>E81</f>
        <v>5.5990676901510972E-4</v>
      </c>
      <c r="L13" s="5">
        <f>G81</f>
        <v>0.14524886877828025</v>
      </c>
      <c r="M13" s="1">
        <f>F81</f>
        <v>1.2145262021084626E-4</v>
      </c>
      <c r="N13" s="5">
        <f>H81</f>
        <v>0.80036410954764581</v>
      </c>
      <c r="T13" s="2" t="s">
        <v>18</v>
      </c>
      <c r="U13" s="2">
        <v>6.1524639152972982E-4</v>
      </c>
      <c r="V13" s="6">
        <v>0.22849968612680469</v>
      </c>
      <c r="W13" s="2">
        <v>1.1505440711785387E-4</v>
      </c>
      <c r="X13" s="6">
        <v>0.84752060591561551</v>
      </c>
      <c r="AD13" s="2" t="s">
        <v>17</v>
      </c>
      <c r="AE13" s="2">
        <v>2.8830907121228746</v>
      </c>
      <c r="AF13" s="6">
        <v>0.22849968612680469</v>
      </c>
      <c r="AG13" s="4">
        <v>0.15</v>
      </c>
      <c r="AH13" s="6">
        <f t="shared" si="0"/>
        <v>1.5233312408453645</v>
      </c>
      <c r="AI13" s="2">
        <v>0.60282382271864421</v>
      </c>
      <c r="AJ13" s="6">
        <v>0.84752060591561551</v>
      </c>
    </row>
    <row r="14" spans="1:36" x14ac:dyDescent="0.2">
      <c r="A14" s="1" t="s">
        <v>3</v>
      </c>
      <c r="B14" s="1">
        <v>1.2540849407000001E-2</v>
      </c>
      <c r="C14" s="1">
        <v>5.5312537290000009E-3</v>
      </c>
      <c r="D14" s="1">
        <v>5.2735404987913626E-4</v>
      </c>
      <c r="E14" s="1"/>
      <c r="G14" s="3"/>
      <c r="H14" s="3"/>
      <c r="J14" s="1" t="str">
        <f>A88</f>
        <v>C_M6#3_MOD.mat</v>
      </c>
      <c r="K14" s="1">
        <f>E88</f>
        <v>1.2969003300831617E-3</v>
      </c>
      <c r="L14" s="5">
        <f>G88</f>
        <v>0.14524886877828025</v>
      </c>
      <c r="M14" s="1">
        <f>F88</f>
        <v>1.2299966416059814E-3</v>
      </c>
      <c r="N14" s="5">
        <f>H88</f>
        <v>0.80036410954764581</v>
      </c>
    </row>
    <row r="15" spans="1:36" x14ac:dyDescent="0.2">
      <c r="A15" s="1" t="s">
        <v>2</v>
      </c>
      <c r="B15" s="1"/>
      <c r="C15" s="1"/>
      <c r="D15" s="1"/>
      <c r="E15" s="1"/>
      <c r="G15" s="3"/>
      <c r="H15" s="3"/>
      <c r="J15" s="1" t="str">
        <f>A94</f>
        <v>C_M6_MOD.mat</v>
      </c>
      <c r="K15" s="1">
        <f>E94</f>
        <v>6.4454383874425398E-4</v>
      </c>
      <c r="L15" s="5">
        <f>G94</f>
        <v>0.14524886877828025</v>
      </c>
      <c r="M15" s="1">
        <f>F94</f>
        <v>1.6263333263935085E-4</v>
      </c>
      <c r="N15" s="5">
        <f>H94</f>
        <v>0.80036410954764581</v>
      </c>
      <c r="V15" s="4"/>
      <c r="AF15" s="4"/>
      <c r="AG15" s="4"/>
      <c r="AH15" s="4"/>
    </row>
    <row r="16" spans="1:36" x14ac:dyDescent="0.2">
      <c r="A16" s="1" t="s">
        <v>4</v>
      </c>
      <c r="B16" s="1">
        <v>1.3780313870000001E-2</v>
      </c>
      <c r="C16" s="1">
        <v>4.7385091020000006E-3</v>
      </c>
      <c r="D16" s="1">
        <v>5.6641731283590957E-4</v>
      </c>
      <c r="E16" s="1">
        <f>AVERAGE(D16:D19)</f>
        <v>5.4200277348837034E-4</v>
      </c>
      <c r="F16" s="2">
        <f>_xlfn.STDEV.S(D16:D19)</f>
        <v>6.6474533539814177E-5</v>
      </c>
      <c r="G16" s="3">
        <v>9.0436590436590164E-2</v>
      </c>
      <c r="H16" s="3">
        <v>0.48563206852537144</v>
      </c>
      <c r="J16" s="1" t="str">
        <f>A102</f>
        <v>C_M7_MOD.mat</v>
      </c>
      <c r="K16" s="1">
        <f>E102</f>
        <v>8.0079689056374492E-4</v>
      </c>
      <c r="L16" s="5">
        <f>G102</f>
        <v>0.16490566037735838</v>
      </c>
      <c r="M16" s="1">
        <f>F102</f>
        <v>2.2303720656447956E-4</v>
      </c>
      <c r="N16" s="5">
        <f>H102</f>
        <v>0.93541380997219403</v>
      </c>
      <c r="V16" s="4"/>
      <c r="AF16" s="4"/>
      <c r="AG16" s="4"/>
      <c r="AH16" s="4"/>
    </row>
    <row r="17" spans="1:36" x14ac:dyDescent="0.2">
      <c r="A17" s="1" t="s">
        <v>4</v>
      </c>
      <c r="B17" s="1">
        <v>1.3738815306000001E-2</v>
      </c>
      <c r="C17" s="1">
        <v>5.7021301690000003E-3</v>
      </c>
      <c r="D17" s="1">
        <v>4.4922752397269505E-4</v>
      </c>
      <c r="E17" s="1"/>
      <c r="G17" s="3"/>
      <c r="H17" s="3"/>
      <c r="J17" s="1" t="str">
        <f>A109</f>
        <v>C_M8_2_MOD.mat</v>
      </c>
      <c r="K17" s="1">
        <f>E109</f>
        <v>8.5939178499603946E-4</v>
      </c>
      <c r="L17" s="5">
        <f>G109</f>
        <v>0.22849968612680469</v>
      </c>
      <c r="M17" s="1">
        <f>F109</f>
        <v>1.9982173158586181E-4</v>
      </c>
      <c r="N17" s="5">
        <f>H109</f>
        <v>0.84752060591561551</v>
      </c>
      <c r="V17" s="4"/>
      <c r="AF17" s="4"/>
      <c r="AG17" s="4"/>
      <c r="AH17" s="4"/>
    </row>
    <row r="18" spans="1:36" x14ac:dyDescent="0.2">
      <c r="A18" s="1" t="s">
        <v>4</v>
      </c>
      <c r="B18" s="1">
        <v>1.922394903E-2</v>
      </c>
      <c r="C18" s="1">
        <v>6.4155393060000001E-3</v>
      </c>
      <c r="D18" s="1">
        <v>6.0548057578557746E-4</v>
      </c>
      <c r="E18" s="1"/>
      <c r="G18" s="3"/>
      <c r="H18" s="3"/>
      <c r="J18" s="1" t="str">
        <f>A117</f>
        <v>C_M8_MOD.mat</v>
      </c>
      <c r="K18" s="1">
        <f>E117</f>
        <v>6.1524639152972982E-4</v>
      </c>
      <c r="L18" s="5">
        <f>G117</f>
        <v>0.22849968612680469</v>
      </c>
      <c r="M18" s="1">
        <f>F117</f>
        <v>1.1505440711785387E-4</v>
      </c>
      <c r="N18" s="5">
        <f>H117</f>
        <v>0.84752060591561551</v>
      </c>
      <c r="V18" s="4"/>
      <c r="AF18" s="4"/>
      <c r="AG18" s="4"/>
      <c r="AH18" s="4"/>
    </row>
    <row r="19" spans="1:36" x14ac:dyDescent="0.2">
      <c r="A19" s="1" t="s">
        <v>4</v>
      </c>
      <c r="B19" s="1">
        <v>1.6606488132999999E-2</v>
      </c>
      <c r="C19" s="1">
        <v>7.1265073510000006E-3</v>
      </c>
      <c r="D19" s="1">
        <v>5.4688568135929927E-4</v>
      </c>
      <c r="E19" s="1"/>
      <c r="G19" s="3"/>
      <c r="H19" s="3"/>
      <c r="J19" s="1"/>
      <c r="K19" s="1"/>
      <c r="L19" s="1"/>
      <c r="V19" s="4"/>
      <c r="AF19" s="4"/>
      <c r="AG19" s="4"/>
      <c r="AH19" s="4"/>
    </row>
    <row r="20" spans="1:36" x14ac:dyDescent="0.2">
      <c r="A20" s="1" t="s">
        <v>2</v>
      </c>
      <c r="B20" s="1"/>
      <c r="C20" s="1"/>
      <c r="D20" s="1"/>
      <c r="E20" s="1"/>
      <c r="G20" s="1"/>
      <c r="H20" s="1"/>
      <c r="J20" s="1"/>
      <c r="K20" s="1"/>
      <c r="L20" s="3"/>
      <c r="M20" s="1"/>
    </row>
    <row r="21" spans="1:36" x14ac:dyDescent="0.2">
      <c r="A21" s="1" t="s">
        <v>5</v>
      </c>
      <c r="B21" s="1">
        <v>1.6500300631000001E-2</v>
      </c>
      <c r="C21" s="1">
        <v>4.797705583E-3</v>
      </c>
      <c r="D21" s="1">
        <v>1.0547080997689307E-3</v>
      </c>
      <c r="E21" s="1">
        <f>AVERAGE(D21:D26)</f>
        <v>7.2267036465885803E-4</v>
      </c>
      <c r="F21" s="2">
        <f>_xlfn.STDEV.S(D21:D26)</f>
        <v>2.8678927077325882E-4</v>
      </c>
      <c r="G21" s="3">
        <v>9.0436590436590164E-2</v>
      </c>
      <c r="H21" s="3">
        <v>0.48563206852537144</v>
      </c>
      <c r="J21" s="1"/>
      <c r="K21" s="1"/>
      <c r="L21" s="3"/>
      <c r="M21" s="1"/>
    </row>
    <row r="22" spans="1:36" x14ac:dyDescent="0.2">
      <c r="A22" s="1" t="s">
        <v>5</v>
      </c>
      <c r="B22" s="1">
        <v>1.5862565345999998E-2</v>
      </c>
      <c r="C22" s="1">
        <v>5.2651747010000003E-3</v>
      </c>
      <c r="D22" s="1">
        <v>9.7658157385893674E-4</v>
      </c>
      <c r="E22" s="1"/>
      <c r="G22" s="3"/>
      <c r="H22" s="3"/>
      <c r="J22" s="1"/>
      <c r="K22" s="1"/>
      <c r="L22" s="3"/>
      <c r="M22" s="1"/>
    </row>
    <row r="23" spans="1:36" x14ac:dyDescent="0.2">
      <c r="A23" s="1" t="s">
        <v>5</v>
      </c>
      <c r="B23" s="1">
        <v>1.7433408048000001E-2</v>
      </c>
      <c r="C23" s="1">
        <v>5.7161664479999999E-3</v>
      </c>
      <c r="D23" s="1">
        <v>6.0548057579268288E-4</v>
      </c>
      <c r="E23" s="1"/>
      <c r="G23" s="3"/>
      <c r="H23" s="3"/>
      <c r="J23" s="1"/>
      <c r="K23" s="1"/>
      <c r="L23" s="3"/>
      <c r="M23" s="1"/>
    </row>
    <row r="24" spans="1:36" x14ac:dyDescent="0.2">
      <c r="A24" s="1" t="s">
        <v>5</v>
      </c>
      <c r="B24" s="1">
        <v>1.0380482987000001E-2</v>
      </c>
      <c r="C24" s="1">
        <v>4.2283208739999998E-3</v>
      </c>
      <c r="D24" s="1">
        <v>3.7110099806625385E-4</v>
      </c>
      <c r="E24" s="1"/>
      <c r="G24" s="3"/>
      <c r="H24" s="3"/>
      <c r="J24" s="1"/>
      <c r="K24" s="1"/>
      <c r="L24" s="3"/>
      <c r="M24" s="1"/>
    </row>
    <row r="25" spans="1:36" x14ac:dyDescent="0.2">
      <c r="A25" s="1" t="s">
        <v>5</v>
      </c>
      <c r="B25" s="1">
        <v>1.5576957582000001E-2</v>
      </c>
      <c r="C25" s="1">
        <v>5.2486973299999996E-3</v>
      </c>
      <c r="D25" s="1">
        <v>8.7892341647943795E-4</v>
      </c>
      <c r="E25" s="1"/>
      <c r="G25" s="3"/>
      <c r="H25" s="3"/>
    </row>
    <row r="26" spans="1:36" x14ac:dyDescent="0.2">
      <c r="A26" s="1" t="s">
        <v>5</v>
      </c>
      <c r="B26" s="1">
        <v>1.3069956098000001E-2</v>
      </c>
      <c r="C26" s="1">
        <v>4.8959595360000005E-3</v>
      </c>
      <c r="D26" s="1">
        <v>4.4922752398690591E-4</v>
      </c>
      <c r="E26" s="1"/>
      <c r="G26" s="1"/>
      <c r="H26" s="1"/>
    </row>
    <row r="27" spans="1:36" x14ac:dyDescent="0.2">
      <c r="A27" s="1" t="s">
        <v>2</v>
      </c>
      <c r="B27" s="1"/>
      <c r="C27" s="1"/>
      <c r="D27" s="1"/>
      <c r="E27" s="1"/>
      <c r="G27" s="3"/>
      <c r="H27" s="3"/>
    </row>
    <row r="28" spans="1:36" x14ac:dyDescent="0.2">
      <c r="A28" s="1" t="s">
        <v>6</v>
      </c>
      <c r="B28" s="1">
        <v>1.6243375697999999E-2</v>
      </c>
      <c r="C28" s="1">
        <v>3.5728876720000002E-3</v>
      </c>
      <c r="D28" s="1"/>
      <c r="E28" s="1">
        <f>AVERAGE(D28:D33)</f>
        <v>7.8517158538460308E-4</v>
      </c>
      <c r="F28" s="2">
        <f>_xlfn.STDEV.S(D28:D33)</f>
        <v>4.6631131023076592E-5</v>
      </c>
      <c r="G28" s="3">
        <v>0.19980314960629944</v>
      </c>
      <c r="H28" s="3">
        <v>0.89008626635008214</v>
      </c>
      <c r="AD28" s="2" t="s">
        <v>70</v>
      </c>
      <c r="AE28" s="2" t="s">
        <v>66</v>
      </c>
      <c r="AF28" s="2" t="s">
        <v>71</v>
      </c>
      <c r="AG28" s="2" t="s">
        <v>76</v>
      </c>
      <c r="AH28" s="2" t="s">
        <v>75</v>
      </c>
      <c r="AI28" s="2" t="s">
        <v>72</v>
      </c>
      <c r="AJ28" s="2" t="s">
        <v>73</v>
      </c>
    </row>
    <row r="29" spans="1:36" x14ac:dyDescent="0.2">
      <c r="A29" s="1" t="s">
        <v>6</v>
      </c>
      <c r="B29" s="1">
        <v>1.6339798831999999E-2</v>
      </c>
      <c r="C29" s="1">
        <v>4.7934336720000005E-3</v>
      </c>
      <c r="D29" s="1">
        <v>8.2032852204250162E-4</v>
      </c>
      <c r="E29" s="1"/>
      <c r="G29" s="3"/>
      <c r="H29" s="3"/>
      <c r="AD29" s="2" t="s">
        <v>1</v>
      </c>
      <c r="AE29" s="2">
        <v>2.5650682126413478</v>
      </c>
      <c r="AF29" s="6">
        <v>0.1622203098106714</v>
      </c>
      <c r="AG29" s="4">
        <v>0.18099999999999999</v>
      </c>
      <c r="AH29" s="6">
        <v>0.89624480558381991</v>
      </c>
      <c r="AI29" s="2">
        <v>0.14533248039048227</v>
      </c>
      <c r="AJ29" s="6">
        <v>0.72146316810745281</v>
      </c>
    </row>
    <row r="30" spans="1:36" x14ac:dyDescent="0.2">
      <c r="A30" s="1" t="s">
        <v>6</v>
      </c>
      <c r="B30" s="1">
        <v>1.5466498169E-2</v>
      </c>
      <c r="C30" s="1">
        <v>4.3760069399999997E-3</v>
      </c>
      <c r="D30" s="1">
        <v>7.226703646558974E-4</v>
      </c>
      <c r="E30" s="1"/>
      <c r="G30" s="3"/>
      <c r="H30" s="3"/>
      <c r="AD30" s="2" t="s">
        <v>6</v>
      </c>
      <c r="AE30" s="2">
        <v>3.7188004175787275</v>
      </c>
      <c r="AF30" s="6">
        <v>0.19980314960629944</v>
      </c>
      <c r="AG30" s="4">
        <v>0.18099999999999999</v>
      </c>
      <c r="AH30" s="6">
        <v>1.1038848044546932</v>
      </c>
      <c r="AI30" s="2">
        <v>0.42785092601437319</v>
      </c>
      <c r="AJ30" s="6">
        <v>0.89008626635008214</v>
      </c>
    </row>
    <row r="31" spans="1:36" x14ac:dyDescent="0.2">
      <c r="A31" s="1" t="s">
        <v>6</v>
      </c>
      <c r="B31" s="1">
        <v>1.8339053179999999E-2</v>
      </c>
      <c r="C31" s="1">
        <v>4.844086331E-3</v>
      </c>
      <c r="D31" s="1">
        <v>8.3986015351911192E-4</v>
      </c>
      <c r="E31" s="1"/>
      <c r="G31" s="3"/>
      <c r="H31" s="3"/>
      <c r="AD31" s="2" t="s">
        <v>8</v>
      </c>
      <c r="AE31" s="2">
        <v>3.3843681758450024</v>
      </c>
      <c r="AF31" s="6">
        <v>0.26691858467880425</v>
      </c>
      <c r="AG31" s="4">
        <v>0.18099999999999999</v>
      </c>
      <c r="AH31" s="6">
        <v>1.474688313142565</v>
      </c>
      <c r="AI31" s="2">
        <v>0.36023316880429535</v>
      </c>
      <c r="AJ31" s="6">
        <v>0.93239651547725655</v>
      </c>
    </row>
    <row r="32" spans="1:36" x14ac:dyDescent="0.2">
      <c r="A32" s="1" t="s">
        <v>6</v>
      </c>
      <c r="B32" s="1">
        <v>1.6563158750000001E-2</v>
      </c>
      <c r="C32" s="1">
        <v>4.8294397790000004E-3</v>
      </c>
      <c r="D32" s="1">
        <v>7.6173362761267072E-4</v>
      </c>
      <c r="E32" s="1"/>
      <c r="G32" s="3"/>
      <c r="H32" s="3"/>
      <c r="AD32" s="2" t="s">
        <v>10</v>
      </c>
      <c r="AE32" s="2">
        <v>2.4957530617775538</v>
      </c>
      <c r="AF32" s="6">
        <v>0.11699064074874009</v>
      </c>
      <c r="AG32" s="4">
        <v>0.18099999999999999</v>
      </c>
      <c r="AH32" s="6">
        <v>0.64635713120850879</v>
      </c>
      <c r="AI32" s="2">
        <v>0.47831813891511588</v>
      </c>
      <c r="AJ32" s="6">
        <v>0.45406540028031028</v>
      </c>
    </row>
    <row r="33" spans="1:36" x14ac:dyDescent="0.2">
      <c r="A33" s="1" t="s">
        <v>6</v>
      </c>
      <c r="B33" s="1">
        <v>1.640448777E-2</v>
      </c>
      <c r="C33" s="1">
        <v>4.54688338E-3</v>
      </c>
      <c r="D33" s="1">
        <v>7.8126525909283373E-4</v>
      </c>
      <c r="E33" s="1"/>
      <c r="G33" s="1"/>
      <c r="H33" s="1"/>
      <c r="AD33" s="2" t="s">
        <v>12</v>
      </c>
      <c r="AE33" s="2">
        <v>2.0158880434200936</v>
      </c>
      <c r="AF33" s="6">
        <v>0.10631793478260841</v>
      </c>
      <c r="AG33" s="4">
        <v>0.15</v>
      </c>
      <c r="AH33" s="6">
        <v>0.70878623188405609</v>
      </c>
      <c r="AI33" s="2">
        <v>0.32242117742333626</v>
      </c>
      <c r="AJ33" s="6">
        <v>0.54014282865007168</v>
      </c>
    </row>
    <row r="34" spans="1:36" x14ac:dyDescent="0.2">
      <c r="A34" s="1" t="s">
        <v>2</v>
      </c>
      <c r="B34" s="1"/>
      <c r="C34" s="1"/>
      <c r="D34" s="1"/>
      <c r="E34" s="1"/>
      <c r="G34" s="3"/>
      <c r="H34" s="3"/>
      <c r="AD34" s="2" t="s">
        <v>13</v>
      </c>
      <c r="AE34" s="2">
        <v>2.0417622203199088</v>
      </c>
      <c r="AF34" s="6">
        <v>0.14524886877828025</v>
      </c>
      <c r="AG34" s="4">
        <v>0.15</v>
      </c>
      <c r="AH34" s="6">
        <v>0.96832579185520173</v>
      </c>
      <c r="AI34" s="2">
        <v>0.2603831055085693</v>
      </c>
      <c r="AJ34" s="6">
        <v>0.80036410954764581</v>
      </c>
    </row>
    <row r="35" spans="1:36" x14ac:dyDescent="0.2">
      <c r="A35" s="1" t="s">
        <v>7</v>
      </c>
      <c r="B35" s="1">
        <v>1.7163667381999998E-2</v>
      </c>
      <c r="C35" s="1">
        <v>6.3172853529999996E-3</v>
      </c>
      <c r="D35" s="1">
        <v>4.8829078692946837E-4</v>
      </c>
      <c r="E35" s="1">
        <f>AVERAGE(D35:D40)</f>
        <v>4.2969589249786111E-4</v>
      </c>
      <c r="F35" s="2">
        <f>_xlfn.STDEV.S(D35:D40)</f>
        <v>8.6470218641584239E-5</v>
      </c>
      <c r="G35" s="3">
        <v>0.1508515815085158</v>
      </c>
      <c r="H35" s="3">
        <v>0.87703463949314364</v>
      </c>
      <c r="AD35" s="2" t="s">
        <v>16</v>
      </c>
      <c r="AE35" s="2">
        <v>2.0306623489044209</v>
      </c>
      <c r="AF35" s="6">
        <v>0.16490566037735838</v>
      </c>
      <c r="AG35" s="4">
        <v>0.15</v>
      </c>
      <c r="AH35" s="6">
        <v>1.0993710691823892</v>
      </c>
      <c r="AI35" s="2">
        <v>0.30075442753308113</v>
      </c>
      <c r="AJ35" s="6">
        <v>0.93541380997219403</v>
      </c>
    </row>
    <row r="36" spans="1:36" x14ac:dyDescent="0.2">
      <c r="A36" s="1" t="s">
        <v>7</v>
      </c>
      <c r="B36" s="1">
        <v>1.5933357014000001E-2</v>
      </c>
      <c r="C36" s="1">
        <v>7.0746341460000001E-3</v>
      </c>
      <c r="D36" s="1">
        <v>4.6875915545285807E-4</v>
      </c>
      <c r="E36" s="1"/>
      <c r="G36" s="3"/>
      <c r="H36" s="3"/>
      <c r="AD36" s="2" t="s">
        <v>17</v>
      </c>
      <c r="AE36" s="2">
        <v>2.8830907121228746</v>
      </c>
      <c r="AF36" s="6">
        <v>0.22849968612680469</v>
      </c>
      <c r="AG36" s="4">
        <v>0.15</v>
      </c>
      <c r="AH36" s="6">
        <v>1.5233312408453645</v>
      </c>
      <c r="AI36" s="2">
        <v>0.60282382271864421</v>
      </c>
      <c r="AJ36" s="6">
        <v>0.84752060591561551</v>
      </c>
    </row>
    <row r="37" spans="1:36" x14ac:dyDescent="0.2">
      <c r="A37" s="1" t="s">
        <v>7</v>
      </c>
      <c r="B37" s="1">
        <v>6.4265242200000003E-3</v>
      </c>
      <c r="C37" s="1">
        <v>2.4115381530000002E-3</v>
      </c>
      <c r="D37" s="1">
        <v>2.7344284067964963E-4</v>
      </c>
      <c r="E37" s="1"/>
      <c r="G37" s="3"/>
      <c r="H37" s="3"/>
      <c r="AD37" s="2" t="s">
        <v>4</v>
      </c>
      <c r="AE37" s="2">
        <v>2.6610701832437287</v>
      </c>
      <c r="AF37" s="6">
        <v>9.0436590436590164E-2</v>
      </c>
      <c r="AG37" s="4">
        <v>0.14499999999999999</v>
      </c>
      <c r="AH37" s="6">
        <v>0.62370062370062185</v>
      </c>
      <c r="AI37" s="2">
        <v>0.33976318685894813</v>
      </c>
      <c r="AJ37" s="6">
        <v>0.48563206852537144</v>
      </c>
    </row>
    <row r="38" spans="1:36" x14ac:dyDescent="0.2">
      <c r="A38" s="1" t="s">
        <v>7</v>
      </c>
      <c r="B38" s="1">
        <v>1.8338442906999999E-2</v>
      </c>
      <c r="C38" s="1">
        <v>8.2610048579999998E-3</v>
      </c>
      <c r="D38" s="1">
        <v>5.0782241840607867E-4</v>
      </c>
      <c r="E38" s="1"/>
      <c r="G38" s="3"/>
      <c r="H38" s="3"/>
      <c r="AD38" s="2" t="s">
        <v>7</v>
      </c>
      <c r="AE38" s="2">
        <v>2.3321449284662177</v>
      </c>
      <c r="AF38" s="6">
        <v>0.1508515815085158</v>
      </c>
      <c r="AG38" s="4">
        <v>0.14499999999999999</v>
      </c>
      <c r="AH38" s="6">
        <v>1.0403557345414882</v>
      </c>
      <c r="AI38" s="2">
        <v>0.2883705128405239</v>
      </c>
      <c r="AJ38" s="6">
        <v>0.87703463949314364</v>
      </c>
    </row>
    <row r="39" spans="1:36" x14ac:dyDescent="0.2">
      <c r="A39" s="1" t="s">
        <v>7</v>
      </c>
      <c r="B39" s="1">
        <v>1.3962175224000001E-2</v>
      </c>
      <c r="C39" s="1">
        <v>6.738983996E-3</v>
      </c>
      <c r="D39" s="1">
        <v>4.4922752397269505E-4</v>
      </c>
      <c r="E39" s="1"/>
      <c r="G39" s="3"/>
      <c r="H39" s="3"/>
      <c r="AD39" s="2" t="s">
        <v>9</v>
      </c>
      <c r="AE39" s="2">
        <v>2.9639171140714216</v>
      </c>
      <c r="AF39" s="6">
        <v>0.18550811785929003</v>
      </c>
      <c r="AG39" s="4">
        <v>0.14499999999999999</v>
      </c>
      <c r="AH39" s="6">
        <v>1.2793663300640692</v>
      </c>
      <c r="AI39" s="2">
        <v>0.49394238598869122</v>
      </c>
      <c r="AJ39" s="6">
        <v>0.97821310228622105</v>
      </c>
    </row>
    <row r="40" spans="1:36" x14ac:dyDescent="0.2">
      <c r="A40" s="1" t="s">
        <v>7</v>
      </c>
      <c r="B40" s="1">
        <v>1.6756005017999998E-2</v>
      </c>
      <c r="C40" s="1">
        <v>8.1059955160000009E-3</v>
      </c>
      <c r="D40" s="1">
        <v>3.9063262954641687E-4</v>
      </c>
      <c r="E40" s="1"/>
      <c r="G40" s="1"/>
      <c r="H40" s="1"/>
      <c r="AD40" s="2" t="s">
        <v>11</v>
      </c>
      <c r="AE40" s="2">
        <v>4.120947298491358</v>
      </c>
      <c r="AF40" s="6">
        <v>0.22477693891557984</v>
      </c>
      <c r="AG40" s="4">
        <v>0.14499999999999999</v>
      </c>
      <c r="AH40" s="6">
        <v>1.5501857856246888</v>
      </c>
      <c r="AI40" s="2">
        <v>0.46424785685652692</v>
      </c>
      <c r="AJ40" s="6">
        <v>0.97159218533661007</v>
      </c>
    </row>
    <row r="41" spans="1:36" x14ac:dyDescent="0.2">
      <c r="A41" s="1" t="s">
        <v>2</v>
      </c>
      <c r="B41" s="1"/>
      <c r="C41" s="1"/>
      <c r="D41" s="1"/>
      <c r="E41" s="1"/>
      <c r="G41" s="3"/>
      <c r="H41" s="3"/>
    </row>
    <row r="42" spans="1:36" x14ac:dyDescent="0.2">
      <c r="A42" s="1" t="s">
        <v>8</v>
      </c>
      <c r="B42" s="1">
        <v>2.0035612119999997E-2</v>
      </c>
      <c r="C42" s="1">
        <v>5.2358815970000002E-3</v>
      </c>
      <c r="D42" s="1">
        <v>8.3986015351911192E-4</v>
      </c>
      <c r="E42" s="1">
        <f>AVERAGE(D42:D45)</f>
        <v>7.8126525908484012E-4</v>
      </c>
      <c r="F42" s="2">
        <f>_xlfn.STDEV.S(D42:D45)</f>
        <v>7.9737551605864093E-5</v>
      </c>
      <c r="G42" s="3">
        <v>0.26691858467880425</v>
      </c>
      <c r="H42" s="3">
        <v>0.93239651547725655</v>
      </c>
    </row>
    <row r="43" spans="1:36" x14ac:dyDescent="0.2">
      <c r="A43" s="1" t="s">
        <v>8</v>
      </c>
      <c r="B43" s="1">
        <v>1.7452326511E-2</v>
      </c>
      <c r="C43" s="1">
        <v>5.9273209060000005E-3</v>
      </c>
      <c r="D43" s="1">
        <v>7.0313873317573439E-4</v>
      </c>
      <c r="E43" s="1"/>
      <c r="G43" s="3"/>
      <c r="H43" s="3"/>
    </row>
    <row r="44" spans="1:36" x14ac:dyDescent="0.2">
      <c r="A44" s="1" t="s">
        <v>8</v>
      </c>
      <c r="B44" s="1">
        <v>2.0312065788999998E-2</v>
      </c>
      <c r="C44" s="1">
        <v>5.9883482060000002E-3</v>
      </c>
      <c r="D44" s="1">
        <v>8.5939178499216951E-4</v>
      </c>
      <c r="E44" s="1"/>
      <c r="G44" s="3"/>
      <c r="H44" s="3"/>
    </row>
    <row r="45" spans="1:36" x14ac:dyDescent="0.2">
      <c r="A45" s="1" t="s">
        <v>8</v>
      </c>
      <c r="B45" s="1">
        <v>1.8517252896000001E-2</v>
      </c>
      <c r="C45" s="1">
        <v>5.4873140730000002E-3</v>
      </c>
      <c r="D45" s="1">
        <v>7.2267036465234469E-4</v>
      </c>
      <c r="E45" s="1"/>
      <c r="G45" s="3"/>
      <c r="H45" s="3"/>
    </row>
    <row r="46" spans="1:36" x14ac:dyDescent="0.2">
      <c r="A46" s="1" t="s">
        <v>2</v>
      </c>
      <c r="B46" s="1"/>
      <c r="C46" s="1"/>
      <c r="D46" s="1"/>
      <c r="E46" s="1"/>
      <c r="G46" s="3"/>
      <c r="H46" s="3"/>
    </row>
    <row r="47" spans="1:36" x14ac:dyDescent="0.2">
      <c r="A47" s="1" t="s">
        <v>9</v>
      </c>
      <c r="B47" s="1">
        <v>1.6976313571000001E-2</v>
      </c>
      <c r="C47" s="1">
        <v>4.175227123E-3</v>
      </c>
      <c r="D47" s="1">
        <v>7.422019961325077E-4</v>
      </c>
      <c r="E47" s="1">
        <f>AVERAGE(D47:D53)</f>
        <v>5.8315871124798538E-4</v>
      </c>
      <c r="F47" s="2">
        <f>_xlfn.STDEV.S(D47:D53)</f>
        <v>7.7660094718897654E-5</v>
      </c>
      <c r="G47" s="3">
        <v>0.18550811785929003</v>
      </c>
      <c r="H47" s="3">
        <v>0.97821310228622105</v>
      </c>
    </row>
    <row r="48" spans="1:36" x14ac:dyDescent="0.2">
      <c r="A48" s="1" t="s">
        <v>9</v>
      </c>
      <c r="B48" s="1">
        <v>1.5511048098E-2</v>
      </c>
      <c r="C48" s="1">
        <v>5.5892296640000002E-3</v>
      </c>
      <c r="D48" s="1">
        <v>5.4688568135929927E-4</v>
      </c>
      <c r="E48" s="1"/>
      <c r="G48" s="3"/>
      <c r="H48" s="3"/>
    </row>
    <row r="49" spans="1:8" x14ac:dyDescent="0.2">
      <c r="A49" s="1" t="s">
        <v>9</v>
      </c>
      <c r="B49" s="1">
        <v>1.7836188228E-2</v>
      </c>
      <c r="C49" s="1">
        <v>6.1531219160000008E-3</v>
      </c>
      <c r="D49" s="1">
        <v>5.6641731283235686E-4</v>
      </c>
      <c r="E49" s="1"/>
      <c r="G49" s="3"/>
      <c r="H49" s="3"/>
    </row>
    <row r="50" spans="1:8" x14ac:dyDescent="0.2">
      <c r="A50" s="1" t="s">
        <v>9</v>
      </c>
      <c r="B50" s="1">
        <v>1.7571329746000001E-2</v>
      </c>
      <c r="C50" s="1">
        <v>6.5967903869999997E-3</v>
      </c>
      <c r="D50" s="1">
        <v>6.0548057579268288E-4</v>
      </c>
      <c r="E50" s="1"/>
      <c r="G50" s="3"/>
      <c r="H50" s="3"/>
    </row>
    <row r="51" spans="1:8" x14ac:dyDescent="0.2">
      <c r="A51" s="1" t="s">
        <v>9</v>
      </c>
      <c r="B51" s="1">
        <v>1.8146206912000001E-2</v>
      </c>
      <c r="C51" s="1">
        <v>6.4448324100000003E-3</v>
      </c>
      <c r="D51" s="1">
        <v>5.0782241840607867E-4</v>
      </c>
      <c r="E51" s="1"/>
      <c r="G51" s="3"/>
      <c r="H51" s="3"/>
    </row>
    <row r="52" spans="1:8" x14ac:dyDescent="0.2">
      <c r="A52" s="1" t="s">
        <v>9</v>
      </c>
      <c r="B52" s="1">
        <v>1.6187840855E-2</v>
      </c>
      <c r="C52" s="1">
        <v>6.061580966E-3</v>
      </c>
      <c r="D52" s="1">
        <v>5.2735404989334711E-4</v>
      </c>
      <c r="E52" s="1"/>
      <c r="G52" s="3"/>
      <c r="H52" s="3"/>
    </row>
    <row r="53" spans="1:8" x14ac:dyDescent="0.2">
      <c r="A53" s="1" t="s">
        <v>9</v>
      </c>
      <c r="B53" s="1">
        <v>1.8627102036000001E-2</v>
      </c>
      <c r="C53" s="1">
        <v>6.5180651700000002E-3</v>
      </c>
      <c r="D53" s="1">
        <v>5.859489443196253E-4</v>
      </c>
      <c r="E53" s="1"/>
      <c r="G53" s="3"/>
      <c r="H53" s="3"/>
    </row>
    <row r="54" spans="1:8" x14ac:dyDescent="0.2">
      <c r="A54" s="1" t="s">
        <v>2</v>
      </c>
      <c r="B54" s="1"/>
      <c r="C54" s="1"/>
      <c r="D54" s="1"/>
      <c r="E54" s="1"/>
      <c r="G54" s="1"/>
      <c r="H54" s="1"/>
    </row>
    <row r="55" spans="1:8" x14ac:dyDescent="0.2">
      <c r="A55" s="1" t="s">
        <v>10</v>
      </c>
      <c r="B55" s="1">
        <v>1.4357632128E-2</v>
      </c>
      <c r="C55" s="1">
        <v>4.6536811550000005E-3</v>
      </c>
      <c r="D55" s="1">
        <v>6.0548057579268288E-4</v>
      </c>
      <c r="E55" s="1">
        <f>AVERAGE(D55:D62)</f>
        <v>6.9337291744142604E-4</v>
      </c>
      <c r="F55" s="2">
        <f>_xlfn.STDEV.S(D55:D62)</f>
        <v>6.4357075026183258E-5</v>
      </c>
      <c r="G55" s="3">
        <v>0.11699064074874009</v>
      </c>
      <c r="H55" s="3">
        <v>0.45406540028031028</v>
      </c>
    </row>
    <row r="56" spans="1:8" x14ac:dyDescent="0.2">
      <c r="A56" s="1" t="s">
        <v>10</v>
      </c>
      <c r="B56" s="1">
        <v>1.5896130360999999E-2</v>
      </c>
      <c r="C56" s="1">
        <v>4.9411197380000004E-3</v>
      </c>
      <c r="D56" s="1">
        <v>7.226703646558974E-4</v>
      </c>
      <c r="E56" s="1"/>
      <c r="G56" s="3"/>
      <c r="H56" s="3"/>
    </row>
    <row r="57" spans="1:8" x14ac:dyDescent="0.2">
      <c r="A57" s="1" t="s">
        <v>10</v>
      </c>
      <c r="B57" s="1">
        <v>1.6363599478999999E-2</v>
      </c>
      <c r="C57" s="1">
        <v>6.0152002180000001E-3</v>
      </c>
      <c r="D57" s="1">
        <v>6.0548057579268288E-4</v>
      </c>
      <c r="E57" s="1"/>
      <c r="G57" s="3"/>
      <c r="H57" s="3"/>
    </row>
    <row r="58" spans="1:8" x14ac:dyDescent="0.2">
      <c r="A58" s="1" t="s">
        <v>10</v>
      </c>
      <c r="B58" s="1">
        <v>1.8074804970999999E-2</v>
      </c>
      <c r="C58" s="1">
        <v>7.6519524040000002E-3</v>
      </c>
      <c r="D58" s="1">
        <v>7.031387331792871E-4</v>
      </c>
      <c r="E58" s="1"/>
      <c r="G58" s="3"/>
      <c r="H58" s="3"/>
    </row>
    <row r="59" spans="1:8" x14ac:dyDescent="0.2">
      <c r="A59" s="1" t="s">
        <v>10</v>
      </c>
      <c r="B59" s="1">
        <v>1.8418998943E-2</v>
      </c>
      <c r="C59" s="1">
        <v>7.9924847380000007E-3</v>
      </c>
      <c r="D59" s="1">
        <v>6.8360710169912409E-4</v>
      </c>
      <c r="E59" s="1"/>
      <c r="G59" s="3"/>
      <c r="H59" s="3"/>
    </row>
    <row r="60" spans="1:8" x14ac:dyDescent="0.2">
      <c r="A60" s="1" t="s">
        <v>10</v>
      </c>
      <c r="B60" s="1">
        <v>1.7015371043000001E-2</v>
      </c>
      <c r="C60" s="1">
        <v>8.7370177980000008E-3</v>
      </c>
      <c r="D60" s="1">
        <v>6.8360710170622951E-4</v>
      </c>
      <c r="E60" s="1"/>
      <c r="G60" s="3"/>
      <c r="H60" s="3"/>
    </row>
    <row r="61" spans="1:8" x14ac:dyDescent="0.2">
      <c r="A61" s="1" t="s">
        <v>10</v>
      </c>
      <c r="B61" s="1">
        <v>1.5747834022000001E-2</v>
      </c>
      <c r="C61" s="1">
        <v>8.1542070830000011E-3</v>
      </c>
      <c r="D61" s="1">
        <v>7.8126525909283373E-4</v>
      </c>
      <c r="E61" s="1"/>
      <c r="G61" s="1"/>
      <c r="H61" s="1"/>
    </row>
    <row r="62" spans="1:8" x14ac:dyDescent="0.2">
      <c r="A62" s="1" t="s">
        <v>10</v>
      </c>
      <c r="B62" s="1">
        <v>1.7750139735E-2</v>
      </c>
      <c r="C62" s="1">
        <v>7.4023507470000003E-3</v>
      </c>
      <c r="D62" s="1">
        <v>7.6173362761267072E-4</v>
      </c>
      <c r="E62" s="1"/>
      <c r="G62" s="3"/>
      <c r="H62" s="3"/>
    </row>
    <row r="63" spans="1:8" x14ac:dyDescent="0.2">
      <c r="A63" s="1" t="s">
        <v>2</v>
      </c>
      <c r="B63" s="1"/>
      <c r="C63" s="1"/>
      <c r="D63" s="1"/>
      <c r="E63" s="1"/>
      <c r="G63" s="3"/>
      <c r="H63" s="3"/>
    </row>
    <row r="64" spans="1:8" x14ac:dyDescent="0.2">
      <c r="A64" s="1" t="s">
        <v>11</v>
      </c>
      <c r="B64" s="1">
        <v>1.8285959429E-2</v>
      </c>
      <c r="C64" s="1">
        <v>2.3859066870000004E-3</v>
      </c>
      <c r="D64" s="1"/>
      <c r="E64" s="1">
        <f>AVERAGE(D64:D70)</f>
        <v>6.7709655787714007E-4</v>
      </c>
      <c r="F64" s="2">
        <f>_xlfn.STDEV.S(D64:D70)</f>
        <v>5.3370577631918004E-5</v>
      </c>
      <c r="G64" s="3">
        <v>0.22477693891557984</v>
      </c>
      <c r="H64" s="3">
        <v>0.97159218533661007</v>
      </c>
    </row>
    <row r="65" spans="1:8" x14ac:dyDescent="0.2">
      <c r="A65" s="1" t="s">
        <v>11</v>
      </c>
      <c r="B65" s="1">
        <v>1.7985705112999999E-2</v>
      </c>
      <c r="C65" s="1">
        <v>4.0531725229999999E-3</v>
      </c>
      <c r="D65" s="1">
        <v>6.8360710169912409E-4</v>
      </c>
      <c r="E65" s="1"/>
      <c r="G65" s="3"/>
      <c r="H65" s="3"/>
    </row>
    <row r="66" spans="1:8" x14ac:dyDescent="0.2">
      <c r="A66" s="1" t="s">
        <v>11</v>
      </c>
      <c r="B66" s="1">
        <v>2.1344037431999998E-2</v>
      </c>
      <c r="C66" s="1">
        <v>4.6658866149999999E-3</v>
      </c>
      <c r="D66" s="1">
        <v>7.4220199613961313E-4</v>
      </c>
      <c r="E66" s="1"/>
      <c r="G66" s="3"/>
      <c r="H66" s="3"/>
    </row>
    <row r="67" spans="1:8" x14ac:dyDescent="0.2">
      <c r="A67" s="1" t="s">
        <v>11</v>
      </c>
      <c r="B67" s="1">
        <v>2.0770991084999999E-2</v>
      </c>
      <c r="C67" s="1">
        <v>4.5676326620000002E-3</v>
      </c>
      <c r="D67" s="1">
        <v>6.8360710169912409E-4</v>
      </c>
      <c r="E67" s="1"/>
      <c r="G67" s="3"/>
      <c r="H67" s="3"/>
    </row>
    <row r="68" spans="1:8" x14ac:dyDescent="0.2">
      <c r="A68" s="1" t="s">
        <v>11</v>
      </c>
      <c r="B68" s="1">
        <v>1.5204691052000001E-2</v>
      </c>
      <c r="C68" s="1">
        <v>4.1056560010000005E-3</v>
      </c>
      <c r="D68" s="1">
        <v>6.250122072728459E-4</v>
      </c>
      <c r="E68" s="1"/>
      <c r="G68" s="1"/>
      <c r="H68" s="1"/>
    </row>
    <row r="69" spans="1:8" x14ac:dyDescent="0.2">
      <c r="A69" s="1" t="s">
        <v>11</v>
      </c>
      <c r="B69" s="1">
        <v>1.4868430629E-2</v>
      </c>
      <c r="C69" s="1">
        <v>4.2545626130000005E-3</v>
      </c>
      <c r="D69" s="1">
        <v>6.0548057579978831E-4</v>
      </c>
      <c r="E69" s="1"/>
      <c r="G69" s="3"/>
      <c r="H69" s="3"/>
    </row>
    <row r="70" spans="1:8" x14ac:dyDescent="0.2">
      <c r="A70" s="1" t="s">
        <v>11</v>
      </c>
      <c r="B70" s="1">
        <v>1.8144986366E-2</v>
      </c>
      <c r="C70" s="1">
        <v>4.5725148460000007E-3</v>
      </c>
      <c r="D70" s="1">
        <v>7.2267036465234469E-4</v>
      </c>
      <c r="E70" s="1"/>
      <c r="G70" s="3"/>
      <c r="H70" s="3"/>
    </row>
    <row r="71" spans="1:8" x14ac:dyDescent="0.2">
      <c r="A71" s="1" t="s">
        <v>2</v>
      </c>
      <c r="B71" s="1"/>
      <c r="C71" s="1"/>
      <c r="D71" s="1"/>
      <c r="E71" s="1"/>
      <c r="G71" s="3"/>
      <c r="H71" s="3"/>
    </row>
    <row r="72" spans="1:8" x14ac:dyDescent="0.2">
      <c r="A72" s="1" t="s">
        <v>12</v>
      </c>
      <c r="B72" s="1">
        <v>1.5935187832999999E-2</v>
      </c>
      <c r="C72" s="1">
        <v>5.9675989240000008E-3</v>
      </c>
      <c r="D72" s="1">
        <v>8.5939178499572222E-4</v>
      </c>
      <c r="E72" s="1">
        <f>AVERAGE(D72:D79)</f>
        <v>6.1524639153165417E-4</v>
      </c>
      <c r="F72" s="2">
        <f>_xlfn.STDEV.S(D72:D79)</f>
        <v>1.1195755858894588E-4</v>
      </c>
      <c r="G72" s="3">
        <v>0.10631793478260841</v>
      </c>
      <c r="H72" s="3">
        <v>0.54014282865007168</v>
      </c>
    </row>
    <row r="73" spans="1:8" x14ac:dyDescent="0.2">
      <c r="A73" s="1" t="s">
        <v>12</v>
      </c>
      <c r="B73" s="1">
        <v>1.8417168123999999E-2</v>
      </c>
      <c r="C73" s="1">
        <v>8.7797369079999996E-3</v>
      </c>
      <c r="D73" s="1">
        <v>6.4454383874767984E-4</v>
      </c>
      <c r="E73" s="1"/>
      <c r="G73" s="3"/>
      <c r="H73" s="3"/>
    </row>
    <row r="74" spans="1:8" x14ac:dyDescent="0.2">
      <c r="A74" s="1" t="s">
        <v>12</v>
      </c>
      <c r="B74" s="1">
        <v>1.5877211897999999E-2</v>
      </c>
      <c r="C74" s="1">
        <v>7.1130813450000002E-3</v>
      </c>
      <c r="D74" s="1">
        <v>4.6875915545285807E-4</v>
      </c>
      <c r="E74" s="1"/>
      <c r="G74" s="3"/>
      <c r="H74" s="3"/>
    </row>
    <row r="75" spans="1:8" x14ac:dyDescent="0.2">
      <c r="A75" s="1" t="s">
        <v>12</v>
      </c>
      <c r="B75" s="1">
        <v>1.7140477008000001E-2</v>
      </c>
      <c r="C75" s="1">
        <v>8.412962835000001E-3</v>
      </c>
      <c r="D75" s="1">
        <v>5.6641731283946228E-4</v>
      </c>
      <c r="E75" s="1"/>
      <c r="G75" s="1"/>
      <c r="H75" s="1"/>
    </row>
    <row r="76" spans="1:8" x14ac:dyDescent="0.2">
      <c r="A76" s="1" t="s">
        <v>12</v>
      </c>
      <c r="B76" s="1">
        <v>1.6774923481000001E-2</v>
      </c>
      <c r="C76" s="1">
        <v>9.3918407270000004E-3</v>
      </c>
      <c r="D76" s="1">
        <v>5.8594894431251987E-4</v>
      </c>
      <c r="E76" s="1"/>
      <c r="G76" s="3"/>
      <c r="H76" s="3"/>
    </row>
    <row r="77" spans="1:8" x14ac:dyDescent="0.2">
      <c r="A77" s="1" t="s">
        <v>12</v>
      </c>
      <c r="B77" s="1">
        <v>1.8312811440999999E-2</v>
      </c>
      <c r="C77" s="1">
        <v>1.0087551946999999E-2</v>
      </c>
      <c r="D77" s="1">
        <v>6.0548057579978831E-4</v>
      </c>
      <c r="E77" s="1"/>
      <c r="G77" s="3"/>
      <c r="H77" s="3"/>
    </row>
    <row r="78" spans="1:8" x14ac:dyDescent="0.2">
      <c r="A78" s="1" t="s">
        <v>12</v>
      </c>
      <c r="B78" s="1">
        <v>1.8557530914E-2</v>
      </c>
      <c r="C78" s="1">
        <v>1.0350579610000001E-2</v>
      </c>
      <c r="D78" s="1">
        <v>6.2501220726574047E-4</v>
      </c>
      <c r="E78" s="1"/>
      <c r="G78" s="3"/>
      <c r="H78" s="3"/>
    </row>
    <row r="79" spans="1:8" x14ac:dyDescent="0.2">
      <c r="A79" s="1" t="s">
        <v>12</v>
      </c>
      <c r="B79" s="1">
        <v>1.7374821839999999E-2</v>
      </c>
      <c r="C79" s="1">
        <v>1.0249274292E-2</v>
      </c>
      <c r="D79" s="1">
        <v>5.6641731283946228E-4</v>
      </c>
      <c r="E79" s="1"/>
      <c r="G79" s="3"/>
      <c r="H79" s="3"/>
    </row>
    <row r="80" spans="1:8" x14ac:dyDescent="0.2">
      <c r="A80" s="1" t="s">
        <v>2</v>
      </c>
      <c r="B80" s="1"/>
      <c r="C80" s="1"/>
      <c r="D80" s="1"/>
      <c r="E80" s="1"/>
      <c r="G80" s="3"/>
      <c r="H80" s="3"/>
    </row>
    <row r="81" spans="1:8" x14ac:dyDescent="0.2">
      <c r="A81" s="1" t="s">
        <v>13</v>
      </c>
      <c r="B81" s="1">
        <v>1.1146985875000001E-2</v>
      </c>
      <c r="C81" s="1">
        <v>4.9728539339999999E-3</v>
      </c>
      <c r="D81" s="1">
        <v>4.6875915545285807E-4</v>
      </c>
      <c r="E81" s="1">
        <f>AVERAGE(D81:D86)</f>
        <v>5.5990676901510972E-4</v>
      </c>
      <c r="F81" s="2">
        <f>_xlfn.STDEV.S(D81:D86)</f>
        <v>1.2145262021084626E-4</v>
      </c>
      <c r="G81" s="3">
        <v>0.14524886877828025</v>
      </c>
      <c r="H81" s="3">
        <v>0.80036410954764581</v>
      </c>
    </row>
    <row r="82" spans="1:8" x14ac:dyDescent="0.2">
      <c r="A82" s="1" t="s">
        <v>13</v>
      </c>
      <c r="B82" s="1">
        <v>8.8639545820000006E-3</v>
      </c>
      <c r="C82" s="1">
        <v>4.7720741170000002E-3</v>
      </c>
      <c r="D82" s="1">
        <v>3.7110099806625385E-4</v>
      </c>
      <c r="E82" s="1"/>
      <c r="G82" s="1"/>
      <c r="H82" s="1"/>
    </row>
    <row r="83" spans="1:8" x14ac:dyDescent="0.2">
      <c r="A83" s="1" t="s">
        <v>13</v>
      </c>
      <c r="B83" s="1">
        <v>1.1959259238000002E-2</v>
      </c>
      <c r="C83" s="1">
        <v>5.1004009910000005E-3</v>
      </c>
      <c r="D83" s="1">
        <v>5.6641731283946228E-4</v>
      </c>
      <c r="E83" s="1"/>
      <c r="G83" s="3"/>
      <c r="H83" s="3"/>
    </row>
    <row r="84" spans="1:8" x14ac:dyDescent="0.2">
      <c r="A84" s="1" t="s">
        <v>13</v>
      </c>
      <c r="B84" s="1">
        <v>1.9995944374999998E-2</v>
      </c>
      <c r="C84" s="1">
        <v>8.9262024279999994E-3</v>
      </c>
      <c r="D84" s="1">
        <v>7.0313873318639253E-4</v>
      </c>
      <c r="E84" s="1"/>
      <c r="G84" s="3"/>
      <c r="H84" s="3"/>
    </row>
    <row r="85" spans="1:8" x14ac:dyDescent="0.2">
      <c r="A85" s="1" t="s">
        <v>13</v>
      </c>
      <c r="B85" s="1">
        <v>1.5797266135000002E-2</v>
      </c>
      <c r="C85" s="1">
        <v>8.924981882000001E-3</v>
      </c>
      <c r="D85" s="1">
        <v>6.0548057579978831E-4</v>
      </c>
      <c r="E85" s="1"/>
      <c r="G85" s="3"/>
      <c r="H85" s="3"/>
    </row>
    <row r="86" spans="1:8" x14ac:dyDescent="0.2">
      <c r="A86" s="1" t="s">
        <v>13</v>
      </c>
      <c r="B86" s="1">
        <v>1.7319897269999999E-2</v>
      </c>
      <c r="C86" s="1">
        <v>9.6402218380000002E-3</v>
      </c>
      <c r="D86" s="1">
        <v>6.4454383874590349E-4</v>
      </c>
      <c r="E86" s="1"/>
      <c r="G86" s="3"/>
      <c r="H86" s="3"/>
    </row>
    <row r="87" spans="1:8" x14ac:dyDescent="0.2">
      <c r="A87" s="1" t="s">
        <v>2</v>
      </c>
      <c r="B87" s="1"/>
      <c r="C87" s="1"/>
      <c r="D87" s="1"/>
      <c r="E87" s="1"/>
      <c r="G87" s="3"/>
      <c r="H87" s="3"/>
    </row>
    <row r="88" spans="1:8" x14ac:dyDescent="0.2">
      <c r="A88" s="1" t="s">
        <v>14</v>
      </c>
      <c r="B88" s="1">
        <v>1.5298062821E-2</v>
      </c>
      <c r="C88" s="1">
        <v>7.1429847220000004E-3</v>
      </c>
      <c r="D88" s="1">
        <v>7.0313873317573439E-4</v>
      </c>
      <c r="E88" s="1">
        <f>AVERAGE(D88:D92)</f>
        <v>1.2969003300831617E-3</v>
      </c>
      <c r="F88" s="2">
        <f>_xlfn.STDEV.S(D88:D92)</f>
        <v>1.2299966416059814E-3</v>
      </c>
      <c r="G88" s="3">
        <v>0.14524886877828025</v>
      </c>
      <c r="H88" s="3">
        <v>0.80036410954764581</v>
      </c>
    </row>
    <row r="89" spans="1:8" x14ac:dyDescent="0.2">
      <c r="A89" s="1" t="s">
        <v>14</v>
      </c>
      <c r="B89" s="1">
        <v>1.6668125706E-2</v>
      </c>
      <c r="C89" s="1">
        <v>8.1737358189999994E-3</v>
      </c>
      <c r="D89" s="1">
        <v>3.4961620344162725E-3</v>
      </c>
      <c r="E89" s="1"/>
      <c r="G89" s="3"/>
      <c r="H89" s="3"/>
    </row>
    <row r="90" spans="1:8" x14ac:dyDescent="0.2">
      <c r="A90" s="1" t="s">
        <v>14</v>
      </c>
      <c r="B90" s="1">
        <v>1.7435238866999998E-2</v>
      </c>
      <c r="C90" s="1">
        <v>7.6305928490000008E-3</v>
      </c>
      <c r="D90" s="1">
        <v>8.0079689055878589E-4</v>
      </c>
      <c r="E90" s="1"/>
      <c r="G90" s="3"/>
      <c r="H90" s="3"/>
    </row>
    <row r="91" spans="1:8" x14ac:dyDescent="0.2">
      <c r="A91" s="1" t="s">
        <v>14</v>
      </c>
      <c r="B91" s="1">
        <v>1.5061887170000001E-2</v>
      </c>
      <c r="C91" s="1">
        <v>9.0622933070000009E-3</v>
      </c>
      <c r="D91" s="1">
        <v>7.6173362761267072E-4</v>
      </c>
      <c r="E91" s="1"/>
      <c r="G91" s="3"/>
      <c r="H91" s="3"/>
    </row>
    <row r="92" spans="1:8" x14ac:dyDescent="0.2">
      <c r="A92" s="1" t="s">
        <v>14</v>
      </c>
      <c r="B92" s="1">
        <v>1.7042223055E-2</v>
      </c>
      <c r="C92" s="1">
        <v>9.8959262250000006E-3</v>
      </c>
      <c r="D92" s="1">
        <v>7.2267036465234469E-4</v>
      </c>
      <c r="E92" s="1"/>
      <c r="G92" s="3"/>
      <c r="H92" s="3"/>
    </row>
    <row r="93" spans="1:8" x14ac:dyDescent="0.2">
      <c r="A93" s="1" t="s">
        <v>2</v>
      </c>
      <c r="B93" s="1"/>
      <c r="C93" s="1"/>
      <c r="D93" s="1"/>
      <c r="E93" s="1"/>
      <c r="G93" s="3"/>
      <c r="H93" s="3"/>
    </row>
    <row r="94" spans="1:8" x14ac:dyDescent="0.2">
      <c r="A94" s="1" t="s">
        <v>15</v>
      </c>
      <c r="B94" s="1">
        <v>1.7408997127999998E-2</v>
      </c>
      <c r="C94" s="1">
        <v>5.2962986240000006E-3</v>
      </c>
      <c r="D94" s="1">
        <v>7.8126525908661648E-4</v>
      </c>
      <c r="E94" s="1">
        <f>AVERAGE(D94:D100)</f>
        <v>6.4454383874425398E-4</v>
      </c>
      <c r="F94" s="2">
        <f>_xlfn.STDEV.S(D94:D100)</f>
        <v>1.6263333263935085E-4</v>
      </c>
      <c r="G94" s="3">
        <v>0.14524886877828025</v>
      </c>
      <c r="H94" s="3">
        <v>0.80036410954764581</v>
      </c>
    </row>
    <row r="95" spans="1:8" x14ac:dyDescent="0.2">
      <c r="A95" s="1" t="s">
        <v>15</v>
      </c>
      <c r="B95" s="1">
        <v>1.6572312844999999E-2</v>
      </c>
      <c r="C95" s="1">
        <v>7.2735831439999996E-3</v>
      </c>
      <c r="D95" s="1">
        <v>5.4688568136107563E-4</v>
      </c>
      <c r="E95" s="1"/>
      <c r="G95" s="3"/>
      <c r="H95" s="3"/>
    </row>
    <row r="96" spans="1:8" x14ac:dyDescent="0.2">
      <c r="A96" s="1" t="s">
        <v>15</v>
      </c>
      <c r="B96" s="1">
        <v>1.5924813191999999E-2</v>
      </c>
      <c r="C96" s="1">
        <v>6.7426456340000003E-3</v>
      </c>
      <c r="D96" s="1">
        <v>6.4454383874590349E-4</v>
      </c>
      <c r="E96" s="1"/>
      <c r="G96" s="3"/>
      <c r="H96" s="3"/>
    </row>
    <row r="97" spans="1:8" x14ac:dyDescent="0.2">
      <c r="A97" s="1" t="s">
        <v>15</v>
      </c>
      <c r="B97" s="1">
        <v>1.8309149803E-2</v>
      </c>
      <c r="C97" s="1">
        <v>8.8444258460000005E-3</v>
      </c>
      <c r="D97" s="1">
        <v>6.0548057579268288E-4</v>
      </c>
      <c r="E97" s="1"/>
      <c r="G97" s="3"/>
      <c r="H97" s="3"/>
    </row>
    <row r="98" spans="1:8" x14ac:dyDescent="0.2">
      <c r="A98" s="1" t="s">
        <v>15</v>
      </c>
      <c r="B98" s="1">
        <v>1.8324406628000001E-2</v>
      </c>
      <c r="C98" s="1">
        <v>7.3571905449999996E-3</v>
      </c>
      <c r="D98" s="1">
        <v>8.0079689055878589E-4</v>
      </c>
      <c r="E98" s="1"/>
      <c r="G98" s="3"/>
      <c r="H98" s="3"/>
    </row>
    <row r="99" spans="1:8" x14ac:dyDescent="0.2">
      <c r="A99" s="1" t="s">
        <v>15</v>
      </c>
      <c r="B99" s="1">
        <v>7.7788891879999999E-3</v>
      </c>
      <c r="C99" s="1">
        <v>4.2985022690000003E-3</v>
      </c>
      <c r="D99" s="1">
        <v>3.5156936658609084E-4</v>
      </c>
      <c r="E99" s="1"/>
      <c r="G99" s="3"/>
      <c r="H99" s="3"/>
    </row>
    <row r="100" spans="1:8" x14ac:dyDescent="0.2">
      <c r="A100" s="1" t="s">
        <v>15</v>
      </c>
      <c r="B100" s="1">
        <v>1.5712438188E-2</v>
      </c>
      <c r="C100" s="1">
        <v>6.9049782519999998E-3</v>
      </c>
      <c r="D100" s="1">
        <v>7.8126525907862288E-4</v>
      </c>
      <c r="E100" s="1"/>
      <c r="G100" s="3"/>
      <c r="H100" s="3"/>
    </row>
    <row r="101" spans="1:8" x14ac:dyDescent="0.2">
      <c r="A101" s="1" t="s">
        <v>2</v>
      </c>
      <c r="B101" s="1"/>
      <c r="C101" s="1"/>
      <c r="D101" s="1"/>
      <c r="E101" s="1"/>
      <c r="G101" s="1"/>
      <c r="H101" s="1"/>
    </row>
    <row r="102" spans="1:8" x14ac:dyDescent="0.2">
      <c r="A102" s="1" t="s">
        <v>16</v>
      </c>
      <c r="B102" s="1">
        <v>1.6604047040999999E-2</v>
      </c>
      <c r="C102" s="1">
        <v>6.358783917E-3</v>
      </c>
      <c r="D102" s="1">
        <v>7.8126525908706057E-4</v>
      </c>
      <c r="E102" s="1">
        <f>AVERAGE(D102:D107)</f>
        <v>8.0079689056374492E-4</v>
      </c>
      <c r="F102" s="2">
        <f>_xlfn.STDEV.S(D102:D107)</f>
        <v>2.2303720656447956E-4</v>
      </c>
      <c r="G102" s="3">
        <v>0.16490566037735838</v>
      </c>
      <c r="H102" s="3">
        <v>0.93541380997219403</v>
      </c>
    </row>
    <row r="103" spans="1:8" x14ac:dyDescent="0.2">
      <c r="A103" s="1" t="s">
        <v>16</v>
      </c>
      <c r="B103" s="1">
        <v>1.92788736E-2</v>
      </c>
      <c r="C103" s="1">
        <v>9.1477315270000002E-3</v>
      </c>
      <c r="D103" s="1">
        <v>7.031387331792871E-4</v>
      </c>
      <c r="E103" s="1"/>
      <c r="G103" s="3"/>
      <c r="H103" s="3"/>
    </row>
    <row r="104" spans="1:8" x14ac:dyDescent="0.2">
      <c r="A104" s="1" t="s">
        <v>16</v>
      </c>
      <c r="B104" s="1">
        <v>1.8542884361999998E-2</v>
      </c>
      <c r="C104" s="1">
        <v>9.8477146580000004E-3</v>
      </c>
      <c r="D104" s="1">
        <v>1.2500244145385864E-3</v>
      </c>
      <c r="E104" s="1"/>
      <c r="G104" s="3"/>
      <c r="H104" s="3"/>
    </row>
    <row r="105" spans="1:8" x14ac:dyDescent="0.2">
      <c r="A105" s="1" t="s">
        <v>16</v>
      </c>
      <c r="B105" s="1">
        <v>1.7941155184E-2</v>
      </c>
      <c r="C105" s="1">
        <v>9.5218288759999995E-3</v>
      </c>
      <c r="D105" s="1">
        <v>7.031387331792871E-4</v>
      </c>
      <c r="E105" s="1"/>
      <c r="G105" s="3"/>
      <c r="H105" s="3"/>
    </row>
    <row r="106" spans="1:8" x14ac:dyDescent="0.2">
      <c r="A106" s="1" t="s">
        <v>16</v>
      </c>
      <c r="B106" s="1">
        <v>1.7975330471999999E-2</v>
      </c>
      <c r="C106" s="1">
        <v>9.7604456190000001E-3</v>
      </c>
      <c r="D106" s="1">
        <v>6.8360710169201866E-4</v>
      </c>
      <c r="E106" s="1"/>
      <c r="G106" s="3"/>
      <c r="H106" s="3"/>
    </row>
    <row r="107" spans="1:8" x14ac:dyDescent="0.2">
      <c r="A107" s="1" t="s">
        <v>16</v>
      </c>
      <c r="B107" s="1">
        <v>1.6577805301999999E-2</v>
      </c>
      <c r="C107" s="1">
        <v>8.9298640659999998E-3</v>
      </c>
      <c r="D107" s="1">
        <v>6.8360710170622951E-4</v>
      </c>
      <c r="E107" s="1"/>
      <c r="G107" s="3"/>
      <c r="H107" s="3"/>
    </row>
    <row r="108" spans="1:8" x14ac:dyDescent="0.2">
      <c r="A108" s="1" t="s">
        <v>2</v>
      </c>
      <c r="B108" s="1"/>
      <c r="C108" s="1"/>
      <c r="D108" s="1"/>
      <c r="E108" s="1"/>
      <c r="G108" s="1"/>
      <c r="H108" s="1"/>
    </row>
    <row r="109" spans="1:8" x14ac:dyDescent="0.2">
      <c r="A109" s="1" t="s">
        <v>17</v>
      </c>
      <c r="B109" s="1">
        <v>1.9324644074999998E-2</v>
      </c>
      <c r="C109" s="1">
        <v>4.6256085970000005E-3</v>
      </c>
      <c r="D109" s="1">
        <v>9.9611320533599113E-4</v>
      </c>
      <c r="E109" s="1">
        <f>AVERAGE(D109:D115)</f>
        <v>8.5939178499603946E-4</v>
      </c>
      <c r="F109" s="2">
        <f>_xlfn.STDEV.S(D109:D115)</f>
        <v>1.9982173158586181E-4</v>
      </c>
      <c r="G109" s="3">
        <v>0.22849968612680469</v>
      </c>
      <c r="H109" s="3">
        <v>0.84752060591561551</v>
      </c>
    </row>
    <row r="110" spans="1:8" x14ac:dyDescent="0.2">
      <c r="A110" s="1" t="s">
        <v>17</v>
      </c>
      <c r="B110" s="1">
        <v>1.7517625722E-2</v>
      </c>
      <c r="C110" s="1">
        <v>6.4875515200000008E-3</v>
      </c>
      <c r="D110" s="1">
        <v>6.8360710170090044E-4</v>
      </c>
      <c r="E110" s="1"/>
      <c r="G110" s="3"/>
      <c r="H110" s="3"/>
    </row>
    <row r="111" spans="1:8" x14ac:dyDescent="0.2">
      <c r="A111" s="1" t="s">
        <v>17</v>
      </c>
      <c r="B111" s="1">
        <v>1.6104233454E-2</v>
      </c>
      <c r="C111" s="1">
        <v>7.0178787570000008E-3</v>
      </c>
      <c r="D111" s="1">
        <v>1.0937713627221513E-3</v>
      </c>
      <c r="E111" s="1"/>
      <c r="G111" s="3"/>
      <c r="H111" s="3"/>
    </row>
    <row r="112" spans="1:8" x14ac:dyDescent="0.2">
      <c r="A112" s="1" t="s">
        <v>17</v>
      </c>
      <c r="B112" s="1">
        <v>1.829633407E-2</v>
      </c>
      <c r="C112" s="1">
        <v>7.1826524670000006E-3</v>
      </c>
      <c r="D112" s="1">
        <v>7.422019961325077E-4</v>
      </c>
      <c r="E112" s="1"/>
      <c r="G112" s="3"/>
      <c r="H112" s="3"/>
    </row>
    <row r="113" spans="1:8" x14ac:dyDescent="0.2">
      <c r="A113" s="1" t="s">
        <v>17</v>
      </c>
      <c r="B113" s="1">
        <v>1.9735357804000001E-2</v>
      </c>
      <c r="C113" s="1">
        <v>6.9794315579999999E-3</v>
      </c>
      <c r="D113" s="1">
        <v>1.1133029941987616E-3</v>
      </c>
      <c r="E113" s="1"/>
      <c r="G113" s="3"/>
      <c r="H113" s="3"/>
    </row>
    <row r="114" spans="1:8" x14ac:dyDescent="0.2">
      <c r="A114" s="1" t="s">
        <v>17</v>
      </c>
      <c r="B114" s="1">
        <v>1.9192214834E-2</v>
      </c>
      <c r="C114" s="1">
        <v>6.8262530350000003E-3</v>
      </c>
      <c r="D114" s="1">
        <v>7.226703646558974E-4</v>
      </c>
      <c r="E114" s="1"/>
      <c r="G114" s="3"/>
      <c r="H114" s="3"/>
    </row>
    <row r="115" spans="1:8" x14ac:dyDescent="0.2">
      <c r="A115" s="1" t="s">
        <v>17</v>
      </c>
      <c r="B115" s="1">
        <v>1.9261785955999998E-2</v>
      </c>
      <c r="C115" s="1">
        <v>6.8244222160000001E-3</v>
      </c>
      <c r="D115" s="1">
        <v>6.640754702260665E-4</v>
      </c>
      <c r="E115" s="1"/>
      <c r="G115" s="3"/>
      <c r="H115" s="3"/>
    </row>
    <row r="116" spans="1:8" x14ac:dyDescent="0.2">
      <c r="A116" s="1" t="s">
        <v>2</v>
      </c>
      <c r="B116" s="1"/>
      <c r="C116" s="1"/>
      <c r="D116" s="1"/>
      <c r="E116" s="1"/>
      <c r="G116" s="3"/>
      <c r="H116" s="3"/>
    </row>
    <row r="117" spans="1:8" x14ac:dyDescent="0.2">
      <c r="A117" s="1" t="s">
        <v>18</v>
      </c>
      <c r="B117" s="1">
        <v>1.6652868881E-2</v>
      </c>
      <c r="C117" s="1">
        <v>5.0772106170000001E-3</v>
      </c>
      <c r="D117" s="1">
        <v>8.3986015351866783E-4</v>
      </c>
      <c r="E117" s="1">
        <f>AVERAGE(D117:D122)</f>
        <v>6.1524639152972982E-4</v>
      </c>
      <c r="F117" s="2">
        <f>_xlfn.STDEV.S(D117:D122)</f>
        <v>1.1505440711785387E-4</v>
      </c>
      <c r="G117" s="3">
        <v>0.22849968612680469</v>
      </c>
      <c r="H117" s="3">
        <v>0.84752060591561551</v>
      </c>
    </row>
    <row r="118" spans="1:8" x14ac:dyDescent="0.2">
      <c r="A118" s="1" t="s">
        <v>18</v>
      </c>
      <c r="B118" s="1">
        <v>1.4696943916E-2</v>
      </c>
      <c r="C118" s="1">
        <v>7.6842968730000006E-3</v>
      </c>
      <c r="D118" s="1">
        <v>5.6641731283946228E-4</v>
      </c>
      <c r="E118" s="1"/>
      <c r="G118" s="3"/>
      <c r="H118" s="3"/>
    </row>
    <row r="119" spans="1:8" x14ac:dyDescent="0.2">
      <c r="A119" s="1" t="s">
        <v>18</v>
      </c>
      <c r="B119" s="1">
        <v>1.7107522266E-2</v>
      </c>
      <c r="C119" s="1">
        <v>6.944035724E-3</v>
      </c>
      <c r="D119" s="1">
        <v>5.2735404988268897E-4</v>
      </c>
      <c r="E119" s="1"/>
      <c r="G119" s="3"/>
      <c r="H119" s="3"/>
    </row>
    <row r="120" spans="1:8" x14ac:dyDescent="0.2">
      <c r="A120" s="1" t="s">
        <v>18</v>
      </c>
      <c r="B120" s="1">
        <v>1.6339798831999999E-2</v>
      </c>
      <c r="C120" s="1">
        <v>9.1239308800000005E-3</v>
      </c>
      <c r="D120" s="1">
        <v>5.4688568135929927E-4</v>
      </c>
      <c r="E120" s="1"/>
      <c r="G120" s="1"/>
      <c r="H120" s="1"/>
    </row>
    <row r="121" spans="1:8" x14ac:dyDescent="0.2">
      <c r="A121" s="1" t="s">
        <v>18</v>
      </c>
      <c r="B121" s="1">
        <v>1.4777499952000001E-2</v>
      </c>
      <c r="C121" s="1">
        <v>8.6235070200000007E-3</v>
      </c>
      <c r="D121" s="1">
        <v>5.8594894431251987E-4</v>
      </c>
      <c r="E121" s="1"/>
      <c r="G121" s="3"/>
      <c r="H121" s="3"/>
    </row>
    <row r="122" spans="1:8" x14ac:dyDescent="0.2">
      <c r="A122" s="1" t="s">
        <v>18</v>
      </c>
      <c r="B122" s="1">
        <v>1.5993163767999998E-2</v>
      </c>
      <c r="C122" s="1">
        <v>7.9070465179999997E-3</v>
      </c>
      <c r="D122" s="1">
        <v>6.2501220726574047E-4</v>
      </c>
      <c r="E122" s="1"/>
      <c r="G122" s="3"/>
      <c r="H122" s="3"/>
    </row>
    <row r="123" spans="1:8" x14ac:dyDescent="0.2">
      <c r="A123" s="1" t="s">
        <v>2</v>
      </c>
      <c r="B123" s="1"/>
      <c r="C123" s="1"/>
      <c r="D123" s="1"/>
      <c r="E123" s="1"/>
      <c r="G123" s="3"/>
      <c r="H123" s="3"/>
    </row>
    <row r="124" spans="1:8" x14ac:dyDescent="0.2">
      <c r="A124" s="1"/>
      <c r="B124" s="1"/>
      <c r="C124" s="1"/>
      <c r="D124" s="1"/>
      <c r="E124" s="1"/>
      <c r="G124" s="3"/>
      <c r="H124" s="3"/>
    </row>
    <row r="125" spans="1:8" x14ac:dyDescent="0.2">
      <c r="A125" s="1"/>
      <c r="B125" s="1"/>
      <c r="C125" s="1"/>
      <c r="D125" s="1"/>
      <c r="E125" s="1"/>
      <c r="G125" s="3"/>
      <c r="H125" s="3"/>
    </row>
    <row r="126" spans="1:8" x14ac:dyDescent="0.2">
      <c r="A126" s="1"/>
      <c r="B126" s="1"/>
      <c r="C126" s="1"/>
      <c r="D126" s="1"/>
      <c r="E126" s="1"/>
      <c r="G126" s="3"/>
      <c r="H126" s="3"/>
    </row>
    <row r="127" spans="1:8" x14ac:dyDescent="0.2">
      <c r="A127" s="1"/>
      <c r="B127" s="1"/>
      <c r="C127" s="1"/>
      <c r="D127" s="1"/>
      <c r="E127" s="1"/>
      <c r="G127" s="1"/>
      <c r="H127" s="1"/>
    </row>
    <row r="128" spans="1:8" x14ac:dyDescent="0.2">
      <c r="A128" s="1"/>
      <c r="B128" s="1"/>
      <c r="C128" s="1"/>
      <c r="D128" s="1"/>
      <c r="E128" s="1"/>
      <c r="G128" s="3"/>
      <c r="H128" s="3"/>
    </row>
    <row r="129" spans="1:8" x14ac:dyDescent="0.2">
      <c r="A129" s="1"/>
      <c r="B129" s="1"/>
      <c r="C129" s="1"/>
      <c r="D129" s="1"/>
      <c r="E129" s="1"/>
      <c r="G129" s="3"/>
      <c r="H129" s="3"/>
    </row>
    <row r="130" spans="1:8" x14ac:dyDescent="0.2">
      <c r="A130" s="1"/>
      <c r="B130" s="1"/>
      <c r="C130" s="1"/>
      <c r="D130" s="1"/>
      <c r="E130" s="1"/>
      <c r="G130" s="3"/>
      <c r="H130" s="3"/>
    </row>
    <row r="131" spans="1:8" x14ac:dyDescent="0.2">
      <c r="A131" s="1"/>
      <c r="B131" s="1"/>
      <c r="C131" s="1"/>
      <c r="D131" s="1"/>
      <c r="E131" s="1"/>
      <c r="G131" s="3"/>
      <c r="H131" s="3"/>
    </row>
    <row r="132" spans="1:8" x14ac:dyDescent="0.2">
      <c r="A132" s="1"/>
      <c r="B132" s="1"/>
      <c r="C132" s="1"/>
      <c r="D132" s="1"/>
      <c r="E132" s="1"/>
      <c r="G132" s="3"/>
      <c r="H132" s="3"/>
    </row>
    <row r="133" spans="1:8" x14ac:dyDescent="0.2">
      <c r="A133" s="1"/>
      <c r="B133" s="1"/>
      <c r="C133" s="1"/>
      <c r="D133" s="1"/>
      <c r="E133" s="1"/>
      <c r="G133" s="1"/>
      <c r="H133" s="1"/>
    </row>
    <row r="134" spans="1:8" x14ac:dyDescent="0.2">
      <c r="A134" s="1"/>
      <c r="B134" s="1"/>
      <c r="C134" s="1"/>
      <c r="D134" s="1"/>
      <c r="E134" s="1"/>
      <c r="G134" s="3"/>
      <c r="H134" s="3"/>
    </row>
    <row r="135" spans="1:8" x14ac:dyDescent="0.2">
      <c r="A135" s="1"/>
      <c r="B135" s="1"/>
      <c r="C135" s="1"/>
      <c r="D135" s="1"/>
      <c r="E135" s="1"/>
      <c r="G135" s="3"/>
      <c r="H135" s="3"/>
    </row>
    <row r="136" spans="1:8" x14ac:dyDescent="0.2">
      <c r="A136" s="1"/>
      <c r="B136" s="1"/>
      <c r="C136" s="1"/>
      <c r="D136" s="1"/>
      <c r="E136" s="1"/>
      <c r="G136" s="3"/>
      <c r="H136" s="3"/>
    </row>
    <row r="137" spans="1:8" x14ac:dyDescent="0.2">
      <c r="A137" s="1"/>
      <c r="B137" s="1"/>
      <c r="C137" s="1"/>
      <c r="D137" s="1"/>
      <c r="E137" s="1"/>
      <c r="G137" s="3"/>
      <c r="H137" s="3"/>
    </row>
    <row r="138" spans="1:8" x14ac:dyDescent="0.2">
      <c r="A138" s="1"/>
      <c r="B138" s="1"/>
      <c r="C138" s="1"/>
      <c r="D138" s="1"/>
      <c r="E138" s="1"/>
      <c r="G138" s="3"/>
      <c r="H138" s="3"/>
    </row>
    <row r="139" spans="1:8" x14ac:dyDescent="0.2">
      <c r="A139" s="1"/>
      <c r="B139" s="1"/>
      <c r="C139" s="1"/>
      <c r="D139" s="1"/>
      <c r="E139" s="1"/>
      <c r="G139" s="1"/>
      <c r="H139" s="1"/>
    </row>
    <row r="140" spans="1:8" x14ac:dyDescent="0.2">
      <c r="A140" s="1"/>
      <c r="B140" s="1"/>
      <c r="C140" s="1"/>
      <c r="D140" s="1"/>
      <c r="E140" s="1"/>
      <c r="G140" s="3"/>
      <c r="H140" s="3"/>
    </row>
    <row r="141" spans="1:8" x14ac:dyDescent="0.2">
      <c r="A141" s="1"/>
      <c r="B141" s="1"/>
      <c r="C141" s="1"/>
      <c r="D141" s="1"/>
      <c r="E141" s="1"/>
      <c r="G141" s="3"/>
      <c r="H141" s="3"/>
    </row>
    <row r="142" spans="1:8" x14ac:dyDescent="0.2">
      <c r="A142" s="1"/>
      <c r="B142" s="1"/>
      <c r="C142" s="1"/>
      <c r="D142" s="1"/>
      <c r="E142" s="1"/>
      <c r="G142" s="3"/>
      <c r="H142" s="3"/>
    </row>
    <row r="143" spans="1:8" x14ac:dyDescent="0.2">
      <c r="A143" s="1"/>
      <c r="B143" s="1"/>
      <c r="C143" s="1"/>
      <c r="D143" s="1"/>
      <c r="E143" s="1"/>
      <c r="G143" s="3"/>
      <c r="H143" s="3"/>
    </row>
    <row r="144" spans="1:8" x14ac:dyDescent="0.2">
      <c r="A144" s="1"/>
      <c r="B144" s="1"/>
      <c r="C144" s="1"/>
      <c r="D144" s="1"/>
      <c r="E144" s="1"/>
      <c r="G144" s="3"/>
      <c r="H144" s="3"/>
    </row>
    <row r="145" spans="1:8" x14ac:dyDescent="0.2">
      <c r="A145" s="1"/>
      <c r="B145" s="1"/>
      <c r="C145" s="1"/>
      <c r="D145" s="1"/>
      <c r="E145" s="1"/>
      <c r="G145" s="3"/>
      <c r="H145" s="3"/>
    </row>
    <row r="146" spans="1:8" x14ac:dyDescent="0.2">
      <c r="A146" s="1"/>
      <c r="B146" s="1"/>
      <c r="C146" s="1"/>
      <c r="D146" s="1"/>
      <c r="E146" s="1"/>
      <c r="G146" s="3"/>
      <c r="H146" s="3"/>
    </row>
    <row r="147" spans="1:8" x14ac:dyDescent="0.2">
      <c r="A147" s="1"/>
      <c r="B147" s="1"/>
      <c r="C147" s="1"/>
      <c r="D147" s="1"/>
      <c r="E147" s="1"/>
      <c r="G147" s="3"/>
      <c r="H147" s="3"/>
    </row>
    <row r="148" spans="1:8" x14ac:dyDescent="0.2">
      <c r="A148" s="1"/>
      <c r="B148" s="1"/>
      <c r="C148" s="1"/>
      <c r="D148" s="1"/>
      <c r="E148" s="1"/>
      <c r="G148" s="3"/>
      <c r="H148" s="3"/>
    </row>
    <row r="149" spans="1:8" x14ac:dyDescent="0.2">
      <c r="A149" s="1"/>
      <c r="B149" s="1"/>
      <c r="C149" s="1"/>
      <c r="D149" s="1"/>
      <c r="E149" s="1"/>
      <c r="G149" s="3"/>
      <c r="H149" s="3"/>
    </row>
    <row r="150" spans="1:8" x14ac:dyDescent="0.2">
      <c r="A150" s="1"/>
      <c r="B150" s="1"/>
      <c r="C150" s="1"/>
      <c r="D150" s="1"/>
      <c r="E150" s="1"/>
      <c r="G150" s="3"/>
      <c r="H150" s="3"/>
    </row>
    <row r="151" spans="1:8" x14ac:dyDescent="0.2">
      <c r="A151" s="1"/>
      <c r="B151" s="1"/>
      <c r="C151" s="1"/>
      <c r="D151" s="1"/>
      <c r="E151" s="1"/>
      <c r="G151" s="3"/>
      <c r="H151" s="3"/>
    </row>
    <row r="152" spans="1:8" x14ac:dyDescent="0.2">
      <c r="A152" s="1"/>
      <c r="B152" s="1"/>
      <c r="C152" s="1"/>
      <c r="D152" s="1"/>
      <c r="E152" s="1"/>
      <c r="G152" s="3"/>
      <c r="H152" s="3"/>
    </row>
    <row r="179" spans="3:8" x14ac:dyDescent="0.2">
      <c r="C179" s="4"/>
      <c r="H179" s="4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A399FC-8770-AA42-B5D0-28B6AB27EB7F}">
  <dimension ref="A1:Z179"/>
  <sheetViews>
    <sheetView tabSelected="1" topLeftCell="P1" zoomScale="139" zoomScaleNormal="125" workbookViewId="0">
      <selection activeCell="V8" sqref="V8"/>
    </sheetView>
  </sheetViews>
  <sheetFormatPr baseColWidth="10" defaultRowHeight="15" x14ac:dyDescent="0.2"/>
  <cols>
    <col min="1" max="1" width="20.5" style="2" customWidth="1"/>
    <col min="2" max="3" width="14.6640625" style="2" customWidth="1"/>
    <col min="4" max="6" width="10.83203125" style="2"/>
    <col min="7" max="7" width="11.1640625" style="2" bestFit="1" customWidth="1"/>
    <col min="8" max="8" width="11.1640625" style="2" customWidth="1"/>
    <col min="9" max="9" width="10.83203125" style="2"/>
    <col min="10" max="10" width="18.83203125" style="2" bestFit="1" customWidth="1"/>
    <col min="11" max="19" width="10.83203125" style="2"/>
    <col min="20" max="20" width="18.83203125" style="2" bestFit="1" customWidth="1"/>
    <col min="21" max="21" width="12.1640625" style="2" bestFit="1" customWidth="1"/>
    <col min="22" max="22" width="7" style="2" bestFit="1" customWidth="1"/>
    <col min="23" max="23" width="7" style="2" customWidth="1"/>
    <col min="24" max="24" width="7.83203125" style="2" bestFit="1" customWidth="1"/>
    <col min="25" max="25" width="12.1640625" style="2" bestFit="1" customWidth="1"/>
    <col min="26" max="27" width="12.1640625" style="2" customWidth="1"/>
    <col min="28" max="16384" width="10.83203125" style="2"/>
  </cols>
  <sheetData>
    <row r="1" spans="1:26" x14ac:dyDescent="0.2">
      <c r="A1" s="1" t="s">
        <v>0</v>
      </c>
      <c r="B1" s="1" t="s">
        <v>19</v>
      </c>
      <c r="C1" s="1" t="s">
        <v>20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74</v>
      </c>
      <c r="J1" s="1" t="s">
        <v>70</v>
      </c>
      <c r="K1" s="1" t="s">
        <v>66</v>
      </c>
      <c r="L1" s="1" t="s">
        <v>71</v>
      </c>
      <c r="M1" s="1" t="s">
        <v>72</v>
      </c>
      <c r="N1" s="1" t="s">
        <v>73</v>
      </c>
      <c r="T1" s="2" t="s">
        <v>70</v>
      </c>
      <c r="U1" s="2" t="s">
        <v>66</v>
      </c>
      <c r="V1" s="2" t="s">
        <v>71</v>
      </c>
      <c r="W1" s="2" t="s">
        <v>76</v>
      </c>
      <c r="X1" s="2" t="s">
        <v>75</v>
      </c>
      <c r="Y1" s="2" t="s">
        <v>72</v>
      </c>
      <c r="Z1" s="2" t="s">
        <v>73</v>
      </c>
    </row>
    <row r="2" spans="1:26" x14ac:dyDescent="0.2">
      <c r="A2" s="1" t="s">
        <v>1</v>
      </c>
      <c r="B2" s="1">
        <v>1.5208962963E-2</v>
      </c>
      <c r="C2" s="1">
        <v>6.0719556070000002E-3</v>
      </c>
      <c r="D2" s="1">
        <f>B2/C2</f>
        <v>2.504788234200277</v>
      </c>
      <c r="E2" s="1">
        <f>AVERAGE(D2:D6)</f>
        <v>2.5650682126413478</v>
      </c>
      <c r="F2" s="2">
        <f>_xlfn.STDEV.S(D2:D6)</f>
        <v>0.14533248039048227</v>
      </c>
      <c r="G2" s="3">
        <v>0.1622203098106714</v>
      </c>
      <c r="H2" s="3">
        <v>0.72146316810745281</v>
      </c>
      <c r="J2" s="1" t="str">
        <f>A2</f>
        <v>C_M1_EST#2.mat</v>
      </c>
      <c r="K2" s="1">
        <f>E2</f>
        <v>2.5650682126413478</v>
      </c>
      <c r="L2" s="5">
        <f>G2</f>
        <v>0.1622203098106714</v>
      </c>
      <c r="M2" s="1">
        <f>F2</f>
        <v>0.14533248039048227</v>
      </c>
      <c r="N2" s="5">
        <f>H2</f>
        <v>0.72146316810745281</v>
      </c>
      <c r="T2" s="2" t="s">
        <v>1</v>
      </c>
      <c r="U2" s="2">
        <v>2.5650682126413478</v>
      </c>
      <c r="V2" s="6">
        <v>0.1622203098106714</v>
      </c>
      <c r="W2" s="4">
        <v>0.18099999999999999</v>
      </c>
      <c r="X2" s="6">
        <f>V2/W2</f>
        <v>0.89624480558381991</v>
      </c>
      <c r="Y2" s="2">
        <v>0.14533248039048227</v>
      </c>
      <c r="Z2" s="6">
        <v>0.72146316810745281</v>
      </c>
    </row>
    <row r="3" spans="1:26" x14ac:dyDescent="0.2">
      <c r="A3" s="1" t="s">
        <v>1</v>
      </c>
      <c r="B3" s="1">
        <v>1.7429136136999999E-2</v>
      </c>
      <c r="C3" s="1">
        <v>6.3423065460000002E-3</v>
      </c>
      <c r="D3" s="1">
        <f t="shared" ref="D3:D66" si="0">B3/C3</f>
        <v>2.748075327262808</v>
      </c>
      <c r="E3" s="1"/>
      <c r="G3" s="3"/>
      <c r="H3" s="3"/>
      <c r="J3" s="1" t="str">
        <f>A8</f>
        <v>C_M1_EST.mat</v>
      </c>
      <c r="K3" s="1">
        <f>E8</f>
        <v>2.6691598452612704</v>
      </c>
      <c r="L3" s="5">
        <f>G8</f>
        <v>0.1622203098106714</v>
      </c>
      <c r="M3" s="1">
        <f>F8</f>
        <v>0.41402209909293669</v>
      </c>
      <c r="N3" s="5">
        <f>H8</f>
        <v>0.72146316810745281</v>
      </c>
      <c r="T3" s="2" t="s">
        <v>4</v>
      </c>
      <c r="U3" s="2">
        <v>2.6610701832437287</v>
      </c>
      <c r="V3" s="6">
        <v>9.0436590436590164E-2</v>
      </c>
      <c r="W3" s="7">
        <v>0.14499999999999999</v>
      </c>
      <c r="X3" s="6">
        <f t="shared" ref="X3:X13" si="1">V3/W3</f>
        <v>0.62370062370062185</v>
      </c>
      <c r="Y3" s="2">
        <v>0.33976318685894813</v>
      </c>
      <c r="Z3" s="6">
        <v>0.48563206852537144</v>
      </c>
    </row>
    <row r="4" spans="1:26" x14ac:dyDescent="0.2">
      <c r="A4" s="1" t="s">
        <v>1</v>
      </c>
      <c r="B4" s="1">
        <v>1.6973262206000001E-2</v>
      </c>
      <c r="C4" s="1">
        <v>7.1472566330000008E-3</v>
      </c>
      <c r="D4" s="1">
        <f t="shared" si="0"/>
        <v>2.3747940052455649</v>
      </c>
      <c r="E4" s="1"/>
      <c r="G4" s="3"/>
      <c r="H4" s="3"/>
      <c r="J4" s="1" t="str">
        <f>A16</f>
        <v>C_M1_MOD56#2.mat</v>
      </c>
      <c r="K4" s="1">
        <f>E16</f>
        <v>2.6610701832437287</v>
      </c>
      <c r="L4" s="5">
        <f>G16</f>
        <v>9.0436590436590164E-2</v>
      </c>
      <c r="M4" s="1">
        <f>F16</f>
        <v>0.33976318685894813</v>
      </c>
      <c r="N4" s="5">
        <f>H16</f>
        <v>0.48563206852537144</v>
      </c>
      <c r="T4" s="2" t="s">
        <v>6</v>
      </c>
      <c r="U4" s="2">
        <v>3.7188004175787275</v>
      </c>
      <c r="V4" s="6">
        <v>0.19980314960629944</v>
      </c>
      <c r="W4" s="4">
        <v>0.18099999999999999</v>
      </c>
      <c r="X4" s="6">
        <f t="shared" si="1"/>
        <v>1.1038848044546932</v>
      </c>
      <c r="Y4" s="2">
        <v>0.42785092601437319</v>
      </c>
      <c r="Z4" s="6">
        <v>0.89008626635008214</v>
      </c>
    </row>
    <row r="5" spans="1:26" x14ac:dyDescent="0.2">
      <c r="A5" s="1" t="s">
        <v>1</v>
      </c>
      <c r="B5" s="1">
        <v>1.6527762915999999E-2</v>
      </c>
      <c r="C5" s="1">
        <v>6.20072321E-3</v>
      </c>
      <c r="D5" s="1">
        <f t="shared" si="0"/>
        <v>2.6654572952628213</v>
      </c>
      <c r="E5" s="1"/>
      <c r="G5" s="3"/>
      <c r="H5" s="3"/>
      <c r="J5" s="1" t="str">
        <f>A21</f>
        <v>C_M1_MOD56.mat</v>
      </c>
      <c r="K5" s="1">
        <f>E21</f>
        <v>2.9323477901572517</v>
      </c>
      <c r="L5" s="5">
        <f>G21</f>
        <v>9.0436590436590164E-2</v>
      </c>
      <c r="M5" s="1">
        <f>F21</f>
        <v>0.33922474932521424</v>
      </c>
      <c r="N5" s="5">
        <f>H21</f>
        <v>0.48563206852537144</v>
      </c>
      <c r="T5" s="2" t="s">
        <v>7</v>
      </c>
      <c r="U5" s="2">
        <v>2.3321449284662177</v>
      </c>
      <c r="V5" s="6">
        <v>0.1508515815085158</v>
      </c>
      <c r="W5" s="7">
        <v>0.14499999999999999</v>
      </c>
      <c r="X5" s="6">
        <f t="shared" si="1"/>
        <v>1.0403557345414882</v>
      </c>
      <c r="Y5" s="2">
        <v>0.2883705128405239</v>
      </c>
      <c r="Z5" s="6">
        <v>0.87703463949314364</v>
      </c>
    </row>
    <row r="6" spans="1:26" x14ac:dyDescent="0.2">
      <c r="A6" s="1" t="s">
        <v>1</v>
      </c>
      <c r="B6" s="1">
        <v>1.5183941770000001E-2</v>
      </c>
      <c r="C6" s="1">
        <v>5.996281755E-3</v>
      </c>
      <c r="D6" s="1">
        <f t="shared" si="0"/>
        <v>2.532226201235269</v>
      </c>
      <c r="E6" s="1"/>
      <c r="G6" s="3"/>
      <c r="H6" s="3"/>
      <c r="J6" s="1" t="str">
        <f>A28</f>
        <v>C_M2_EST.mat</v>
      </c>
      <c r="K6" s="1">
        <f>E28</f>
        <v>3.7188004175787275</v>
      </c>
      <c r="L6" s="5">
        <f>G28</f>
        <v>0.19980314960629944</v>
      </c>
      <c r="M6" s="1">
        <f>F28</f>
        <v>0.42785092601437319</v>
      </c>
      <c r="N6" s="5">
        <f>H28</f>
        <v>0.89008626635008214</v>
      </c>
      <c r="T6" s="2" t="s">
        <v>8</v>
      </c>
      <c r="U6" s="2">
        <v>3.3843681758450024</v>
      </c>
      <c r="V6" s="6">
        <v>0.26691858467880425</v>
      </c>
      <c r="W6" s="4">
        <v>0.18099999999999999</v>
      </c>
      <c r="X6" s="6">
        <f t="shared" si="1"/>
        <v>1.474688313142565</v>
      </c>
      <c r="Y6" s="2">
        <v>0.36023316880429535</v>
      </c>
      <c r="Z6" s="6">
        <v>0.93239651547725655</v>
      </c>
    </row>
    <row r="7" spans="1:26" x14ac:dyDescent="0.2">
      <c r="A7" s="1" t="s">
        <v>2</v>
      </c>
      <c r="B7" s="1"/>
      <c r="C7" s="1"/>
      <c r="D7" s="1"/>
      <c r="E7" s="1"/>
      <c r="G7" s="1"/>
      <c r="H7" s="1"/>
      <c r="J7" s="1" t="str">
        <f>A35</f>
        <v>C_M2_MOD56.mat</v>
      </c>
      <c r="K7" s="1">
        <f>E35</f>
        <v>2.3321449284662177</v>
      </c>
      <c r="L7" s="5">
        <f>G35</f>
        <v>0.1508515815085158</v>
      </c>
      <c r="M7" s="1">
        <f>F35</f>
        <v>0.2883705128405239</v>
      </c>
      <c r="N7" s="5">
        <f>H35</f>
        <v>0.87703463949314364</v>
      </c>
      <c r="T7" s="2" t="s">
        <v>9</v>
      </c>
      <c r="U7" s="2">
        <v>2.9639171140714216</v>
      </c>
      <c r="V7" s="6">
        <v>0.18550811785929003</v>
      </c>
      <c r="W7" s="7">
        <v>0.14499999999999999</v>
      </c>
      <c r="X7" s="6">
        <f t="shared" si="1"/>
        <v>1.2793663300640692</v>
      </c>
      <c r="Y7" s="2">
        <v>0.49394238598869122</v>
      </c>
      <c r="Z7" s="6">
        <v>0.97821310228622105</v>
      </c>
    </row>
    <row r="8" spans="1:26" x14ac:dyDescent="0.2">
      <c r="A8" s="1" t="s">
        <v>3</v>
      </c>
      <c r="B8" s="1">
        <v>1.4187976234000001E-2</v>
      </c>
      <c r="C8" s="1">
        <v>4.0037404100000005E-3</v>
      </c>
      <c r="D8" s="1">
        <f>B8/C8</f>
        <v>3.5436803541416411</v>
      </c>
      <c r="E8" s="1">
        <f>AVERAGE(D8:D14)</f>
        <v>2.6691598452612704</v>
      </c>
      <c r="F8" s="2">
        <f>_xlfn.STDEV.S(D8:D14)</f>
        <v>0.41402209909293669</v>
      </c>
      <c r="G8" s="3">
        <v>0.1622203098106714</v>
      </c>
      <c r="H8" s="3">
        <v>0.72146316810745281</v>
      </c>
      <c r="J8" s="1" t="str">
        <f>A42</f>
        <v>C_M3_EST.mat</v>
      </c>
      <c r="K8" s="1">
        <f>E42</f>
        <v>3.3843681758450024</v>
      </c>
      <c r="L8" s="5">
        <f>G42</f>
        <v>0.26691858467880425</v>
      </c>
      <c r="M8" s="1">
        <f>F42</f>
        <v>0.36023316880429535</v>
      </c>
      <c r="N8" s="5">
        <f>H42</f>
        <v>0.93239651547725655</v>
      </c>
      <c r="T8" s="2" t="s">
        <v>10</v>
      </c>
      <c r="U8" s="2">
        <v>2.4957530617775538</v>
      </c>
      <c r="V8" s="6">
        <v>0.11699064074874009</v>
      </c>
      <c r="W8" s="4">
        <v>0.18099999999999999</v>
      </c>
      <c r="X8" s="6">
        <f t="shared" si="1"/>
        <v>0.64635713120850879</v>
      </c>
      <c r="Y8" s="2">
        <v>0.47831813891511588</v>
      </c>
      <c r="Z8" s="6">
        <v>0.45406540028031028</v>
      </c>
    </row>
    <row r="9" spans="1:26" x14ac:dyDescent="0.2">
      <c r="A9" s="1" t="s">
        <v>3</v>
      </c>
      <c r="B9" s="1">
        <v>1.3653987359000001E-2</v>
      </c>
      <c r="C9" s="1">
        <v>4.95576629E-3</v>
      </c>
      <c r="D9" s="1">
        <f t="shared" si="0"/>
        <v>2.7551717655757333</v>
      </c>
      <c r="E9" s="1"/>
      <c r="G9" s="3"/>
      <c r="H9" s="3"/>
      <c r="J9" s="1" t="str">
        <f>A47</f>
        <v>C_M3_MOD56.mat</v>
      </c>
      <c r="K9" s="1">
        <f>E47</f>
        <v>2.9639171140714216</v>
      </c>
      <c r="L9" s="5">
        <f>G47</f>
        <v>0.18550811785929003</v>
      </c>
      <c r="M9" s="1">
        <f>F47</f>
        <v>0.49394238598869122</v>
      </c>
      <c r="N9" s="5">
        <f>H47</f>
        <v>0.97821310228622105</v>
      </c>
      <c r="T9" s="2" t="s">
        <v>11</v>
      </c>
      <c r="U9" s="2">
        <v>4.120947298491358</v>
      </c>
      <c r="V9" s="6">
        <v>0.22477693891557984</v>
      </c>
      <c r="W9" s="7">
        <v>0.14499999999999999</v>
      </c>
      <c r="X9" s="6">
        <f t="shared" si="1"/>
        <v>1.5501857856246888</v>
      </c>
      <c r="Y9" s="2">
        <v>0.46424785685652692</v>
      </c>
      <c r="Z9" s="6">
        <v>0.97159218533661007</v>
      </c>
    </row>
    <row r="10" spans="1:26" x14ac:dyDescent="0.2">
      <c r="A10" s="1" t="s">
        <v>3</v>
      </c>
      <c r="B10" s="1">
        <v>1.2351054504E-2</v>
      </c>
      <c r="C10" s="1">
        <v>4.9283040050000001E-3</v>
      </c>
      <c r="D10" s="1">
        <f t="shared" si="0"/>
        <v>2.5061470419578957</v>
      </c>
      <c r="E10" s="1"/>
      <c r="G10" s="3"/>
      <c r="H10" s="3"/>
      <c r="J10" s="1" t="str">
        <f>A55</f>
        <v>C_M4_EST.mat</v>
      </c>
      <c r="K10" s="1">
        <f>E55</f>
        <v>2.4957530617775538</v>
      </c>
      <c r="L10" s="5">
        <f>G55</f>
        <v>0.11699064074874009</v>
      </c>
      <c r="M10" s="1">
        <f>F55</f>
        <v>0.47831813891511588</v>
      </c>
      <c r="N10" s="5">
        <f>H55</f>
        <v>0.45406540028031028</v>
      </c>
      <c r="T10" s="2" t="s">
        <v>12</v>
      </c>
      <c r="U10" s="2">
        <v>2.0158880434200936</v>
      </c>
      <c r="V10" s="6">
        <v>0.10631793478260841</v>
      </c>
      <c r="W10" s="4">
        <v>0.15</v>
      </c>
      <c r="X10" s="6">
        <f t="shared" si="1"/>
        <v>0.70878623188405609</v>
      </c>
      <c r="Y10" s="2">
        <v>0.32242117742333626</v>
      </c>
      <c r="Z10" s="6">
        <v>0.54014282865007168</v>
      </c>
    </row>
    <row r="11" spans="1:26" x14ac:dyDescent="0.2">
      <c r="A11" s="1" t="s">
        <v>3</v>
      </c>
      <c r="B11" s="1">
        <v>1.3224355167000001E-2</v>
      </c>
      <c r="C11" s="1">
        <v>5.4207943160000001E-3</v>
      </c>
      <c r="D11" s="1">
        <f t="shared" si="0"/>
        <v>2.4395604031621407</v>
      </c>
      <c r="E11" s="1"/>
      <c r="G11" s="3"/>
      <c r="H11" s="3"/>
      <c r="J11" s="1" t="str">
        <f>A64</f>
        <v>C_M4_MOD56.mat</v>
      </c>
      <c r="K11" s="1">
        <f>E64</f>
        <v>4.120947298491358</v>
      </c>
      <c r="L11" s="5">
        <f>G64</f>
        <v>0.22477693891557984</v>
      </c>
      <c r="M11" s="1">
        <f>F64</f>
        <v>0.46424785685652692</v>
      </c>
      <c r="N11" s="5">
        <f>H64</f>
        <v>0.97159218533661007</v>
      </c>
      <c r="T11" s="2" t="s">
        <v>13</v>
      </c>
      <c r="U11" s="2">
        <v>2.0417622203199088</v>
      </c>
      <c r="V11" s="6">
        <v>0.14524886877828025</v>
      </c>
      <c r="W11" s="4">
        <v>0.15</v>
      </c>
      <c r="X11" s="6">
        <f t="shared" si="1"/>
        <v>0.96832579185520173</v>
      </c>
      <c r="Y11" s="2">
        <v>0.2603831055085693</v>
      </c>
      <c r="Z11" s="6">
        <v>0.80036410954764581</v>
      </c>
    </row>
    <row r="12" spans="1:26" x14ac:dyDescent="0.2">
      <c r="A12" s="1" t="s">
        <v>3</v>
      </c>
      <c r="B12" s="1">
        <v>1.5863175619000001E-2</v>
      </c>
      <c r="C12" s="1">
        <v>6.0652426040000004E-3</v>
      </c>
      <c r="D12" s="1">
        <f t="shared" si="0"/>
        <v>2.6154231008893705</v>
      </c>
      <c r="E12" s="1"/>
      <c r="G12" s="3"/>
      <c r="H12" s="3"/>
      <c r="J12" s="1" t="str">
        <f>A72</f>
        <v>C_M5_MOD.mat</v>
      </c>
      <c r="K12" s="1">
        <f>E72</f>
        <v>2.0158880434200936</v>
      </c>
      <c r="L12" s="5">
        <f>G72</f>
        <v>0.10631793478260841</v>
      </c>
      <c r="M12" s="1">
        <f>F72</f>
        <v>0.32242117742333626</v>
      </c>
      <c r="N12" s="5">
        <f>H72</f>
        <v>0.54014282865007168</v>
      </c>
      <c r="T12" s="2" t="s">
        <v>16</v>
      </c>
      <c r="U12" s="2">
        <v>2.0306623489044209</v>
      </c>
      <c r="V12" s="6">
        <v>0.16490566037735838</v>
      </c>
      <c r="W12" s="4">
        <v>0.15</v>
      </c>
      <c r="X12" s="6">
        <f>V12/W12</f>
        <v>1.0993710691823892</v>
      </c>
      <c r="Y12" s="2">
        <v>0.30075442753308113</v>
      </c>
      <c r="Z12" s="6">
        <v>0.93541380997219403</v>
      </c>
    </row>
    <row r="13" spans="1:26" x14ac:dyDescent="0.2">
      <c r="A13" s="1" t="s">
        <v>3</v>
      </c>
      <c r="B13" s="1">
        <v>1.2173465061E-2</v>
      </c>
      <c r="C13" s="1">
        <v>4.7610892030000001E-3</v>
      </c>
      <c r="D13" s="1">
        <f t="shared" si="0"/>
        <v>2.5568655704516949</v>
      </c>
      <c r="E13" s="1"/>
      <c r="G13" s="1"/>
      <c r="H13" s="1"/>
      <c r="J13" s="1" t="str">
        <f>A81</f>
        <v>C_M6#2_MOD.mat</v>
      </c>
      <c r="K13" s="1">
        <f>E81</f>
        <v>2.0417622203199088</v>
      </c>
      <c r="L13" s="5">
        <f>G81</f>
        <v>0.14524886877828025</v>
      </c>
      <c r="M13" s="1">
        <f>F81</f>
        <v>0.2603831055085693</v>
      </c>
      <c r="N13" s="5">
        <f>H81</f>
        <v>0.80036410954764581</v>
      </c>
      <c r="T13" s="2" t="s">
        <v>17</v>
      </c>
      <c r="U13" s="2">
        <v>2.8830907121228746</v>
      </c>
      <c r="V13" s="6">
        <v>0.22849968612680469</v>
      </c>
      <c r="W13" s="4">
        <v>0.15</v>
      </c>
      <c r="X13" s="6">
        <f t="shared" si="1"/>
        <v>1.5233312408453645</v>
      </c>
      <c r="Y13" s="2">
        <v>0.60282382271864421</v>
      </c>
      <c r="Z13" s="6">
        <v>0.84752060591561551</v>
      </c>
    </row>
    <row r="14" spans="1:26" x14ac:dyDescent="0.2">
      <c r="A14" s="1" t="s">
        <v>3</v>
      </c>
      <c r="B14" s="1">
        <v>1.2540849407000001E-2</v>
      </c>
      <c r="C14" s="1">
        <v>5.5312537290000009E-3</v>
      </c>
      <c r="D14" s="1">
        <f t="shared" si="0"/>
        <v>2.267270680650419</v>
      </c>
      <c r="E14" s="1"/>
      <c r="G14" s="3"/>
      <c r="H14" s="3"/>
      <c r="J14" s="1" t="str">
        <f>A88</f>
        <v>C_M6#3_MOD.mat</v>
      </c>
      <c r="K14" s="1">
        <f>E88</f>
        <v>1.9700035332916506</v>
      </c>
      <c r="L14" s="5">
        <f>G88</f>
        <v>0.14524886877828025</v>
      </c>
      <c r="M14" s="1">
        <f>F88</f>
        <v>0.26912460467009353</v>
      </c>
      <c r="N14" s="5">
        <f>H88</f>
        <v>0.80036410954764581</v>
      </c>
    </row>
    <row r="15" spans="1:26" x14ac:dyDescent="0.2">
      <c r="A15" s="1" t="s">
        <v>2</v>
      </c>
      <c r="B15" s="1"/>
      <c r="C15" s="1"/>
      <c r="D15" s="1"/>
      <c r="E15" s="1"/>
      <c r="G15" s="3"/>
      <c r="H15" s="3"/>
      <c r="J15" s="1" t="str">
        <f>A94</f>
        <v>C_M6_MOD.mat</v>
      </c>
      <c r="K15" s="1">
        <f>E94</f>
        <v>2.367607645602956</v>
      </c>
      <c r="L15" s="5">
        <f>G94</f>
        <v>0.14524886877828025</v>
      </c>
      <c r="M15" s="1">
        <f>F94</f>
        <v>0.46128405522692695</v>
      </c>
      <c r="N15" s="5">
        <f>H94</f>
        <v>0.80036410954764581</v>
      </c>
      <c r="V15" s="4"/>
      <c r="W15" s="4"/>
      <c r="X15" s="4"/>
    </row>
    <row r="16" spans="1:26" x14ac:dyDescent="0.2">
      <c r="A16" s="1" t="s">
        <v>4</v>
      </c>
      <c r="B16" s="1">
        <v>1.3780313870000001E-2</v>
      </c>
      <c r="C16" s="1">
        <v>4.7385091020000006E-3</v>
      </c>
      <c r="D16" s="1">
        <f t="shared" si="0"/>
        <v>2.9081539305651418</v>
      </c>
      <c r="E16" s="1">
        <f>AVERAGE(D16:D19)</f>
        <v>2.6610701832437287</v>
      </c>
      <c r="F16" s="2">
        <f>_xlfn.STDEV.S(D16:D19)</f>
        <v>0.33976318685894813</v>
      </c>
      <c r="G16" s="3">
        <v>9.0436590436590164E-2</v>
      </c>
      <c r="H16" s="3">
        <v>0.48563206852537144</v>
      </c>
      <c r="J16" s="1" t="str">
        <f>A102</f>
        <v>C_M7_MOD.mat</v>
      </c>
      <c r="K16" s="1">
        <f>E102</f>
        <v>2.0306623489044209</v>
      </c>
      <c r="L16" s="5">
        <f>G102</f>
        <v>0.16490566037735838</v>
      </c>
      <c r="M16" s="1">
        <f>F102</f>
        <v>0.30075442753308113</v>
      </c>
      <c r="N16" s="5">
        <f>H102</f>
        <v>0.93541380997219403</v>
      </c>
      <c r="V16" s="4"/>
      <c r="W16" s="4"/>
      <c r="X16" s="4"/>
    </row>
    <row r="17" spans="1:26" x14ac:dyDescent="0.2">
      <c r="A17" s="1" t="s">
        <v>4</v>
      </c>
      <c r="B17" s="1">
        <v>1.3738815306000001E-2</v>
      </c>
      <c r="C17" s="1">
        <v>5.7021301690000003E-3</v>
      </c>
      <c r="D17" s="1">
        <f t="shared" si="0"/>
        <v>2.409418041820925</v>
      </c>
      <c r="E17" s="1"/>
      <c r="G17" s="3"/>
      <c r="H17" s="3"/>
      <c r="J17" s="1" t="str">
        <f>A109</f>
        <v>C_M8_2_MOD.mat</v>
      </c>
      <c r="K17" s="1">
        <f>E109</f>
        <v>2.8830907121228746</v>
      </c>
      <c r="L17" s="5">
        <f>G109</f>
        <v>0.22849968612680469</v>
      </c>
      <c r="M17" s="1">
        <f>F109</f>
        <v>0.60282382271864421</v>
      </c>
      <c r="N17" s="5">
        <f>H109</f>
        <v>0.84752060591561551</v>
      </c>
      <c r="V17" s="4"/>
      <c r="W17" s="4"/>
      <c r="X17" s="4"/>
    </row>
    <row r="18" spans="1:26" x14ac:dyDescent="0.2">
      <c r="A18" s="1" t="s">
        <v>4</v>
      </c>
      <c r="B18" s="1">
        <v>1.922394903E-2</v>
      </c>
      <c r="C18" s="1">
        <v>6.4155393060000001E-3</v>
      </c>
      <c r="D18" s="1">
        <f t="shared" si="0"/>
        <v>2.9964665654875189</v>
      </c>
      <c r="E18" s="1"/>
      <c r="G18" s="3"/>
      <c r="H18" s="3"/>
      <c r="J18" s="1" t="str">
        <f>A117</f>
        <v>C_M8_MOD.mat</v>
      </c>
      <c r="K18" s="1">
        <f>E117</f>
        <v>2.1972161872219305</v>
      </c>
      <c r="L18" s="5">
        <f>G117</f>
        <v>0.22849968612680469</v>
      </c>
      <c r="M18" s="1">
        <f>F117</f>
        <v>0.59223100613067825</v>
      </c>
      <c r="N18" s="5">
        <f>H117</f>
        <v>0.84752060591561551</v>
      </c>
      <c r="V18" s="4"/>
      <c r="W18" s="4"/>
      <c r="X18" s="4"/>
    </row>
    <row r="19" spans="1:26" x14ac:dyDescent="0.2">
      <c r="A19" s="1" t="s">
        <v>4</v>
      </c>
      <c r="B19" s="1">
        <v>1.6606488132999999E-2</v>
      </c>
      <c r="C19" s="1">
        <v>7.1265073510000006E-3</v>
      </c>
      <c r="D19" s="1">
        <f t="shared" si="0"/>
        <v>2.330242195101329</v>
      </c>
      <c r="E19" s="1"/>
      <c r="G19" s="3"/>
      <c r="H19" s="3"/>
      <c r="J19" s="1"/>
      <c r="K19" s="1"/>
      <c r="L19" s="1"/>
      <c r="V19" s="4"/>
      <c r="W19" s="4"/>
      <c r="X19" s="4"/>
      <c r="Z19" s="8" t="s">
        <v>79</v>
      </c>
    </row>
    <row r="20" spans="1:26" x14ac:dyDescent="0.2">
      <c r="A20" s="1" t="s">
        <v>2</v>
      </c>
      <c r="B20" s="1"/>
      <c r="C20" s="1"/>
      <c r="D20" s="1"/>
      <c r="E20" s="1"/>
      <c r="G20" s="1"/>
      <c r="H20" s="1"/>
      <c r="J20" s="1"/>
      <c r="K20" s="1"/>
      <c r="L20" s="3"/>
      <c r="M20" s="1"/>
      <c r="Z20" s="2">
        <f>15%*1.2</f>
        <v>0.18</v>
      </c>
    </row>
    <row r="21" spans="1:26" x14ac:dyDescent="0.2">
      <c r="A21" s="1" t="s">
        <v>5</v>
      </c>
      <c r="B21" s="1">
        <v>1.6500300631000001E-2</v>
      </c>
      <c r="C21" s="1">
        <v>4.797705583E-3</v>
      </c>
      <c r="D21" s="1">
        <f t="shared" si="0"/>
        <v>3.4392065843861936</v>
      </c>
      <c r="E21" s="1">
        <f>AVERAGE(D21:D26)</f>
        <v>2.9323477901572517</v>
      </c>
      <c r="F21" s="2">
        <f>_xlfn.STDEV.S(D21:D26)</f>
        <v>0.33922474932521424</v>
      </c>
      <c r="G21" s="3">
        <v>9.0436590436590164E-2</v>
      </c>
      <c r="H21" s="3">
        <v>0.48563206852537144</v>
      </c>
      <c r="J21" s="1"/>
      <c r="K21" s="1"/>
      <c r="L21" s="3"/>
      <c r="M21" s="1"/>
      <c r="Z21" s="9">
        <f>15%*1.5</f>
        <v>0.22499999999999998</v>
      </c>
    </row>
    <row r="22" spans="1:26" x14ac:dyDescent="0.2">
      <c r="A22" s="1" t="s">
        <v>5</v>
      </c>
      <c r="B22" s="1">
        <v>1.5862565345999998E-2</v>
      </c>
      <c r="C22" s="1">
        <v>5.2651747010000003E-3</v>
      </c>
      <c r="D22" s="1">
        <f t="shared" si="0"/>
        <v>3.0127329569875934</v>
      </c>
      <c r="E22" s="1"/>
      <c r="G22" s="3"/>
      <c r="H22" s="3"/>
      <c r="J22" s="1"/>
      <c r="K22" s="1"/>
      <c r="L22" s="3"/>
      <c r="M22" s="1"/>
    </row>
    <row r="23" spans="1:26" x14ac:dyDescent="0.2">
      <c r="A23" s="1" t="s">
        <v>5</v>
      </c>
      <c r="B23" s="1">
        <v>1.7433408048000001E-2</v>
      </c>
      <c r="C23" s="1">
        <v>5.7161664479999999E-3</v>
      </c>
      <c r="D23" s="1">
        <f t="shared" si="0"/>
        <v>3.0498426185786958</v>
      </c>
      <c r="E23" s="1"/>
      <c r="G23" s="3"/>
      <c r="H23" s="3"/>
      <c r="J23" s="1"/>
      <c r="K23" s="1"/>
      <c r="L23" s="3"/>
      <c r="M23" s="1"/>
    </row>
    <row r="24" spans="1:26" x14ac:dyDescent="0.2">
      <c r="A24" s="1" t="s">
        <v>5</v>
      </c>
      <c r="B24" s="1">
        <v>1.0380482987000001E-2</v>
      </c>
      <c r="C24" s="1">
        <v>4.2283208739999998E-3</v>
      </c>
      <c r="D24" s="1">
        <f t="shared" si="0"/>
        <v>2.4549894145521751</v>
      </c>
      <c r="E24" s="1"/>
      <c r="G24" s="3"/>
      <c r="H24" s="3"/>
      <c r="J24" s="1"/>
      <c r="K24" s="1"/>
      <c r="L24" s="3"/>
      <c r="M24" s="1"/>
    </row>
    <row r="25" spans="1:26" x14ac:dyDescent="0.2">
      <c r="A25" s="1" t="s">
        <v>5</v>
      </c>
      <c r="B25" s="1">
        <v>1.5576957582000001E-2</v>
      </c>
      <c r="C25" s="1">
        <v>5.2486973299999996E-3</v>
      </c>
      <c r="D25" s="1">
        <f t="shared" si="0"/>
        <v>2.9677759266031067</v>
      </c>
      <c r="E25" s="1"/>
      <c r="G25" s="3"/>
      <c r="H25" s="3"/>
    </row>
    <row r="26" spans="1:26" x14ac:dyDescent="0.2">
      <c r="A26" s="1" t="s">
        <v>5</v>
      </c>
      <c r="B26" s="1">
        <v>1.3069956098000001E-2</v>
      </c>
      <c r="C26" s="1">
        <v>4.8959595360000005E-3</v>
      </c>
      <c r="D26" s="1">
        <f t="shared" si="0"/>
        <v>2.6695392398357436</v>
      </c>
      <c r="E26" s="1"/>
      <c r="G26" s="1"/>
      <c r="H26" s="1"/>
    </row>
    <row r="27" spans="1:26" x14ac:dyDescent="0.2">
      <c r="A27" s="1" t="s">
        <v>2</v>
      </c>
      <c r="B27" s="1"/>
      <c r="C27" s="1"/>
      <c r="D27" s="1"/>
      <c r="E27" s="1"/>
      <c r="G27" s="3"/>
      <c r="H27" s="3"/>
    </row>
    <row r="28" spans="1:26" x14ac:dyDescent="0.2">
      <c r="A28" s="1" t="s">
        <v>6</v>
      </c>
      <c r="B28" s="1">
        <v>1.6243375697999999E-2</v>
      </c>
      <c r="C28" s="1">
        <v>3.5728876720000002E-3</v>
      </c>
      <c r="D28" s="1">
        <f t="shared" si="0"/>
        <v>4.5462878179171593</v>
      </c>
      <c r="E28" s="1">
        <f>AVERAGE(D28:D33)</f>
        <v>3.7188004175787275</v>
      </c>
      <c r="F28" s="2">
        <f>_xlfn.STDEV.S(D28:D33)</f>
        <v>0.42785092601437319</v>
      </c>
      <c r="G28" s="3">
        <v>0.19980314960629944</v>
      </c>
      <c r="H28" s="3">
        <v>0.89008626635008214</v>
      </c>
      <c r="T28" s="2" t="s">
        <v>70</v>
      </c>
      <c r="U28" s="2" t="s">
        <v>66</v>
      </c>
      <c r="V28" s="2" t="s">
        <v>71</v>
      </c>
      <c r="W28" s="2" t="s">
        <v>76</v>
      </c>
      <c r="X28" s="2" t="s">
        <v>75</v>
      </c>
      <c r="Y28" s="2" t="s">
        <v>72</v>
      </c>
      <c r="Z28" s="2" t="s">
        <v>73</v>
      </c>
    </row>
    <row r="29" spans="1:26" x14ac:dyDescent="0.2">
      <c r="A29" s="1" t="s">
        <v>6</v>
      </c>
      <c r="B29" s="1">
        <v>1.6339798831999999E-2</v>
      </c>
      <c r="C29" s="1">
        <v>4.7934336720000005E-3</v>
      </c>
      <c r="D29" s="1">
        <f t="shared" si="0"/>
        <v>3.4087879274195574</v>
      </c>
      <c r="E29" s="1"/>
      <c r="G29" s="3"/>
      <c r="H29" s="3"/>
      <c r="T29" s="2" t="s">
        <v>1</v>
      </c>
      <c r="U29" s="2">
        <v>2.5650682126413478</v>
      </c>
      <c r="V29" s="6">
        <v>0.1622203098106714</v>
      </c>
      <c r="W29" s="4">
        <v>0.18099999999999999</v>
      </c>
      <c r="X29" s="6">
        <v>0.89624480558381991</v>
      </c>
      <c r="Y29" s="2">
        <v>0.14533248039048227</v>
      </c>
      <c r="Z29" s="6">
        <v>0.72146316810745281</v>
      </c>
    </row>
    <row r="30" spans="1:26" x14ac:dyDescent="0.2">
      <c r="A30" s="1" t="s">
        <v>6</v>
      </c>
      <c r="B30" s="1">
        <v>1.5466498169E-2</v>
      </c>
      <c r="C30" s="1">
        <v>4.3760069399999997E-3</v>
      </c>
      <c r="D30" s="1">
        <f t="shared" si="0"/>
        <v>3.5343861152560239</v>
      </c>
      <c r="E30" s="1"/>
      <c r="G30" s="3"/>
      <c r="H30" s="3"/>
      <c r="T30" s="2" t="s">
        <v>6</v>
      </c>
      <c r="U30" s="2">
        <v>3.7188004175787275</v>
      </c>
      <c r="V30" s="6">
        <v>0.19980314960629944</v>
      </c>
      <c r="W30" s="4">
        <v>0.18099999999999999</v>
      </c>
      <c r="X30" s="6">
        <v>1.1038848044546932</v>
      </c>
      <c r="Y30" s="2">
        <v>0.42785092601437319</v>
      </c>
      <c r="Z30" s="6">
        <v>0.89008626635008214</v>
      </c>
    </row>
    <row r="31" spans="1:26" x14ac:dyDescent="0.2">
      <c r="A31" s="1" t="s">
        <v>6</v>
      </c>
      <c r="B31" s="1">
        <v>1.8339053179999999E-2</v>
      </c>
      <c r="C31" s="1">
        <v>4.844086331E-3</v>
      </c>
      <c r="D31" s="1">
        <f t="shared" si="0"/>
        <v>3.7858642325670804</v>
      </c>
      <c r="E31" s="1"/>
      <c r="G31" s="3"/>
      <c r="H31" s="3"/>
      <c r="T31" s="2" t="s">
        <v>8</v>
      </c>
      <c r="U31" s="2">
        <v>3.3843681758450024</v>
      </c>
      <c r="V31" s="6">
        <v>0.26691858467880425</v>
      </c>
      <c r="W31" s="4">
        <v>0.18099999999999999</v>
      </c>
      <c r="X31" s="6">
        <v>1.474688313142565</v>
      </c>
      <c r="Y31" s="2">
        <v>0.36023316880429535</v>
      </c>
      <c r="Z31" s="6">
        <v>0.93239651547725655</v>
      </c>
    </row>
    <row r="32" spans="1:26" x14ac:dyDescent="0.2">
      <c r="A32" s="1" t="s">
        <v>6</v>
      </c>
      <c r="B32" s="1">
        <v>1.6563158750000001E-2</v>
      </c>
      <c r="C32" s="1">
        <v>4.8294397790000004E-3</v>
      </c>
      <c r="D32" s="1">
        <f t="shared" si="0"/>
        <v>3.4296232084769103</v>
      </c>
      <c r="E32" s="1"/>
      <c r="G32" s="3"/>
      <c r="H32" s="3"/>
      <c r="T32" s="2" t="s">
        <v>10</v>
      </c>
      <c r="U32" s="2">
        <v>2.4957530617775538</v>
      </c>
      <c r="V32" s="6">
        <v>0.11699064074874009</v>
      </c>
      <c r="W32" s="4">
        <v>0.18099999999999999</v>
      </c>
      <c r="X32" s="6">
        <v>0.64635713120850879</v>
      </c>
      <c r="Y32" s="2">
        <v>0.47831813891511588</v>
      </c>
      <c r="Z32" s="6">
        <v>0.45406540028031028</v>
      </c>
    </row>
    <row r="33" spans="1:26" x14ac:dyDescent="0.2">
      <c r="A33" s="1" t="s">
        <v>6</v>
      </c>
      <c r="B33" s="1">
        <v>1.640448777E-2</v>
      </c>
      <c r="C33" s="1">
        <v>4.54688338E-3</v>
      </c>
      <c r="D33" s="1">
        <f t="shared" si="0"/>
        <v>3.6078532038356346</v>
      </c>
      <c r="E33" s="1"/>
      <c r="G33" s="1"/>
      <c r="H33" s="1"/>
      <c r="T33" s="2" t="s">
        <v>12</v>
      </c>
      <c r="U33" s="2">
        <v>2.0158880434200936</v>
      </c>
      <c r="V33" s="6">
        <v>0.10631793478260841</v>
      </c>
      <c r="W33" s="4">
        <v>0.15</v>
      </c>
      <c r="X33" s="6">
        <v>0.70878623188405609</v>
      </c>
      <c r="Y33" s="2">
        <v>0.32242117742333626</v>
      </c>
      <c r="Z33" s="6">
        <v>0.54014282865007168</v>
      </c>
    </row>
    <row r="34" spans="1:26" x14ac:dyDescent="0.2">
      <c r="A34" s="1" t="s">
        <v>2</v>
      </c>
      <c r="B34" s="1"/>
      <c r="C34" s="1"/>
      <c r="D34" s="1"/>
      <c r="E34" s="1"/>
      <c r="G34" s="3"/>
      <c r="H34" s="3"/>
      <c r="T34" s="2" t="s">
        <v>13</v>
      </c>
      <c r="U34" s="2">
        <v>2.0417622203199088</v>
      </c>
      <c r="V34" s="6">
        <v>0.14524886877828025</v>
      </c>
      <c r="W34" s="4">
        <v>0.15</v>
      </c>
      <c r="X34" s="6">
        <v>0.96832579185520173</v>
      </c>
      <c r="Y34" s="2">
        <v>0.2603831055085693</v>
      </c>
      <c r="Z34" s="6">
        <v>0.80036410954764581</v>
      </c>
    </row>
    <row r="35" spans="1:26" x14ac:dyDescent="0.2">
      <c r="A35" s="1" t="s">
        <v>7</v>
      </c>
      <c r="B35" s="1">
        <v>1.7163667381999998E-2</v>
      </c>
      <c r="C35" s="1">
        <v>6.3172853529999996E-3</v>
      </c>
      <c r="D35" s="1">
        <f t="shared" si="0"/>
        <v>2.7169371688820716</v>
      </c>
      <c r="E35" s="1">
        <f>AVERAGE(D35:D40)</f>
        <v>2.3321449284662177</v>
      </c>
      <c r="F35" s="2">
        <f>_xlfn.STDEV.S(D35:D40)</f>
        <v>0.2883705128405239</v>
      </c>
      <c r="G35" s="3">
        <v>0.1508515815085158</v>
      </c>
      <c r="H35" s="3">
        <v>0.87703463949314364</v>
      </c>
      <c r="T35" s="2" t="s">
        <v>16</v>
      </c>
      <c r="U35" s="2">
        <v>2.0306623489044209</v>
      </c>
      <c r="V35" s="6">
        <v>0.16490566037735838</v>
      </c>
      <c r="W35" s="4">
        <v>0.15</v>
      </c>
      <c r="X35" s="6">
        <v>1.0993710691823892</v>
      </c>
      <c r="Y35" s="2">
        <v>0.30075442753308113</v>
      </c>
      <c r="Z35" s="6">
        <v>0.93541380997219403</v>
      </c>
    </row>
    <row r="36" spans="1:26" x14ac:dyDescent="0.2">
      <c r="A36" s="1" t="s">
        <v>7</v>
      </c>
      <c r="B36" s="1">
        <v>1.5933357014000001E-2</v>
      </c>
      <c r="C36" s="1">
        <v>7.0746341460000001E-3</v>
      </c>
      <c r="D36" s="1">
        <f t="shared" si="0"/>
        <v>2.2521810577312644</v>
      </c>
      <c r="E36" s="1"/>
      <c r="G36" s="3"/>
      <c r="H36" s="3"/>
      <c r="T36" s="2" t="s">
        <v>17</v>
      </c>
      <c r="U36" s="2">
        <v>2.8830907121228746</v>
      </c>
      <c r="V36" s="6">
        <v>0.22849968612680469</v>
      </c>
      <c r="W36" s="4">
        <v>0.15</v>
      </c>
      <c r="X36" s="6">
        <v>1.5233312408453645</v>
      </c>
      <c r="Y36" s="2">
        <v>0.60282382271864421</v>
      </c>
      <c r="Z36" s="6">
        <v>0.84752060591561551</v>
      </c>
    </row>
    <row r="37" spans="1:26" x14ac:dyDescent="0.2">
      <c r="A37" s="1" t="s">
        <v>7</v>
      </c>
      <c r="B37" s="1">
        <v>6.4265242200000003E-3</v>
      </c>
      <c r="C37" s="1">
        <v>2.4115381530000002E-3</v>
      </c>
      <c r="D37" s="1">
        <f t="shared" si="0"/>
        <v>2.6649067160746678</v>
      </c>
      <c r="E37" s="1"/>
      <c r="G37" s="3"/>
      <c r="H37" s="3"/>
      <c r="T37" s="2" t="s">
        <v>4</v>
      </c>
      <c r="U37" s="2">
        <v>2.6610701832437287</v>
      </c>
      <c r="V37" s="6">
        <v>9.0436590436590164E-2</v>
      </c>
      <c r="W37" s="4">
        <v>0.14499999999999999</v>
      </c>
      <c r="X37" s="6">
        <v>0.62370062370062185</v>
      </c>
      <c r="Y37" s="2">
        <v>0.33976318685894813</v>
      </c>
      <c r="Z37" s="6">
        <v>0.48563206852537144</v>
      </c>
    </row>
    <row r="38" spans="1:26" x14ac:dyDescent="0.2">
      <c r="A38" s="1" t="s">
        <v>7</v>
      </c>
      <c r="B38" s="1">
        <v>1.8338442906999999E-2</v>
      </c>
      <c r="C38" s="1">
        <v>8.2610048579999998E-3</v>
      </c>
      <c r="D38" s="1">
        <f t="shared" si="0"/>
        <v>2.219880416755954</v>
      </c>
      <c r="E38" s="1"/>
      <c r="G38" s="3"/>
      <c r="H38" s="3"/>
      <c r="T38" s="2" t="s">
        <v>7</v>
      </c>
      <c r="U38" s="2">
        <v>2.3321449284662177</v>
      </c>
      <c r="V38" s="6">
        <v>0.1508515815085158</v>
      </c>
      <c r="W38" s="4">
        <v>0.14499999999999999</v>
      </c>
      <c r="X38" s="6">
        <v>1.0403557345414882</v>
      </c>
      <c r="Y38" s="2">
        <v>0.2883705128405239</v>
      </c>
      <c r="Z38" s="6">
        <v>0.87703463949314364</v>
      </c>
    </row>
    <row r="39" spans="1:26" x14ac:dyDescent="0.2">
      <c r="A39" s="1" t="s">
        <v>7</v>
      </c>
      <c r="B39" s="1">
        <v>1.3962175224000001E-2</v>
      </c>
      <c r="C39" s="1">
        <v>6.738983996E-3</v>
      </c>
      <c r="D39" s="1">
        <f t="shared" si="0"/>
        <v>2.0718516667033797</v>
      </c>
      <c r="E39" s="1"/>
      <c r="G39" s="3"/>
      <c r="H39" s="3"/>
      <c r="T39" s="2" t="s">
        <v>9</v>
      </c>
      <c r="U39" s="2">
        <v>2.9639171140714216</v>
      </c>
      <c r="V39" s="6">
        <v>0.18550811785929003</v>
      </c>
      <c r="W39" s="4">
        <v>0.14499999999999999</v>
      </c>
      <c r="X39" s="6">
        <v>1.2793663300640692</v>
      </c>
      <c r="Y39" s="2">
        <v>0.49394238598869122</v>
      </c>
      <c r="Z39" s="6">
        <v>0.97821310228622105</v>
      </c>
    </row>
    <row r="40" spans="1:26" x14ac:dyDescent="0.2">
      <c r="A40" s="1" t="s">
        <v>7</v>
      </c>
      <c r="B40" s="1">
        <v>1.6756005017999998E-2</v>
      </c>
      <c r="C40" s="1">
        <v>8.1059955160000009E-3</v>
      </c>
      <c r="D40" s="1">
        <f t="shared" si="0"/>
        <v>2.0671125446499685</v>
      </c>
      <c r="E40" s="1"/>
      <c r="G40" s="1"/>
      <c r="H40" s="1"/>
      <c r="T40" s="2" t="s">
        <v>11</v>
      </c>
      <c r="U40" s="2">
        <v>4.120947298491358</v>
      </c>
      <c r="V40" s="6">
        <v>0.22477693891557984</v>
      </c>
      <c r="W40" s="4">
        <v>0.14499999999999999</v>
      </c>
      <c r="X40" s="6">
        <v>1.5501857856246888</v>
      </c>
      <c r="Y40" s="2">
        <v>0.46424785685652692</v>
      </c>
      <c r="Z40" s="6">
        <v>0.97159218533661007</v>
      </c>
    </row>
    <row r="41" spans="1:26" x14ac:dyDescent="0.2">
      <c r="A41" s="1" t="s">
        <v>2</v>
      </c>
      <c r="B41" s="1"/>
      <c r="C41" s="1"/>
      <c r="D41" s="1"/>
      <c r="E41" s="1"/>
      <c r="G41" s="3"/>
      <c r="H41" s="3"/>
    </row>
    <row r="42" spans="1:26" x14ac:dyDescent="0.2">
      <c r="A42" s="1" t="s">
        <v>8</v>
      </c>
      <c r="B42" s="1">
        <v>2.0035612119999997E-2</v>
      </c>
      <c r="C42" s="1">
        <v>5.2358815970000002E-3</v>
      </c>
      <c r="D42" s="1">
        <f t="shared" si="0"/>
        <v>3.8265976319021022</v>
      </c>
      <c r="E42" s="1">
        <f>AVERAGE(D42:D45)</f>
        <v>3.3843681758450024</v>
      </c>
      <c r="F42" s="2">
        <f>_xlfn.STDEV.S(D42:D45)</f>
        <v>0.36023316880429535</v>
      </c>
      <c r="G42" s="3">
        <v>0.26691858467880425</v>
      </c>
      <c r="H42" s="3">
        <v>0.93239651547725655</v>
      </c>
    </row>
    <row r="43" spans="1:26" x14ac:dyDescent="0.2">
      <c r="A43" s="1" t="s">
        <v>8</v>
      </c>
      <c r="B43" s="1">
        <v>1.7452326511E-2</v>
      </c>
      <c r="C43" s="1">
        <v>5.9273209060000005E-3</v>
      </c>
      <c r="D43" s="1">
        <f t="shared" si="0"/>
        <v>2.9443869815338792</v>
      </c>
      <c r="E43" s="1"/>
      <c r="G43" s="3"/>
      <c r="H43" s="3"/>
    </row>
    <row r="44" spans="1:26" x14ac:dyDescent="0.2">
      <c r="A44" s="1" t="s">
        <v>8</v>
      </c>
      <c r="B44" s="1">
        <v>2.0312065788999998E-2</v>
      </c>
      <c r="C44" s="1">
        <v>5.9883482060000002E-3</v>
      </c>
      <c r="D44" s="1">
        <f t="shared" si="0"/>
        <v>3.391931312318881</v>
      </c>
      <c r="E44" s="1"/>
      <c r="G44" s="3"/>
      <c r="H44" s="3"/>
    </row>
    <row r="45" spans="1:26" x14ac:dyDescent="0.2">
      <c r="A45" s="1" t="s">
        <v>8</v>
      </c>
      <c r="B45" s="1">
        <v>1.8517252896000001E-2</v>
      </c>
      <c r="C45" s="1">
        <v>5.4873140730000002E-3</v>
      </c>
      <c r="D45" s="1">
        <f t="shared" si="0"/>
        <v>3.3745567776251471</v>
      </c>
      <c r="E45" s="1"/>
      <c r="G45" s="3"/>
      <c r="H45" s="3"/>
    </row>
    <row r="46" spans="1:26" x14ac:dyDescent="0.2">
      <c r="A46" s="1" t="s">
        <v>2</v>
      </c>
      <c r="B46" s="1"/>
      <c r="C46" s="1"/>
      <c r="D46" s="1"/>
      <c r="E46" s="1"/>
      <c r="G46" s="3"/>
      <c r="H46" s="3"/>
    </row>
    <row r="47" spans="1:26" x14ac:dyDescent="0.2">
      <c r="A47" s="1" t="s">
        <v>9</v>
      </c>
      <c r="B47" s="1">
        <v>1.6976313571000001E-2</v>
      </c>
      <c r="C47" s="1">
        <v>4.175227123E-3</v>
      </c>
      <c r="D47" s="1">
        <f>B47/C47</f>
        <v>4.0659617000193551</v>
      </c>
      <c r="E47" s="1">
        <f>AVERAGE(D47:D53)</f>
        <v>2.9639171140714216</v>
      </c>
      <c r="F47" s="2">
        <f>_xlfn.STDEV.S(D47:D53)</f>
        <v>0.49394238598869122</v>
      </c>
      <c r="G47" s="3">
        <v>0.18550811785929003</v>
      </c>
      <c r="H47" s="3">
        <v>0.97821310228622105</v>
      </c>
    </row>
    <row r="48" spans="1:26" x14ac:dyDescent="0.2">
      <c r="A48" s="1" t="s">
        <v>9</v>
      </c>
      <c r="B48" s="1">
        <v>1.5511048098E-2</v>
      </c>
      <c r="C48" s="1">
        <v>5.5892296640000002E-3</v>
      </c>
      <c r="D48" s="1">
        <f t="shared" si="0"/>
        <v>2.7751674256483012</v>
      </c>
      <c r="E48" s="1"/>
      <c r="G48" s="3"/>
      <c r="H48" s="3"/>
    </row>
    <row r="49" spans="1:8" x14ac:dyDescent="0.2">
      <c r="A49" s="1" t="s">
        <v>9</v>
      </c>
      <c r="B49" s="1">
        <v>1.7836188228E-2</v>
      </c>
      <c r="C49" s="1">
        <v>6.1531219160000008E-3</v>
      </c>
      <c r="D49" s="1">
        <f t="shared" si="0"/>
        <v>2.8987217336975641</v>
      </c>
      <c r="E49" s="1"/>
      <c r="G49" s="3"/>
      <c r="H49" s="3"/>
    </row>
    <row r="50" spans="1:8" x14ac:dyDescent="0.2">
      <c r="A50" s="1" t="s">
        <v>9</v>
      </c>
      <c r="B50" s="1">
        <v>1.7571329746000001E-2</v>
      </c>
      <c r="C50" s="1">
        <v>6.5967903869999997E-3</v>
      </c>
      <c r="D50" s="1">
        <f t="shared" si="0"/>
        <v>2.6636180195488759</v>
      </c>
      <c r="E50" s="1"/>
      <c r="G50" s="3"/>
      <c r="H50" s="3"/>
    </row>
    <row r="51" spans="1:8" x14ac:dyDescent="0.2">
      <c r="A51" s="1" t="s">
        <v>9</v>
      </c>
      <c r="B51" s="1">
        <v>1.8146206912000001E-2</v>
      </c>
      <c r="C51" s="1">
        <v>6.4448324100000003E-3</v>
      </c>
      <c r="D51" s="1">
        <f t="shared" si="0"/>
        <v>2.8156212229574487</v>
      </c>
      <c r="E51" s="1"/>
      <c r="G51" s="3"/>
      <c r="H51" s="3"/>
    </row>
    <row r="52" spans="1:8" x14ac:dyDescent="0.2">
      <c r="A52" s="1" t="s">
        <v>9</v>
      </c>
      <c r="B52" s="1">
        <v>1.6187840855E-2</v>
      </c>
      <c r="C52" s="1">
        <v>6.061580966E-3</v>
      </c>
      <c r="D52" s="1">
        <f t="shared" si="0"/>
        <v>2.6705641557539495</v>
      </c>
      <c r="E52" s="1"/>
      <c r="G52" s="3"/>
      <c r="H52" s="3"/>
    </row>
    <row r="53" spans="1:8" x14ac:dyDescent="0.2">
      <c r="A53" s="1" t="s">
        <v>9</v>
      </c>
      <c r="B53" s="1">
        <v>1.8627102036000001E-2</v>
      </c>
      <c r="C53" s="1">
        <v>6.5180651700000002E-3</v>
      </c>
      <c r="D53" s="1">
        <f t="shared" si="0"/>
        <v>2.8577655408744556</v>
      </c>
      <c r="E53" s="1"/>
      <c r="G53" s="3"/>
      <c r="H53" s="3"/>
    </row>
    <row r="54" spans="1:8" x14ac:dyDescent="0.2">
      <c r="A54" s="1" t="s">
        <v>2</v>
      </c>
      <c r="B54" s="1"/>
      <c r="C54" s="1"/>
      <c r="D54" s="1"/>
      <c r="E54" s="1"/>
      <c r="G54" s="1"/>
      <c r="H54" s="1"/>
    </row>
    <row r="55" spans="1:8" x14ac:dyDescent="0.2">
      <c r="A55" s="1" t="s">
        <v>10</v>
      </c>
      <c r="B55" s="1">
        <v>1.4357632128E-2</v>
      </c>
      <c r="C55" s="1">
        <v>4.6536811550000005E-3</v>
      </c>
      <c r="D55" s="1">
        <f t="shared" si="0"/>
        <v>3.0852204200912854</v>
      </c>
      <c r="E55" s="1">
        <f>AVERAGE(D55:D62)</f>
        <v>2.4957530617775538</v>
      </c>
      <c r="F55" s="2">
        <f>_xlfn.STDEV.S(D55:D62)</f>
        <v>0.47831813891511588</v>
      </c>
      <c r="G55" s="3">
        <v>0.11699064074874009</v>
      </c>
      <c r="H55" s="3">
        <v>0.45406540028031028</v>
      </c>
    </row>
    <row r="56" spans="1:8" x14ac:dyDescent="0.2">
      <c r="A56" s="1" t="s">
        <v>10</v>
      </c>
      <c r="B56" s="1">
        <v>1.5896130360999999E-2</v>
      </c>
      <c r="C56" s="1">
        <v>4.9411197380000004E-3</v>
      </c>
      <c r="D56" s="1">
        <f t="shared" si="0"/>
        <v>3.2171109391965915</v>
      </c>
      <c r="E56" s="1"/>
      <c r="G56" s="3"/>
      <c r="H56" s="3"/>
    </row>
    <row r="57" spans="1:8" x14ac:dyDescent="0.2">
      <c r="A57" s="1" t="s">
        <v>10</v>
      </c>
      <c r="B57" s="1">
        <v>1.6363599478999999E-2</v>
      </c>
      <c r="C57" s="1">
        <v>6.0152002180000001E-3</v>
      </c>
      <c r="D57" s="1">
        <f t="shared" si="0"/>
        <v>2.7203748646692176</v>
      </c>
      <c r="E57" s="1"/>
      <c r="G57" s="3"/>
      <c r="H57" s="3"/>
    </row>
    <row r="58" spans="1:8" x14ac:dyDescent="0.2">
      <c r="A58" s="1" t="s">
        <v>10</v>
      </c>
      <c r="B58" s="1">
        <v>1.8074804970999999E-2</v>
      </c>
      <c r="C58" s="1">
        <v>7.6519524040000002E-3</v>
      </c>
      <c r="D58" s="1">
        <f t="shared" si="0"/>
        <v>2.3621167535688712</v>
      </c>
      <c r="E58" s="1"/>
      <c r="G58" s="3"/>
      <c r="H58" s="3"/>
    </row>
    <row r="59" spans="1:8" x14ac:dyDescent="0.2">
      <c r="A59" s="1" t="s">
        <v>10</v>
      </c>
      <c r="B59" s="1">
        <v>1.8418998943E-2</v>
      </c>
      <c r="C59" s="1">
        <v>7.9924847380000007E-3</v>
      </c>
      <c r="D59" s="1">
        <f t="shared" si="0"/>
        <v>2.3045397703954924</v>
      </c>
      <c r="E59" s="1"/>
      <c r="G59" s="3"/>
      <c r="H59" s="3"/>
    </row>
    <row r="60" spans="1:8" x14ac:dyDescent="0.2">
      <c r="A60" s="1" t="s">
        <v>10</v>
      </c>
      <c r="B60" s="1">
        <v>1.7015371043000001E-2</v>
      </c>
      <c r="C60" s="1">
        <v>8.7370177980000008E-3</v>
      </c>
      <c r="D60" s="1">
        <f t="shared" si="0"/>
        <v>1.9475033056353628</v>
      </c>
      <c r="E60" s="1"/>
      <c r="G60" s="3"/>
      <c r="H60" s="3"/>
    </row>
    <row r="61" spans="1:8" x14ac:dyDescent="0.2">
      <c r="A61" s="1" t="s">
        <v>10</v>
      </c>
      <c r="B61" s="1">
        <v>1.5747834022000001E-2</v>
      </c>
      <c r="C61" s="1">
        <v>8.1542070830000011E-3</v>
      </c>
      <c r="D61" s="1">
        <f t="shared" si="0"/>
        <v>1.9312526480755308</v>
      </c>
      <c r="E61" s="1"/>
      <c r="G61" s="1"/>
      <c r="H61" s="1"/>
    </row>
    <row r="62" spans="1:8" x14ac:dyDescent="0.2">
      <c r="A62" s="1" t="s">
        <v>10</v>
      </c>
      <c r="B62" s="1">
        <v>1.7750139735E-2</v>
      </c>
      <c r="C62" s="1">
        <v>7.4023507470000003E-3</v>
      </c>
      <c r="D62" s="1">
        <f t="shared" si="0"/>
        <v>2.3979057925880798</v>
      </c>
      <c r="E62" s="1"/>
      <c r="G62" s="3"/>
      <c r="H62" s="3"/>
    </row>
    <row r="63" spans="1:8" x14ac:dyDescent="0.2">
      <c r="A63" s="1" t="s">
        <v>2</v>
      </c>
      <c r="B63" s="1"/>
      <c r="C63" s="1"/>
      <c r="D63" s="1"/>
      <c r="E63" s="1"/>
      <c r="G63" s="3"/>
      <c r="H63" s="3"/>
    </row>
    <row r="64" spans="1:8" x14ac:dyDescent="0.2">
      <c r="A64" s="1" t="s">
        <v>11</v>
      </c>
      <c r="B64" s="1">
        <v>1.8285959429E-2</v>
      </c>
      <c r="C64" s="1">
        <v>2.3859066870000004E-3</v>
      </c>
      <c r="D64" s="1"/>
      <c r="E64" s="1">
        <f>AVERAGE(D64:D70)</f>
        <v>4.120947298491358</v>
      </c>
      <c r="F64" s="2">
        <f>_xlfn.STDEV.S(D64:D70)</f>
        <v>0.46424785685652692</v>
      </c>
      <c r="G64" s="3">
        <v>0.22477693891557984</v>
      </c>
      <c r="H64" s="3">
        <v>0.97159218533661007</v>
      </c>
    </row>
    <row r="65" spans="1:8" x14ac:dyDescent="0.2">
      <c r="A65" s="1" t="s">
        <v>11</v>
      </c>
      <c r="B65" s="1">
        <v>1.7985705112999999E-2</v>
      </c>
      <c r="C65" s="1">
        <v>4.0531725229999999E-3</v>
      </c>
      <c r="D65" s="1">
        <f t="shared" si="0"/>
        <v>4.4374388237704929</v>
      </c>
      <c r="E65" s="1"/>
      <c r="G65" s="3"/>
      <c r="H65" s="3"/>
    </row>
    <row r="66" spans="1:8" x14ac:dyDescent="0.2">
      <c r="A66" s="1" t="s">
        <v>11</v>
      </c>
      <c r="B66" s="1">
        <v>2.1344037431999998E-2</v>
      </c>
      <c r="C66" s="1">
        <v>4.6658866149999999E-3</v>
      </c>
      <c r="D66" s="1">
        <f t="shared" si="0"/>
        <v>4.574486950322088</v>
      </c>
      <c r="E66" s="1"/>
      <c r="G66" s="3"/>
      <c r="H66" s="3"/>
    </row>
    <row r="67" spans="1:8" x14ac:dyDescent="0.2">
      <c r="A67" s="1" t="s">
        <v>11</v>
      </c>
      <c r="B67" s="1">
        <v>2.0770991084999999E-2</v>
      </c>
      <c r="C67" s="1">
        <v>4.5676326620000002E-3</v>
      </c>
      <c r="D67" s="1">
        <f t="shared" ref="D67:D70" si="2">B67/C67</f>
        <v>4.5474302821683423</v>
      </c>
      <c r="E67" s="1"/>
      <c r="G67" s="3"/>
      <c r="H67" s="3"/>
    </row>
    <row r="68" spans="1:8" x14ac:dyDescent="0.2">
      <c r="A68" s="1" t="s">
        <v>11</v>
      </c>
      <c r="B68" s="1">
        <v>1.5204691052000001E-2</v>
      </c>
      <c r="C68" s="1">
        <v>4.1056560010000005E-3</v>
      </c>
      <c r="D68" s="1">
        <f t="shared" si="2"/>
        <v>3.7033524114773977</v>
      </c>
      <c r="E68" s="1"/>
      <c r="G68" s="1"/>
      <c r="H68" s="1"/>
    </row>
    <row r="69" spans="1:8" x14ac:dyDescent="0.2">
      <c r="A69" s="1" t="s">
        <v>11</v>
      </c>
      <c r="B69" s="1">
        <v>1.4868430629E-2</v>
      </c>
      <c r="C69" s="1">
        <v>4.2545626130000005E-3</v>
      </c>
      <c r="D69" s="1">
        <f t="shared" si="2"/>
        <v>3.4947025068026654</v>
      </c>
      <c r="E69" s="1"/>
      <c r="G69" s="3"/>
      <c r="H69" s="3"/>
    </row>
    <row r="70" spans="1:8" x14ac:dyDescent="0.2">
      <c r="A70" s="1" t="s">
        <v>11</v>
      </c>
      <c r="B70" s="1">
        <v>1.8144986366E-2</v>
      </c>
      <c r="C70" s="1">
        <v>4.5725148460000007E-3</v>
      </c>
      <c r="D70" s="1">
        <f t="shared" si="2"/>
        <v>3.9682728164071657</v>
      </c>
      <c r="E70" s="1"/>
      <c r="G70" s="3"/>
      <c r="H70" s="3"/>
    </row>
    <row r="71" spans="1:8" x14ac:dyDescent="0.2">
      <c r="A71" s="1" t="s">
        <v>2</v>
      </c>
      <c r="B71" s="1"/>
      <c r="C71" s="1"/>
      <c r="D71" s="1"/>
      <c r="E71" s="1"/>
      <c r="G71" s="3"/>
      <c r="H71" s="3"/>
    </row>
    <row r="72" spans="1:8" x14ac:dyDescent="0.2">
      <c r="A72" s="1" t="s">
        <v>12</v>
      </c>
      <c r="B72" s="1">
        <v>1.5935187832999999E-2</v>
      </c>
      <c r="C72" s="1">
        <v>5.9675989240000008E-3</v>
      </c>
      <c r="D72" s="1">
        <f t="shared" ref="D72:D122" si="3">B72/C72</f>
        <v>2.6702846548405197</v>
      </c>
      <c r="E72" s="1">
        <f>AVERAGE(D72:D79)</f>
        <v>2.0158880434200936</v>
      </c>
      <c r="F72" s="2">
        <f>_xlfn.STDEV.S(D72:D79)</f>
        <v>0.32242117742333626</v>
      </c>
      <c r="G72" s="3">
        <v>0.10631793478260841</v>
      </c>
      <c r="H72" s="3">
        <v>0.54014282865007168</v>
      </c>
    </row>
    <row r="73" spans="1:8" x14ac:dyDescent="0.2">
      <c r="A73" s="1" t="s">
        <v>12</v>
      </c>
      <c r="B73" s="1">
        <v>1.8417168123999999E-2</v>
      </c>
      <c r="C73" s="1">
        <v>8.7797369079999996E-3</v>
      </c>
      <c r="D73" s="1">
        <f t="shared" si="3"/>
        <v>2.0976902060947267</v>
      </c>
      <c r="E73" s="1"/>
      <c r="G73" s="3"/>
      <c r="H73" s="3"/>
    </row>
    <row r="74" spans="1:8" x14ac:dyDescent="0.2">
      <c r="A74" s="1" t="s">
        <v>12</v>
      </c>
      <c r="B74" s="1">
        <v>1.5877211897999999E-2</v>
      </c>
      <c r="C74" s="1">
        <v>7.1130813450000002E-3</v>
      </c>
      <c r="D74" s="1">
        <f t="shared" si="3"/>
        <v>2.2321144842748875</v>
      </c>
      <c r="E74" s="1"/>
      <c r="G74" s="3"/>
      <c r="H74" s="3"/>
    </row>
    <row r="75" spans="1:8" x14ac:dyDescent="0.2">
      <c r="A75" s="1" t="s">
        <v>12</v>
      </c>
      <c r="B75" s="1">
        <v>1.7140477008000001E-2</v>
      </c>
      <c r="C75" s="1">
        <v>8.412962835000001E-3</v>
      </c>
      <c r="D75" s="1">
        <f t="shared" si="3"/>
        <v>2.0373888895231285</v>
      </c>
      <c r="E75" s="1"/>
      <c r="G75" s="1"/>
      <c r="H75" s="1"/>
    </row>
    <row r="76" spans="1:8" x14ac:dyDescent="0.2">
      <c r="A76" s="1" t="s">
        <v>12</v>
      </c>
      <c r="B76" s="1">
        <v>1.6774923481000001E-2</v>
      </c>
      <c r="C76" s="1">
        <v>9.3918407270000004E-3</v>
      </c>
      <c r="D76" s="1">
        <f t="shared" si="3"/>
        <v>1.7861166909245862</v>
      </c>
      <c r="E76" s="1"/>
      <c r="G76" s="3"/>
      <c r="H76" s="3"/>
    </row>
    <row r="77" spans="1:8" x14ac:dyDescent="0.2">
      <c r="A77" s="1" t="s">
        <v>12</v>
      </c>
      <c r="B77" s="1">
        <v>1.8312811440999999E-2</v>
      </c>
      <c r="C77" s="1">
        <v>1.0087551946999999E-2</v>
      </c>
      <c r="D77" s="1">
        <f t="shared" si="3"/>
        <v>1.8153870767868672</v>
      </c>
      <c r="E77" s="1"/>
      <c r="G77" s="3"/>
      <c r="H77" s="3"/>
    </row>
    <row r="78" spans="1:8" x14ac:dyDescent="0.2">
      <c r="A78" s="1" t="s">
        <v>12</v>
      </c>
      <c r="B78" s="1">
        <v>1.8557530914E-2</v>
      </c>
      <c r="C78" s="1">
        <v>1.0350579610000001E-2</v>
      </c>
      <c r="D78" s="1">
        <f t="shared" si="3"/>
        <v>1.7928977519356522</v>
      </c>
      <c r="E78" s="1"/>
      <c r="G78" s="3"/>
      <c r="H78" s="3"/>
    </row>
    <row r="79" spans="1:8" x14ac:dyDescent="0.2">
      <c r="A79" s="1" t="s">
        <v>12</v>
      </c>
      <c r="B79" s="1">
        <v>1.7374821839999999E-2</v>
      </c>
      <c r="C79" s="1">
        <v>1.0249274292E-2</v>
      </c>
      <c r="D79" s="1">
        <f t="shared" si="3"/>
        <v>1.6952245929803826</v>
      </c>
      <c r="E79" s="1"/>
      <c r="G79" s="3"/>
      <c r="H79" s="3"/>
    </row>
    <row r="80" spans="1:8" x14ac:dyDescent="0.2">
      <c r="A80" s="1" t="s">
        <v>2</v>
      </c>
      <c r="B80" s="1"/>
      <c r="C80" s="1"/>
      <c r="D80" s="1"/>
      <c r="E80" s="1"/>
      <c r="G80" s="3"/>
      <c r="H80" s="3"/>
    </row>
    <row r="81" spans="1:8" x14ac:dyDescent="0.2">
      <c r="A81" s="1" t="s">
        <v>13</v>
      </c>
      <c r="B81" s="1">
        <v>1.1146985875000001E-2</v>
      </c>
      <c r="C81" s="1">
        <v>4.9728539339999999E-3</v>
      </c>
      <c r="D81" s="1">
        <f t="shared" si="3"/>
        <v>2.2415671208009389</v>
      </c>
      <c r="E81" s="1">
        <f>AVERAGE(D81:D86)</f>
        <v>2.0417622203199088</v>
      </c>
      <c r="F81" s="2">
        <f>_xlfn.STDEV.S(D81:D86)</f>
        <v>0.2603831055085693</v>
      </c>
      <c r="G81" s="3">
        <v>0.14524886877828025</v>
      </c>
      <c r="H81" s="3">
        <v>0.80036410954764581</v>
      </c>
    </row>
    <row r="82" spans="1:8" x14ac:dyDescent="0.2">
      <c r="A82" s="1" t="s">
        <v>13</v>
      </c>
      <c r="B82" s="1">
        <v>8.8639545820000006E-3</v>
      </c>
      <c r="C82" s="1">
        <v>4.7720741170000002E-3</v>
      </c>
      <c r="D82" s="1">
        <f t="shared" si="3"/>
        <v>1.8574637284913738</v>
      </c>
      <c r="E82" s="1"/>
      <c r="G82" s="1"/>
      <c r="H82" s="1"/>
    </row>
    <row r="83" spans="1:8" x14ac:dyDescent="0.2">
      <c r="A83" s="1" t="s">
        <v>13</v>
      </c>
      <c r="B83" s="1">
        <v>1.1959259238000002E-2</v>
      </c>
      <c r="C83" s="1">
        <v>5.1004009910000005E-3</v>
      </c>
      <c r="D83" s="1">
        <f t="shared" si="3"/>
        <v>2.3447684327375273</v>
      </c>
      <c r="E83" s="1"/>
      <c r="G83" s="3"/>
      <c r="H83" s="3"/>
    </row>
    <row r="84" spans="1:8" x14ac:dyDescent="0.2">
      <c r="A84" s="1" t="s">
        <v>13</v>
      </c>
      <c r="B84" s="1">
        <v>1.9995944374999998E-2</v>
      </c>
      <c r="C84" s="1">
        <v>8.9262024279999994E-3</v>
      </c>
      <c r="D84" s="1">
        <f t="shared" si="3"/>
        <v>2.240140142046978</v>
      </c>
      <c r="E84" s="1"/>
      <c r="G84" s="3"/>
      <c r="H84" s="3"/>
    </row>
    <row r="85" spans="1:8" x14ac:dyDescent="0.2">
      <c r="A85" s="1" t="s">
        <v>13</v>
      </c>
      <c r="B85" s="1">
        <v>1.5797266135000002E-2</v>
      </c>
      <c r="C85" s="1">
        <v>8.924981882000001E-3</v>
      </c>
      <c r="D85" s="1">
        <f t="shared" si="3"/>
        <v>1.7700054010036812</v>
      </c>
      <c r="E85" s="1"/>
      <c r="G85" s="3"/>
      <c r="H85" s="3"/>
    </row>
    <row r="86" spans="1:8" x14ac:dyDescent="0.2">
      <c r="A86" s="1" t="s">
        <v>13</v>
      </c>
      <c r="B86" s="1">
        <v>1.7319897269999999E-2</v>
      </c>
      <c r="C86" s="1">
        <v>9.6402218380000002E-3</v>
      </c>
      <c r="D86" s="1">
        <f t="shared" si="3"/>
        <v>1.7966284968389541</v>
      </c>
      <c r="E86" s="1"/>
      <c r="G86" s="3"/>
      <c r="H86" s="3"/>
    </row>
    <row r="87" spans="1:8" x14ac:dyDescent="0.2">
      <c r="A87" s="1" t="s">
        <v>2</v>
      </c>
      <c r="B87" s="1"/>
      <c r="C87" s="1"/>
      <c r="D87" s="1"/>
      <c r="E87" s="1"/>
      <c r="G87" s="3"/>
      <c r="H87" s="3"/>
    </row>
    <row r="88" spans="1:8" x14ac:dyDescent="0.2">
      <c r="A88" s="1" t="s">
        <v>14</v>
      </c>
      <c r="B88" s="1">
        <v>1.5298062821E-2</v>
      </c>
      <c r="C88" s="1">
        <v>7.1429847220000004E-3</v>
      </c>
      <c r="D88" s="1">
        <f t="shared" si="3"/>
        <v>2.1416905420338934</v>
      </c>
      <c r="E88" s="1">
        <f>AVERAGE(D88:D92)</f>
        <v>1.9700035332916506</v>
      </c>
      <c r="F88" s="2">
        <f>_xlfn.STDEV.S(D88:D92)</f>
        <v>0.26912460467009353</v>
      </c>
      <c r="G88" s="3">
        <v>0.14524886877828025</v>
      </c>
      <c r="H88" s="3">
        <v>0.80036410954764581</v>
      </c>
    </row>
    <row r="89" spans="1:8" x14ac:dyDescent="0.2">
      <c r="A89" s="1" t="s">
        <v>14</v>
      </c>
      <c r="B89" s="1">
        <v>1.6668125706E-2</v>
      </c>
      <c r="C89" s="1">
        <v>8.1737358189999994E-3</v>
      </c>
      <c r="D89" s="1">
        <f t="shared" si="3"/>
        <v>2.0392298056972473</v>
      </c>
      <c r="E89" s="1"/>
      <c r="G89" s="3"/>
      <c r="H89" s="3"/>
    </row>
    <row r="90" spans="1:8" x14ac:dyDescent="0.2">
      <c r="A90" s="1" t="s">
        <v>14</v>
      </c>
      <c r="B90" s="1">
        <v>1.7435238866999998E-2</v>
      </c>
      <c r="C90" s="1">
        <v>7.6305928490000008E-3</v>
      </c>
      <c r="D90" s="1">
        <f t="shared" si="3"/>
        <v>2.2849127468889798</v>
      </c>
      <c r="E90" s="1"/>
      <c r="G90" s="3"/>
      <c r="H90" s="3"/>
    </row>
    <row r="91" spans="1:8" x14ac:dyDescent="0.2">
      <c r="A91" s="1" t="s">
        <v>14</v>
      </c>
      <c r="B91" s="1">
        <v>1.5061887170000001E-2</v>
      </c>
      <c r="C91" s="1">
        <v>9.0622933070000009E-3</v>
      </c>
      <c r="D91" s="1">
        <f t="shared" si="3"/>
        <v>1.6620392498624741</v>
      </c>
      <c r="E91" s="1"/>
      <c r="G91" s="3"/>
      <c r="H91" s="3"/>
    </row>
    <row r="92" spans="1:8" x14ac:dyDescent="0.2">
      <c r="A92" s="1" t="s">
        <v>14</v>
      </c>
      <c r="B92" s="1">
        <v>1.7042223055E-2</v>
      </c>
      <c r="C92" s="1">
        <v>9.8959262250000006E-3</v>
      </c>
      <c r="D92" s="1">
        <f t="shared" si="3"/>
        <v>1.7221453219756595</v>
      </c>
      <c r="E92" s="1"/>
      <c r="G92" s="3"/>
      <c r="H92" s="3"/>
    </row>
    <row r="93" spans="1:8" x14ac:dyDescent="0.2">
      <c r="A93" s="1" t="s">
        <v>2</v>
      </c>
      <c r="B93" s="1"/>
      <c r="C93" s="1"/>
      <c r="D93" s="1"/>
      <c r="E93" s="1"/>
      <c r="G93" s="3"/>
      <c r="H93" s="3"/>
    </row>
    <row r="94" spans="1:8" x14ac:dyDescent="0.2">
      <c r="A94" s="1" t="s">
        <v>15</v>
      </c>
      <c r="B94" s="1">
        <v>1.7408997127999998E-2</v>
      </c>
      <c r="C94" s="1">
        <v>5.2962986240000006E-3</v>
      </c>
      <c r="D94" s="1">
        <f>B94/C94</f>
        <v>3.2870119991179707</v>
      </c>
      <c r="E94" s="1">
        <f>AVERAGE(D94:D100)</f>
        <v>2.367607645602956</v>
      </c>
      <c r="F94" s="2">
        <f>_xlfn.STDEV.S(D94:D100)</f>
        <v>0.46128405522692695</v>
      </c>
      <c r="G94" s="3">
        <v>0.14524886877828025</v>
      </c>
      <c r="H94" s="3">
        <v>0.80036410954764581</v>
      </c>
    </row>
    <row r="95" spans="1:8" x14ac:dyDescent="0.2">
      <c r="A95" s="1" t="s">
        <v>15</v>
      </c>
      <c r="B95" s="1">
        <v>1.6572312844999999E-2</v>
      </c>
      <c r="C95" s="1">
        <v>7.2735831439999996E-3</v>
      </c>
      <c r="D95" s="1">
        <f t="shared" si="3"/>
        <v>2.2784248859065492</v>
      </c>
      <c r="E95" s="1"/>
      <c r="G95" s="3"/>
      <c r="H95" s="3"/>
    </row>
    <row r="96" spans="1:8" x14ac:dyDescent="0.2">
      <c r="A96" s="1" t="s">
        <v>15</v>
      </c>
      <c r="B96" s="1">
        <v>1.5924813191999999E-2</v>
      </c>
      <c r="C96" s="1">
        <v>6.7426456340000003E-3</v>
      </c>
      <c r="D96" s="1">
        <f t="shared" si="3"/>
        <v>2.3618048547143919</v>
      </c>
      <c r="E96" s="1"/>
      <c r="G96" s="3"/>
      <c r="H96" s="3"/>
    </row>
    <row r="97" spans="1:8" x14ac:dyDescent="0.2">
      <c r="A97" s="1" t="s">
        <v>15</v>
      </c>
      <c r="B97" s="1">
        <v>1.8309149803E-2</v>
      </c>
      <c r="C97" s="1">
        <v>8.8444258460000005E-3</v>
      </c>
      <c r="D97" s="1">
        <f t="shared" si="3"/>
        <v>2.0701343560114234</v>
      </c>
      <c r="E97" s="1"/>
      <c r="G97" s="3"/>
      <c r="H97" s="3"/>
    </row>
    <row r="98" spans="1:8" x14ac:dyDescent="0.2">
      <c r="A98" s="1" t="s">
        <v>15</v>
      </c>
      <c r="B98" s="1">
        <v>1.8324406628000001E-2</v>
      </c>
      <c r="C98" s="1">
        <v>7.3571905449999996E-3</v>
      </c>
      <c r="D98" s="1">
        <f t="shared" si="3"/>
        <v>2.4906799023240471</v>
      </c>
      <c r="E98" s="1"/>
      <c r="G98" s="3"/>
      <c r="H98" s="3"/>
    </row>
    <row r="99" spans="1:8" x14ac:dyDescent="0.2">
      <c r="A99" s="1" t="s">
        <v>15</v>
      </c>
      <c r="B99" s="1">
        <v>7.7788891879999999E-3</v>
      </c>
      <c r="C99" s="1">
        <v>4.2985022690000003E-3</v>
      </c>
      <c r="D99" s="1">
        <f t="shared" si="3"/>
        <v>1.8096743240313966</v>
      </c>
      <c r="E99" s="1"/>
      <c r="G99" s="3"/>
      <c r="H99" s="3"/>
    </row>
    <row r="100" spans="1:8" x14ac:dyDescent="0.2">
      <c r="A100" s="1" t="s">
        <v>15</v>
      </c>
      <c r="B100" s="1">
        <v>1.5712438188E-2</v>
      </c>
      <c r="C100" s="1">
        <v>6.9049782519999998E-3</v>
      </c>
      <c r="D100" s="1">
        <f t="shared" si="3"/>
        <v>2.2755231971149152</v>
      </c>
      <c r="E100" s="1"/>
      <c r="G100" s="3"/>
      <c r="H100" s="3"/>
    </row>
    <row r="101" spans="1:8" x14ac:dyDescent="0.2">
      <c r="A101" s="1" t="s">
        <v>2</v>
      </c>
      <c r="B101" s="1"/>
      <c r="C101" s="1"/>
      <c r="D101" s="1"/>
      <c r="E101" s="1"/>
      <c r="G101" s="1"/>
      <c r="H101" s="1"/>
    </row>
    <row r="102" spans="1:8" x14ac:dyDescent="0.2">
      <c r="A102" s="1" t="s">
        <v>16</v>
      </c>
      <c r="B102" s="1">
        <v>1.6604047040999999E-2</v>
      </c>
      <c r="C102" s="1">
        <v>6.358783917E-3</v>
      </c>
      <c r="D102" s="1">
        <f t="shared" si="3"/>
        <v>2.6111985023755286</v>
      </c>
      <c r="E102" s="1">
        <f>AVERAGE(D102:D107)</f>
        <v>2.0306623489044209</v>
      </c>
      <c r="F102" s="2">
        <f>_xlfn.STDEV.S(D102:D107)</f>
        <v>0.30075442753308113</v>
      </c>
      <c r="G102" s="3">
        <v>0.16490566037735838</v>
      </c>
      <c r="H102" s="3">
        <v>0.93541380997219403</v>
      </c>
    </row>
    <row r="103" spans="1:8" x14ac:dyDescent="0.2">
      <c r="A103" s="1" t="s">
        <v>16</v>
      </c>
      <c r="B103" s="1">
        <v>1.92788736E-2</v>
      </c>
      <c r="C103" s="1">
        <v>9.1477315270000002E-3</v>
      </c>
      <c r="D103" s="1">
        <f t="shared" si="3"/>
        <v>2.1075032146600949</v>
      </c>
      <c r="E103" s="1"/>
      <c r="G103" s="3"/>
      <c r="H103" s="3"/>
    </row>
    <row r="104" spans="1:8" x14ac:dyDescent="0.2">
      <c r="A104" s="1" t="s">
        <v>16</v>
      </c>
      <c r="B104" s="1">
        <v>1.8542884361999998E-2</v>
      </c>
      <c r="C104" s="1">
        <v>9.8477146580000004E-3</v>
      </c>
      <c r="D104" s="1">
        <f t="shared" si="3"/>
        <v>1.8829632057765089</v>
      </c>
      <c r="E104" s="1"/>
      <c r="G104" s="3"/>
      <c r="H104" s="3"/>
    </row>
    <row r="105" spans="1:8" x14ac:dyDescent="0.2">
      <c r="A105" s="1" t="s">
        <v>16</v>
      </c>
      <c r="B105" s="1">
        <v>1.7941155184E-2</v>
      </c>
      <c r="C105" s="1">
        <v>9.5218288759999995E-3</v>
      </c>
      <c r="D105" s="1">
        <f t="shared" si="3"/>
        <v>1.8842131503981463</v>
      </c>
      <c r="E105" s="1"/>
      <c r="G105" s="3"/>
      <c r="H105" s="3"/>
    </row>
    <row r="106" spans="1:8" x14ac:dyDescent="0.2">
      <c r="A106" s="1" t="s">
        <v>16</v>
      </c>
      <c r="B106" s="1">
        <v>1.7975330471999999E-2</v>
      </c>
      <c r="C106" s="1">
        <v>9.7604456190000001E-3</v>
      </c>
      <c r="D106" s="1">
        <f t="shared" si="3"/>
        <v>1.8416505940065522</v>
      </c>
      <c r="E106" s="1"/>
      <c r="G106" s="3"/>
      <c r="H106" s="3"/>
    </row>
    <row r="107" spans="1:8" x14ac:dyDescent="0.2">
      <c r="A107" s="1" t="s">
        <v>16</v>
      </c>
      <c r="B107" s="1">
        <v>1.6577805301999999E-2</v>
      </c>
      <c r="C107" s="1">
        <v>8.9298640659999998E-3</v>
      </c>
      <c r="D107" s="1">
        <f>B107/C107</f>
        <v>1.8564454262096939</v>
      </c>
      <c r="E107" s="1"/>
      <c r="G107" s="3"/>
      <c r="H107" s="3"/>
    </row>
    <row r="108" spans="1:8" x14ac:dyDescent="0.2">
      <c r="A108" s="1" t="s">
        <v>2</v>
      </c>
      <c r="B108" s="1"/>
      <c r="C108" s="1"/>
      <c r="D108" s="1"/>
      <c r="E108" s="1"/>
      <c r="G108" s="1"/>
      <c r="H108" s="1"/>
    </row>
    <row r="109" spans="1:8" x14ac:dyDescent="0.2">
      <c r="A109" s="1" t="s">
        <v>17</v>
      </c>
      <c r="B109" s="1">
        <v>1.9324644074999998E-2</v>
      </c>
      <c r="C109" s="1">
        <v>4.6256085970000005E-3</v>
      </c>
      <c r="D109" s="1">
        <f t="shared" si="3"/>
        <v>4.177751677375654</v>
      </c>
      <c r="E109" s="1">
        <f>AVERAGE(D109:D115)</f>
        <v>2.8830907121228746</v>
      </c>
      <c r="F109" s="2">
        <f>_xlfn.STDEV.S(D109:D115)</f>
        <v>0.60282382271864421</v>
      </c>
      <c r="G109" s="3">
        <v>0.22849968612680469</v>
      </c>
      <c r="H109" s="3">
        <v>0.84752060591561551</v>
      </c>
    </row>
    <row r="110" spans="1:8" x14ac:dyDescent="0.2">
      <c r="A110" s="1" t="s">
        <v>17</v>
      </c>
      <c r="B110" s="1">
        <v>1.7517625722E-2</v>
      </c>
      <c r="C110" s="1">
        <v>6.4875515200000008E-3</v>
      </c>
      <c r="D110" s="1">
        <f t="shared" si="3"/>
        <v>2.7001906139775822</v>
      </c>
      <c r="E110" s="1"/>
      <c r="G110" s="3"/>
      <c r="H110" s="3"/>
    </row>
    <row r="111" spans="1:8" x14ac:dyDescent="0.2">
      <c r="A111" s="1" t="s">
        <v>17</v>
      </c>
      <c r="B111" s="1">
        <v>1.6104233454E-2</v>
      </c>
      <c r="C111" s="1">
        <v>7.0178787570000008E-3</v>
      </c>
      <c r="D111" s="1">
        <f t="shared" si="3"/>
        <v>2.2947437554313392</v>
      </c>
      <c r="E111" s="1"/>
      <c r="G111" s="3"/>
      <c r="H111" s="3"/>
    </row>
    <row r="112" spans="1:8" x14ac:dyDescent="0.2">
      <c r="A112" s="1" t="s">
        <v>17</v>
      </c>
      <c r="B112" s="1">
        <v>1.829633407E-2</v>
      </c>
      <c r="C112" s="1">
        <v>7.1826524670000006E-3</v>
      </c>
      <c r="D112" s="1">
        <f t="shared" si="3"/>
        <v>2.5472949100712765</v>
      </c>
      <c r="E112" s="1"/>
      <c r="G112" s="3"/>
      <c r="H112" s="3"/>
    </row>
    <row r="113" spans="1:8" x14ac:dyDescent="0.2">
      <c r="A113" s="1" t="s">
        <v>17</v>
      </c>
      <c r="B113" s="1">
        <v>1.9735357804000001E-2</v>
      </c>
      <c r="C113" s="1">
        <v>6.9794315579999999E-3</v>
      </c>
      <c r="D113" s="1">
        <f t="shared" si="3"/>
        <v>2.827645437883668</v>
      </c>
      <c r="E113" s="1"/>
      <c r="G113" s="3"/>
      <c r="H113" s="3"/>
    </row>
    <row r="114" spans="1:8" x14ac:dyDescent="0.2">
      <c r="A114" s="1" t="s">
        <v>17</v>
      </c>
      <c r="B114" s="1">
        <v>1.9192214834E-2</v>
      </c>
      <c r="C114" s="1">
        <v>6.8262530350000003E-3</v>
      </c>
      <c r="D114" s="1">
        <f t="shared" si="3"/>
        <v>2.8115299470436343</v>
      </c>
      <c r="E114" s="1"/>
      <c r="G114" s="3"/>
      <c r="H114" s="3"/>
    </row>
    <row r="115" spans="1:8" x14ac:dyDescent="0.2">
      <c r="A115" s="1" t="s">
        <v>17</v>
      </c>
      <c r="B115" s="1">
        <v>1.9261785955999998E-2</v>
      </c>
      <c r="C115" s="1">
        <v>6.8244222160000001E-3</v>
      </c>
      <c r="D115" s="1">
        <f t="shared" si="3"/>
        <v>2.8224786430769684</v>
      </c>
      <c r="E115" s="1"/>
      <c r="G115" s="3"/>
      <c r="H115" s="3"/>
    </row>
    <row r="116" spans="1:8" x14ac:dyDescent="0.2">
      <c r="A116" s="1" t="s">
        <v>2</v>
      </c>
      <c r="B116" s="1"/>
      <c r="C116" s="1"/>
      <c r="D116" s="1"/>
      <c r="E116" s="1"/>
      <c r="G116" s="3"/>
      <c r="H116" s="3"/>
    </row>
    <row r="117" spans="1:8" x14ac:dyDescent="0.2">
      <c r="A117" s="1" t="s">
        <v>18</v>
      </c>
      <c r="B117" s="1">
        <v>1.6652868881E-2</v>
      </c>
      <c r="C117" s="1">
        <v>5.0772106170000001E-3</v>
      </c>
      <c r="D117" s="1">
        <f t="shared" si="3"/>
        <v>3.2799247731109045</v>
      </c>
      <c r="E117" s="1">
        <f>AVERAGE(D117:D122)</f>
        <v>2.1972161872219305</v>
      </c>
      <c r="F117" s="2">
        <f>_xlfn.STDEV.S(D117:D122)</f>
        <v>0.59223100613067825</v>
      </c>
      <c r="G117" s="3">
        <v>0.22849968612680469</v>
      </c>
      <c r="H117" s="3">
        <v>0.84752060591561551</v>
      </c>
    </row>
    <row r="118" spans="1:8" x14ac:dyDescent="0.2">
      <c r="A118" s="1" t="s">
        <v>18</v>
      </c>
      <c r="B118" s="1">
        <v>1.4696943916E-2</v>
      </c>
      <c r="C118" s="1">
        <v>7.6842968730000006E-3</v>
      </c>
      <c r="D118" s="1">
        <f t="shared" si="3"/>
        <v>1.9125944974406248</v>
      </c>
      <c r="E118" s="1"/>
      <c r="G118" s="3"/>
      <c r="H118" s="3"/>
    </row>
    <row r="119" spans="1:8" x14ac:dyDescent="0.2">
      <c r="A119" s="1" t="s">
        <v>18</v>
      </c>
      <c r="B119" s="1">
        <v>1.7107522266E-2</v>
      </c>
      <c r="C119" s="1">
        <v>6.944035724E-3</v>
      </c>
      <c r="D119" s="1">
        <f t="shared" si="3"/>
        <v>2.4636282049749432</v>
      </c>
      <c r="E119" s="1"/>
      <c r="G119" s="3"/>
      <c r="H119" s="3"/>
    </row>
    <row r="120" spans="1:8" x14ac:dyDescent="0.2">
      <c r="A120" s="1" t="s">
        <v>18</v>
      </c>
      <c r="B120" s="1">
        <v>1.6339798831999999E-2</v>
      </c>
      <c r="C120" s="1">
        <v>9.1239308800000005E-3</v>
      </c>
      <c r="D120" s="1">
        <f t="shared" si="3"/>
        <v>1.7908727112145766</v>
      </c>
      <c r="E120" s="1"/>
      <c r="G120" s="1"/>
      <c r="H120" s="1"/>
    </row>
    <row r="121" spans="1:8" x14ac:dyDescent="0.2">
      <c r="A121" s="1" t="s">
        <v>18</v>
      </c>
      <c r="B121" s="1">
        <v>1.4777499952000001E-2</v>
      </c>
      <c r="C121" s="1">
        <v>8.6235070200000007E-3</v>
      </c>
      <c r="D121" s="1">
        <f t="shared" si="3"/>
        <v>1.7136299556233212</v>
      </c>
      <c r="E121" s="1"/>
      <c r="G121" s="3"/>
      <c r="H121" s="3"/>
    </row>
    <row r="122" spans="1:8" x14ac:dyDescent="0.2">
      <c r="A122" s="1" t="s">
        <v>18</v>
      </c>
      <c r="B122" s="1">
        <v>1.5993163767999998E-2</v>
      </c>
      <c r="C122" s="1">
        <v>7.9070465179999997E-3</v>
      </c>
      <c r="D122" s="1">
        <f t="shared" si="3"/>
        <v>2.022646980967211</v>
      </c>
      <c r="E122" s="1"/>
      <c r="G122" s="3"/>
      <c r="H122" s="3"/>
    </row>
    <row r="123" spans="1:8" x14ac:dyDescent="0.2">
      <c r="A123" s="1" t="s">
        <v>2</v>
      </c>
      <c r="B123" s="1"/>
      <c r="C123" s="1"/>
      <c r="D123" s="1"/>
      <c r="E123" s="1"/>
      <c r="G123" s="3"/>
      <c r="H123" s="3"/>
    </row>
    <row r="124" spans="1:8" x14ac:dyDescent="0.2">
      <c r="A124" s="1"/>
      <c r="B124" s="1"/>
      <c r="C124" s="1"/>
      <c r="D124" s="1"/>
      <c r="E124" s="1"/>
      <c r="G124" s="3"/>
      <c r="H124" s="3"/>
    </row>
    <row r="125" spans="1:8" x14ac:dyDescent="0.2">
      <c r="A125" s="1"/>
      <c r="B125" s="1"/>
      <c r="C125" s="1"/>
      <c r="D125" s="1"/>
      <c r="E125" s="1"/>
      <c r="G125" s="3"/>
      <c r="H125" s="3"/>
    </row>
    <row r="126" spans="1:8" x14ac:dyDescent="0.2">
      <c r="A126" s="1"/>
      <c r="B126" s="1"/>
      <c r="C126" s="1"/>
      <c r="D126" s="1"/>
      <c r="E126" s="1"/>
      <c r="G126" s="3"/>
      <c r="H126" s="3"/>
    </row>
    <row r="127" spans="1:8" x14ac:dyDescent="0.2">
      <c r="A127" s="1"/>
      <c r="B127" s="1"/>
      <c r="C127" s="1"/>
      <c r="D127" s="1"/>
      <c r="E127" s="1"/>
      <c r="G127" s="1"/>
      <c r="H127" s="1"/>
    </row>
    <row r="128" spans="1:8" x14ac:dyDescent="0.2">
      <c r="A128" s="1"/>
      <c r="B128" s="1"/>
      <c r="C128" s="1"/>
      <c r="D128" s="1"/>
      <c r="E128" s="1"/>
      <c r="G128" s="3"/>
      <c r="H128" s="3"/>
    </row>
    <row r="129" spans="1:8" x14ac:dyDescent="0.2">
      <c r="A129" s="1"/>
      <c r="B129" s="1"/>
      <c r="C129" s="1"/>
      <c r="D129" s="1"/>
      <c r="E129" s="1"/>
      <c r="G129" s="3"/>
      <c r="H129" s="3"/>
    </row>
    <row r="130" spans="1:8" x14ac:dyDescent="0.2">
      <c r="A130" s="1"/>
      <c r="B130" s="1"/>
      <c r="C130" s="1"/>
      <c r="D130" s="1"/>
      <c r="E130" s="1"/>
      <c r="G130" s="3"/>
      <c r="H130" s="3"/>
    </row>
    <row r="131" spans="1:8" x14ac:dyDescent="0.2">
      <c r="A131" s="1"/>
      <c r="B131" s="1"/>
      <c r="C131" s="1"/>
      <c r="D131" s="1"/>
      <c r="E131" s="1"/>
      <c r="G131" s="3"/>
      <c r="H131" s="3"/>
    </row>
    <row r="132" spans="1:8" x14ac:dyDescent="0.2">
      <c r="A132" s="1"/>
      <c r="B132" s="1"/>
      <c r="C132" s="1"/>
      <c r="D132" s="1"/>
      <c r="E132" s="1"/>
      <c r="G132" s="3"/>
      <c r="H132" s="3"/>
    </row>
    <row r="133" spans="1:8" x14ac:dyDescent="0.2">
      <c r="A133" s="1"/>
      <c r="B133" s="1"/>
      <c r="C133" s="1"/>
      <c r="D133" s="1"/>
      <c r="E133" s="1"/>
      <c r="G133" s="1"/>
      <c r="H133" s="1"/>
    </row>
    <row r="134" spans="1:8" x14ac:dyDescent="0.2">
      <c r="A134" s="1"/>
      <c r="B134" s="1"/>
      <c r="C134" s="1"/>
      <c r="D134" s="1"/>
      <c r="E134" s="1"/>
      <c r="G134" s="3"/>
      <c r="H134" s="3"/>
    </row>
    <row r="135" spans="1:8" x14ac:dyDescent="0.2">
      <c r="A135" s="1"/>
      <c r="B135" s="1"/>
      <c r="C135" s="1"/>
      <c r="D135" s="1"/>
      <c r="E135" s="1"/>
      <c r="G135" s="3"/>
      <c r="H135" s="3"/>
    </row>
    <row r="136" spans="1:8" x14ac:dyDescent="0.2">
      <c r="A136" s="1"/>
      <c r="B136" s="1"/>
      <c r="C136" s="1"/>
      <c r="D136" s="1"/>
      <c r="E136" s="1"/>
      <c r="G136" s="3"/>
      <c r="H136" s="3"/>
    </row>
    <row r="137" spans="1:8" x14ac:dyDescent="0.2">
      <c r="A137" s="1"/>
      <c r="B137" s="1"/>
      <c r="C137" s="1"/>
      <c r="D137" s="1"/>
      <c r="E137" s="1"/>
      <c r="G137" s="3"/>
      <c r="H137" s="3"/>
    </row>
    <row r="138" spans="1:8" x14ac:dyDescent="0.2">
      <c r="A138" s="1"/>
      <c r="B138" s="1"/>
      <c r="C138" s="1"/>
      <c r="D138" s="1"/>
      <c r="E138" s="1"/>
      <c r="G138" s="3"/>
      <c r="H138" s="3"/>
    </row>
    <row r="139" spans="1:8" x14ac:dyDescent="0.2">
      <c r="A139" s="1"/>
      <c r="B139" s="1"/>
      <c r="C139" s="1"/>
      <c r="D139" s="1"/>
      <c r="E139" s="1"/>
      <c r="G139" s="1"/>
      <c r="H139" s="1"/>
    </row>
    <row r="140" spans="1:8" x14ac:dyDescent="0.2">
      <c r="A140" s="1"/>
      <c r="B140" s="1"/>
      <c r="C140" s="1"/>
      <c r="D140" s="1"/>
      <c r="E140" s="1"/>
      <c r="G140" s="3"/>
      <c r="H140" s="3"/>
    </row>
    <row r="141" spans="1:8" x14ac:dyDescent="0.2">
      <c r="A141" s="1"/>
      <c r="B141" s="1"/>
      <c r="C141" s="1"/>
      <c r="D141" s="1"/>
      <c r="E141" s="1"/>
      <c r="G141" s="3"/>
      <c r="H141" s="3"/>
    </row>
    <row r="142" spans="1:8" x14ac:dyDescent="0.2">
      <c r="A142" s="1"/>
      <c r="B142" s="1"/>
      <c r="C142" s="1"/>
      <c r="D142" s="1"/>
      <c r="E142" s="1"/>
      <c r="G142" s="3"/>
      <c r="H142" s="3"/>
    </row>
    <row r="143" spans="1:8" x14ac:dyDescent="0.2">
      <c r="A143" s="1"/>
      <c r="B143" s="1"/>
      <c r="C143" s="1"/>
      <c r="D143" s="1"/>
      <c r="E143" s="1"/>
      <c r="G143" s="3"/>
      <c r="H143" s="3"/>
    </row>
    <row r="144" spans="1:8" x14ac:dyDescent="0.2">
      <c r="A144" s="1"/>
      <c r="B144" s="1"/>
      <c r="C144" s="1"/>
      <c r="D144" s="1"/>
      <c r="E144" s="1"/>
      <c r="G144" s="3"/>
      <c r="H144" s="3"/>
    </row>
    <row r="145" spans="1:8" x14ac:dyDescent="0.2">
      <c r="A145" s="1"/>
      <c r="B145" s="1"/>
      <c r="C145" s="1"/>
      <c r="D145" s="1"/>
      <c r="E145" s="1"/>
      <c r="G145" s="3"/>
      <c r="H145" s="3"/>
    </row>
    <row r="146" spans="1:8" x14ac:dyDescent="0.2">
      <c r="A146" s="1"/>
      <c r="B146" s="1"/>
      <c r="C146" s="1"/>
      <c r="D146" s="1"/>
      <c r="E146" s="1"/>
      <c r="G146" s="3"/>
      <c r="H146" s="3"/>
    </row>
    <row r="147" spans="1:8" x14ac:dyDescent="0.2">
      <c r="A147" s="1"/>
      <c r="B147" s="1"/>
      <c r="C147" s="1"/>
      <c r="D147" s="1"/>
      <c r="E147" s="1"/>
      <c r="G147" s="3"/>
      <c r="H147" s="3"/>
    </row>
    <row r="148" spans="1:8" x14ac:dyDescent="0.2">
      <c r="A148" s="1"/>
      <c r="B148" s="1"/>
      <c r="C148" s="1"/>
      <c r="D148" s="1"/>
      <c r="E148" s="1"/>
      <c r="G148" s="3"/>
      <c r="H148" s="3"/>
    </row>
    <row r="149" spans="1:8" x14ac:dyDescent="0.2">
      <c r="A149" s="1"/>
      <c r="B149" s="1"/>
      <c r="C149" s="1"/>
      <c r="D149" s="1"/>
      <c r="E149" s="1"/>
      <c r="G149" s="3"/>
      <c r="H149" s="3"/>
    </row>
    <row r="150" spans="1:8" x14ac:dyDescent="0.2">
      <c r="A150" s="1"/>
      <c r="B150" s="1"/>
      <c r="C150" s="1"/>
      <c r="D150" s="1"/>
      <c r="E150" s="1"/>
      <c r="G150" s="3"/>
      <c r="H150" s="3"/>
    </row>
    <row r="151" spans="1:8" x14ac:dyDescent="0.2">
      <c r="A151" s="1"/>
      <c r="B151" s="1"/>
      <c r="C151" s="1"/>
      <c r="D151" s="1"/>
      <c r="E151" s="1"/>
      <c r="G151" s="3"/>
      <c r="H151" s="3"/>
    </row>
    <row r="152" spans="1:8" x14ac:dyDescent="0.2">
      <c r="A152" s="1"/>
      <c r="B152" s="1"/>
      <c r="C152" s="1"/>
      <c r="D152" s="1"/>
      <c r="E152" s="1"/>
      <c r="G152" s="3"/>
      <c r="H152" s="3"/>
    </row>
    <row r="179" spans="3:8" x14ac:dyDescent="0.2">
      <c r="C179" s="4"/>
      <c r="H179" s="4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BC0958-7538-2C47-9FCF-5F9B746EB1F9}">
  <dimension ref="A1:Z179"/>
  <sheetViews>
    <sheetView zoomScale="138" zoomScaleNormal="125" workbookViewId="0">
      <selection activeCell="AA17" sqref="AA17"/>
    </sheetView>
  </sheetViews>
  <sheetFormatPr baseColWidth="10" defaultRowHeight="15" x14ac:dyDescent="0.2"/>
  <cols>
    <col min="1" max="1" width="20.5" style="2" customWidth="1"/>
    <col min="2" max="3" width="14.6640625" style="2" customWidth="1"/>
    <col min="4" max="6" width="10.83203125" style="2"/>
    <col min="7" max="7" width="11.1640625" style="2" bestFit="1" customWidth="1"/>
    <col min="8" max="8" width="11.1640625" style="2" customWidth="1"/>
    <col min="9" max="9" width="10.83203125" style="2"/>
    <col min="10" max="10" width="18.83203125" style="2" bestFit="1" customWidth="1"/>
    <col min="11" max="19" width="10.83203125" style="2"/>
    <col min="20" max="20" width="18.83203125" style="2" bestFit="1" customWidth="1"/>
    <col min="21" max="21" width="12.1640625" style="2" bestFit="1" customWidth="1"/>
    <col min="22" max="22" width="7" style="2" bestFit="1" customWidth="1"/>
    <col min="23" max="23" width="12.1640625" style="1" bestFit="1" customWidth="1"/>
    <col min="24" max="24" width="12.1640625" style="1" customWidth="1"/>
    <col min="25" max="26" width="12.1640625" style="2" customWidth="1"/>
    <col min="27" max="16384" width="10.83203125" style="2"/>
  </cols>
  <sheetData>
    <row r="1" spans="1:26" x14ac:dyDescent="0.2">
      <c r="A1" s="1" t="s">
        <v>0</v>
      </c>
      <c r="B1" s="1" t="s">
        <v>20</v>
      </c>
      <c r="C1" s="1" t="s">
        <v>21</v>
      </c>
      <c r="D1" s="1" t="s">
        <v>66</v>
      </c>
      <c r="E1" s="1" t="s">
        <v>67</v>
      </c>
      <c r="F1" s="1" t="s">
        <v>68</v>
      </c>
      <c r="G1" s="1" t="s">
        <v>69</v>
      </c>
      <c r="H1" s="1" t="s">
        <v>74</v>
      </c>
      <c r="J1" s="1" t="s">
        <v>70</v>
      </c>
      <c r="K1" s="1" t="s">
        <v>66</v>
      </c>
      <c r="L1" s="1" t="s">
        <v>71</v>
      </c>
      <c r="M1" s="1" t="s">
        <v>72</v>
      </c>
      <c r="N1" s="1" t="s">
        <v>73</v>
      </c>
      <c r="T1" s="2" t="s">
        <v>70</v>
      </c>
      <c r="U1" s="2" t="s">
        <v>66</v>
      </c>
      <c r="V1" s="2" t="s">
        <v>71</v>
      </c>
      <c r="W1" s="1" t="s">
        <v>76</v>
      </c>
      <c r="X1" s="1" t="s">
        <v>75</v>
      </c>
      <c r="Y1" s="2" t="s">
        <v>72</v>
      </c>
      <c r="Z1" s="2" t="s">
        <v>73</v>
      </c>
    </row>
    <row r="2" spans="1:26" x14ac:dyDescent="0.2">
      <c r="A2" s="1" t="s">
        <v>1</v>
      </c>
      <c r="B2" s="1">
        <v>6.0719556070000002E-3</v>
      </c>
      <c r="C2" s="1">
        <v>3.283007997E-3</v>
      </c>
      <c r="D2" s="1">
        <f>B2/C2</f>
        <v>1.8495098435789767</v>
      </c>
      <c r="E2" s="1">
        <f>AVERAGE(D2:D6)</f>
        <v>2.0983548102894174</v>
      </c>
      <c r="F2" s="2">
        <f>_xlfn.STDEV.S(D2:D6)</f>
        <v>0.20904612269701839</v>
      </c>
      <c r="G2" s="3">
        <v>0.1622203098106714</v>
      </c>
      <c r="H2" s="3">
        <v>0.72146316810745281</v>
      </c>
      <c r="J2" s="1" t="str">
        <f>A2</f>
        <v>C_M1_EST#2.mat</v>
      </c>
      <c r="K2" s="1">
        <f>E2</f>
        <v>2.0983548102894174</v>
      </c>
      <c r="L2" s="5">
        <f>G2</f>
        <v>0.1622203098106714</v>
      </c>
      <c r="M2" s="1">
        <f>F2</f>
        <v>0.20904612269701839</v>
      </c>
      <c r="N2" s="5">
        <f>H2</f>
        <v>0.72146316810745281</v>
      </c>
      <c r="T2" s="2" t="s">
        <v>1</v>
      </c>
      <c r="U2" s="2">
        <v>2.0983548102894174</v>
      </c>
      <c r="V2" s="6">
        <v>0.1622203098106714</v>
      </c>
      <c r="W2" s="3">
        <v>0.18099999999999999</v>
      </c>
      <c r="X2" s="3">
        <f>V2/W2</f>
        <v>0.89624480558381991</v>
      </c>
      <c r="Y2" s="2">
        <v>0.20904612269701839</v>
      </c>
      <c r="Z2" s="6">
        <v>0.72146316810745281</v>
      </c>
    </row>
    <row r="3" spans="1:26" x14ac:dyDescent="0.2">
      <c r="A3" s="1" t="s">
        <v>1</v>
      </c>
      <c r="B3" s="1">
        <v>6.3423065460000002E-3</v>
      </c>
      <c r="C3" s="1">
        <v>2.8393395260000003E-3</v>
      </c>
      <c r="D3" s="1">
        <f t="shared" ref="D3:D66" si="0">B3/C3</f>
        <v>2.233726008433695</v>
      </c>
      <c r="E3" s="1"/>
      <c r="G3" s="3"/>
      <c r="H3" s="3"/>
      <c r="J3" s="1" t="str">
        <f>A8</f>
        <v>C_M1_EST.mat</v>
      </c>
      <c r="K3" s="1">
        <f>E8</f>
        <v>3.1041010483117257</v>
      </c>
      <c r="L3" s="5">
        <f>G8</f>
        <v>0.1622203098106714</v>
      </c>
      <c r="M3" s="1">
        <f>F8</f>
        <v>0.42927807119963513</v>
      </c>
      <c r="N3" s="5">
        <f>H8</f>
        <v>0.72146316810745281</v>
      </c>
      <c r="T3" s="2" t="s">
        <v>5</v>
      </c>
      <c r="U3" s="2">
        <v>2.7749919849578357</v>
      </c>
      <c r="V3" s="6">
        <v>9.0436590436590164E-2</v>
      </c>
      <c r="W3" s="7">
        <v>0.14499999999999999</v>
      </c>
      <c r="X3" s="3">
        <f t="shared" ref="X3:X12" si="1">V3/W3</f>
        <v>0.62370062370062185</v>
      </c>
      <c r="Y3" s="2">
        <v>0.34321137705532206</v>
      </c>
      <c r="Z3" s="6">
        <v>0.48563206852537144</v>
      </c>
    </row>
    <row r="4" spans="1:26" x14ac:dyDescent="0.2">
      <c r="A4" s="1" t="s">
        <v>1</v>
      </c>
      <c r="B4" s="1">
        <v>7.1472566330000008E-3</v>
      </c>
      <c r="C4" s="1">
        <v>3.7462052040000003E-3</v>
      </c>
      <c r="D4" s="1">
        <f t="shared" si="0"/>
        <v>1.907865758493031</v>
      </c>
      <c r="E4" s="1"/>
      <c r="G4" s="3"/>
      <c r="H4" s="3"/>
      <c r="J4" s="1" t="str">
        <f>A16</f>
        <v>C_M1_MOD56#2.mat</v>
      </c>
      <c r="K4" s="1">
        <f>E16</f>
        <v>2.9102501921988395</v>
      </c>
      <c r="L4" s="5">
        <f>G16</f>
        <v>9.0436590436590164E-2</v>
      </c>
      <c r="M4" s="1">
        <f>F16</f>
        <v>0.76924420040040553</v>
      </c>
      <c r="N4" s="5">
        <f>H16</f>
        <v>0.48563206852537144</v>
      </c>
      <c r="T4" s="2" t="s">
        <v>6</v>
      </c>
      <c r="U4" s="2">
        <v>1.2870576367732602</v>
      </c>
      <c r="V4" s="6">
        <v>0.19980314960629944</v>
      </c>
      <c r="W4" s="3">
        <v>0.18099999999999999</v>
      </c>
      <c r="X4" s="3">
        <f t="shared" si="1"/>
        <v>1.1038848044546932</v>
      </c>
      <c r="Y4" s="2">
        <v>0.32860003795337128</v>
      </c>
      <c r="Z4" s="6">
        <v>0.89008626635008214</v>
      </c>
    </row>
    <row r="5" spans="1:26" x14ac:dyDescent="0.2">
      <c r="A5" s="1" t="s">
        <v>1</v>
      </c>
      <c r="B5" s="1">
        <v>6.20072321E-3</v>
      </c>
      <c r="C5" s="1">
        <v>2.8539860780000003E-3</v>
      </c>
      <c r="D5" s="1">
        <f t="shared" si="0"/>
        <v>2.1726536291814385</v>
      </c>
      <c r="E5" s="1"/>
      <c r="G5" s="3"/>
      <c r="H5" s="3"/>
      <c r="J5" s="1" t="str">
        <f>A21</f>
        <v>C_M1_MOD56.mat</v>
      </c>
      <c r="K5" s="1">
        <f>E21</f>
        <v>2.7749919849578357</v>
      </c>
      <c r="L5" s="5">
        <f>G21</f>
        <v>9.0436590436590164E-2</v>
      </c>
      <c r="M5" s="1">
        <f>F21</f>
        <v>0.34321137705532206</v>
      </c>
      <c r="N5" s="5">
        <f>H21</f>
        <v>0.48563206852537144</v>
      </c>
      <c r="T5" s="2" t="s">
        <v>7</v>
      </c>
      <c r="U5" s="2">
        <v>2.227265998216037</v>
      </c>
      <c r="V5" s="6">
        <v>0.1508515815085158</v>
      </c>
      <c r="W5" s="7">
        <v>0.14499999999999999</v>
      </c>
      <c r="X5" s="3">
        <f t="shared" si="1"/>
        <v>1.0403557345414882</v>
      </c>
      <c r="Y5" s="2">
        <v>0.60098809698282563</v>
      </c>
      <c r="Z5" s="6">
        <v>0.87703463949314364</v>
      </c>
    </row>
    <row r="6" spans="1:26" x14ac:dyDescent="0.2">
      <c r="A6" s="1" t="s">
        <v>1</v>
      </c>
      <c r="B6" s="1">
        <v>5.996281755E-3</v>
      </c>
      <c r="C6" s="1">
        <v>2.5757015900000004E-3</v>
      </c>
      <c r="D6" s="1">
        <f t="shared" si="0"/>
        <v>2.3280188117599443</v>
      </c>
      <c r="E6" s="1"/>
      <c r="G6" s="3"/>
      <c r="H6" s="3"/>
      <c r="J6" s="1" t="str">
        <f>A28</f>
        <v>C_M2_EST.mat</v>
      </c>
      <c r="K6" s="1">
        <f>E28</f>
        <v>1.2870576367732602</v>
      </c>
      <c r="L6" s="5">
        <f>G28</f>
        <v>0.19980314960629944</v>
      </c>
      <c r="M6" s="1">
        <f>F28</f>
        <v>0.32860003795337128</v>
      </c>
      <c r="N6" s="5">
        <f>H28</f>
        <v>0.89008626635008214</v>
      </c>
      <c r="T6" s="2" t="s">
        <v>8</v>
      </c>
      <c r="U6" s="2">
        <v>1.2039886437345055</v>
      </c>
      <c r="V6" s="6">
        <v>0.26691858467880425</v>
      </c>
      <c r="W6" s="3">
        <v>0.18099999999999999</v>
      </c>
      <c r="X6" s="3">
        <f t="shared" si="1"/>
        <v>1.474688313142565</v>
      </c>
      <c r="Y6" s="2">
        <v>0.18744562312765112</v>
      </c>
      <c r="Z6" s="6">
        <v>0.93239651547725655</v>
      </c>
    </row>
    <row r="7" spans="1:26" x14ac:dyDescent="0.2">
      <c r="A7" s="1" t="s">
        <v>2</v>
      </c>
      <c r="B7" s="1"/>
      <c r="C7" s="1"/>
      <c r="D7" s="1"/>
      <c r="E7" s="1"/>
      <c r="G7" s="1"/>
      <c r="H7" s="1"/>
      <c r="J7" s="1" t="str">
        <f>A35</f>
        <v>C_M2_MOD56.mat</v>
      </c>
      <c r="K7" s="1">
        <f>E35</f>
        <v>2.227265998216037</v>
      </c>
      <c r="L7" s="5">
        <f>G35</f>
        <v>0.1508515815085158</v>
      </c>
      <c r="M7" s="1">
        <f>F35</f>
        <v>0.60098809698282563</v>
      </c>
      <c r="N7" s="5">
        <f>H35</f>
        <v>0.87703463949314364</v>
      </c>
      <c r="T7" s="2" t="s">
        <v>9</v>
      </c>
      <c r="U7" s="2">
        <v>1.9548274983059</v>
      </c>
      <c r="V7" s="6">
        <v>0.18550811785929003</v>
      </c>
      <c r="W7" s="7">
        <v>0.14499999999999999</v>
      </c>
      <c r="X7" s="3">
        <f t="shared" si="1"/>
        <v>1.2793663300640692</v>
      </c>
      <c r="Y7" s="2">
        <v>0.52946204811862674</v>
      </c>
      <c r="Z7" s="6">
        <v>0.97821310228622105</v>
      </c>
    </row>
    <row r="8" spans="1:26" x14ac:dyDescent="0.2">
      <c r="A8" s="1" t="s">
        <v>3</v>
      </c>
      <c r="B8" s="1">
        <v>4.0037404100000005E-3</v>
      </c>
      <c r="C8" s="1">
        <v>1.3215905750000004E-3</v>
      </c>
      <c r="D8" s="1">
        <f>B8/C8</f>
        <v>3.0294862007471561</v>
      </c>
      <c r="E8" s="1">
        <f>AVERAGE(D8:D14)</f>
        <v>3.1041010483117257</v>
      </c>
      <c r="F8" s="2">
        <f>_xlfn.STDEV.S(D8:D14)</f>
        <v>0.42927807119963513</v>
      </c>
      <c r="G8" s="3">
        <v>0.1622203098106714</v>
      </c>
      <c r="H8" s="3">
        <v>0.72146316810745281</v>
      </c>
      <c r="J8" s="1" t="str">
        <f>A42</f>
        <v>C_M3_EST.mat</v>
      </c>
      <c r="K8" s="1">
        <f>E42</f>
        <v>1.2039886437345055</v>
      </c>
      <c r="L8" s="5">
        <f>G42</f>
        <v>0.26691858467880425</v>
      </c>
      <c r="M8" s="1">
        <f>F42</f>
        <v>0.18744562312765112</v>
      </c>
      <c r="N8" s="5">
        <f>H42</f>
        <v>0.93239651547725655</v>
      </c>
      <c r="T8" s="2" t="s">
        <v>10</v>
      </c>
      <c r="U8" s="2">
        <v>2.1680219089700139</v>
      </c>
      <c r="V8" s="6">
        <v>0.11699064074874009</v>
      </c>
      <c r="W8" s="3">
        <v>0.18099999999999999</v>
      </c>
      <c r="X8" s="3">
        <f t="shared" si="1"/>
        <v>0.64635713120850879</v>
      </c>
      <c r="Y8" s="2">
        <v>0.52561161880013951</v>
      </c>
      <c r="Z8" s="6">
        <v>0.45406540028031028</v>
      </c>
    </row>
    <row r="9" spans="1:26" x14ac:dyDescent="0.2">
      <c r="A9" s="1" t="s">
        <v>3</v>
      </c>
      <c r="B9" s="1">
        <v>4.95576629E-3</v>
      </c>
      <c r="C9" s="1">
        <v>1.7677001380000002E-3</v>
      </c>
      <c r="D9" s="1">
        <f t="shared" si="0"/>
        <v>2.8035107219072919</v>
      </c>
      <c r="E9" s="1"/>
      <c r="G9" s="3"/>
      <c r="H9" s="3"/>
      <c r="J9" s="1" t="str">
        <f>A47</f>
        <v>C_M3_MOD56.mat</v>
      </c>
      <c r="K9" s="1">
        <f>E47</f>
        <v>1.9548274983059</v>
      </c>
      <c r="L9" s="5">
        <f>G47</f>
        <v>0.18550811785929003</v>
      </c>
      <c r="M9" s="1">
        <f>F47</f>
        <v>0.52946204811862674</v>
      </c>
      <c r="N9" s="5">
        <f>H47</f>
        <v>0.97821310228622105</v>
      </c>
      <c r="T9" s="2" t="s">
        <v>11</v>
      </c>
      <c r="U9" s="2">
        <v>1.2032143573631102</v>
      </c>
      <c r="V9" s="6">
        <v>0.22477693891557984</v>
      </c>
      <c r="W9" s="7">
        <v>0.14499999999999999</v>
      </c>
      <c r="X9" s="3">
        <f t="shared" si="1"/>
        <v>1.5501857856246888</v>
      </c>
      <c r="Y9" s="2">
        <v>0.19708040299664545</v>
      </c>
      <c r="Z9" s="6">
        <v>0.97159218533661007</v>
      </c>
    </row>
    <row r="10" spans="1:26" x14ac:dyDescent="0.2">
      <c r="A10" s="1" t="s">
        <v>3</v>
      </c>
      <c r="B10" s="1">
        <v>4.9283040050000001E-3</v>
      </c>
      <c r="C10" s="1">
        <v>1.7359659420000003E-3</v>
      </c>
      <c r="D10" s="1">
        <f t="shared" si="0"/>
        <v>2.838940491725384</v>
      </c>
      <c r="E10" s="1"/>
      <c r="G10" s="3"/>
      <c r="H10" s="3"/>
      <c r="J10" s="1" t="str">
        <f>A55</f>
        <v>C_M4_EST.mat</v>
      </c>
      <c r="K10" s="1">
        <f>E55</f>
        <v>2.1680219089700139</v>
      </c>
      <c r="L10" s="5">
        <f>G55</f>
        <v>0.11699064074874009</v>
      </c>
      <c r="M10" s="1">
        <f>F55</f>
        <v>0.52561161880013951</v>
      </c>
      <c r="N10" s="5">
        <f>H55</f>
        <v>0.45406540028031028</v>
      </c>
      <c r="T10" s="2" t="s">
        <v>12</v>
      </c>
      <c r="U10" s="2">
        <v>3.1952515252314257</v>
      </c>
      <c r="V10" s="6">
        <v>0.10631793478260841</v>
      </c>
      <c r="W10" s="3">
        <v>0.15</v>
      </c>
      <c r="X10" s="3">
        <f t="shared" si="1"/>
        <v>0.70878623188405609</v>
      </c>
      <c r="Y10" s="2">
        <v>0.33654394383501712</v>
      </c>
      <c r="Z10" s="6">
        <v>0.54014282865007168</v>
      </c>
    </row>
    <row r="11" spans="1:26" x14ac:dyDescent="0.2">
      <c r="A11" s="1" t="s">
        <v>3</v>
      </c>
      <c r="B11" s="1">
        <v>5.4207943160000001E-3</v>
      </c>
      <c r="C11" s="1">
        <v>1.6743283690000001E-3</v>
      </c>
      <c r="D11" s="1">
        <f t="shared" si="0"/>
        <v>3.2375933038974862</v>
      </c>
      <c r="E11" s="1"/>
      <c r="G11" s="3"/>
      <c r="H11" s="3"/>
      <c r="J11" s="1" t="str">
        <f>A64</f>
        <v>C_M4_MOD56.mat</v>
      </c>
      <c r="K11" s="1">
        <f>E64</f>
        <v>1.2032143573631102</v>
      </c>
      <c r="L11" s="5">
        <f>G64</f>
        <v>0.22477693891557984</v>
      </c>
      <c r="M11" s="1">
        <f>F64</f>
        <v>0.19708040299664545</v>
      </c>
      <c r="N11" s="5">
        <f>H64</f>
        <v>0.97159218533661007</v>
      </c>
      <c r="T11" s="2" t="s">
        <v>15</v>
      </c>
      <c r="U11" s="2">
        <v>2.6603836644842471</v>
      </c>
      <c r="V11" s="6">
        <v>0.14524886877828025</v>
      </c>
      <c r="W11" s="3">
        <v>0.15</v>
      </c>
      <c r="X11" s="3">
        <f t="shared" si="1"/>
        <v>0.96832579185520173</v>
      </c>
      <c r="Y11" s="2">
        <v>0.58572007343564847</v>
      </c>
      <c r="Z11" s="6">
        <v>0.80036410954764581</v>
      </c>
    </row>
    <row r="12" spans="1:26" x14ac:dyDescent="0.2">
      <c r="A12" s="1" t="s">
        <v>3</v>
      </c>
      <c r="B12" s="1">
        <v>6.0652426040000004E-3</v>
      </c>
      <c r="C12" s="1">
        <v>1.5547148610000003E-3</v>
      </c>
      <c r="D12" s="1">
        <f t="shared" si="0"/>
        <v>3.9011929172007829</v>
      </c>
      <c r="E12" s="1"/>
      <c r="G12" s="3"/>
      <c r="H12" s="3"/>
      <c r="J12" s="1" t="str">
        <f>A72</f>
        <v>C_M5_MOD.mat</v>
      </c>
      <c r="K12" s="1">
        <f>E72</f>
        <v>3.1952515252314257</v>
      </c>
      <c r="L12" s="5">
        <f>G72</f>
        <v>0.10631793478260841</v>
      </c>
      <c r="M12" s="1">
        <f>F72</f>
        <v>0.33654394383501712</v>
      </c>
      <c r="N12" s="5">
        <f>H72</f>
        <v>0.54014282865007168</v>
      </c>
      <c r="T12" s="2" t="s">
        <v>16</v>
      </c>
      <c r="U12" s="2">
        <v>2.7114328728731256</v>
      </c>
      <c r="V12" s="6">
        <v>0.16490566037735838</v>
      </c>
      <c r="W12" s="3">
        <v>0.15</v>
      </c>
      <c r="X12" s="3">
        <f t="shared" si="1"/>
        <v>1.0993710691823892</v>
      </c>
      <c r="Y12" s="2">
        <v>0.44454858071664255</v>
      </c>
      <c r="Z12" s="6">
        <v>0.93541380997219403</v>
      </c>
    </row>
    <row r="13" spans="1:26" x14ac:dyDescent="0.2">
      <c r="A13" s="1" t="s">
        <v>3</v>
      </c>
      <c r="B13" s="1">
        <v>4.7610892030000001E-3</v>
      </c>
      <c r="C13" s="1">
        <v>1.8244555270000003E-3</v>
      </c>
      <c r="D13" s="1">
        <f t="shared" si="0"/>
        <v>2.6095945516571639</v>
      </c>
      <c r="E13" s="1"/>
      <c r="G13" s="1"/>
      <c r="H13" s="1"/>
      <c r="J13" s="1" t="str">
        <f>A81</f>
        <v>C_M6#2_MOD.mat</v>
      </c>
      <c r="K13" s="1">
        <f>E81</f>
        <v>2.3984105027978901</v>
      </c>
      <c r="L13" s="5">
        <f>G81</f>
        <v>0.14524886877828025</v>
      </c>
      <c r="M13" s="1">
        <f>F81</f>
        <v>0.75543839770002252</v>
      </c>
      <c r="N13" s="5">
        <f>H81</f>
        <v>0.80036410954764581</v>
      </c>
      <c r="T13" s="2" t="s">
        <v>17</v>
      </c>
      <c r="U13" s="2">
        <v>2.6047394878425614</v>
      </c>
      <c r="V13" s="6">
        <v>0.22849968612680469</v>
      </c>
      <c r="W13" s="3">
        <v>0.15</v>
      </c>
      <c r="X13" s="3">
        <f>V13/W13</f>
        <v>1.5233312408453645</v>
      </c>
      <c r="Y13" s="2">
        <v>0.30195390928178178</v>
      </c>
      <c r="Z13" s="6">
        <v>0.84752060591561551</v>
      </c>
    </row>
    <row r="14" spans="1:26" x14ac:dyDescent="0.2">
      <c r="A14" s="1" t="s">
        <v>3</v>
      </c>
      <c r="B14" s="1">
        <v>5.5312537290000009E-3</v>
      </c>
      <c r="C14" s="1">
        <v>1.6718872770000001E-3</v>
      </c>
      <c r="D14" s="1">
        <f t="shared" si="0"/>
        <v>3.3083891510468146</v>
      </c>
      <c r="E14" s="1"/>
      <c r="G14" s="3"/>
      <c r="H14" s="3"/>
      <c r="J14" s="1" t="str">
        <f>A88</f>
        <v>C_M6#3_MOD.mat</v>
      </c>
      <c r="K14" s="1">
        <f>E88</f>
        <v>2.842749738118493</v>
      </c>
      <c r="L14" s="5">
        <f>G88</f>
        <v>0.14524886877828025</v>
      </c>
      <c r="M14" s="1">
        <f>F88</f>
        <v>0.60693836934815792</v>
      </c>
      <c r="N14" s="5">
        <f>H88</f>
        <v>0.80036410954764581</v>
      </c>
    </row>
    <row r="15" spans="1:26" x14ac:dyDescent="0.2">
      <c r="A15" s="1" t="s">
        <v>2</v>
      </c>
      <c r="B15" s="1"/>
      <c r="C15" s="1"/>
      <c r="D15" s="1"/>
      <c r="E15" s="1"/>
      <c r="G15" s="3"/>
      <c r="H15" s="3"/>
      <c r="J15" s="1" t="str">
        <f>A94</f>
        <v>C_M6_MOD.mat</v>
      </c>
      <c r="K15" s="1">
        <f>E94</f>
        <v>2.6603836644842471</v>
      </c>
      <c r="L15" s="5">
        <f>G94</f>
        <v>0.14524886877828025</v>
      </c>
      <c r="M15" s="1">
        <f>F94</f>
        <v>0.58572007343564847</v>
      </c>
      <c r="N15" s="5">
        <f>H94</f>
        <v>0.80036410954764581</v>
      </c>
      <c r="V15" s="4"/>
    </row>
    <row r="16" spans="1:26" x14ac:dyDescent="0.2">
      <c r="A16" s="1" t="s">
        <v>4</v>
      </c>
      <c r="B16" s="1">
        <v>4.7385091020000006E-3</v>
      </c>
      <c r="C16" s="1">
        <v>1.7158269330000001E-3</v>
      </c>
      <c r="D16" s="1">
        <f t="shared" si="0"/>
        <v>2.7616474662249635</v>
      </c>
      <c r="E16" s="1">
        <f>AVERAGE(D16:D19)</f>
        <v>2.9102501921988395</v>
      </c>
      <c r="F16" s="2">
        <f>_xlfn.STDEV.S(D16:D19)</f>
        <v>0.76924420040040553</v>
      </c>
      <c r="G16" s="3">
        <v>9.0436590436590164E-2</v>
      </c>
      <c r="H16" s="3">
        <v>0.48563206852537144</v>
      </c>
      <c r="J16" s="1" t="str">
        <f>A102</f>
        <v>C_M7_MOD.mat</v>
      </c>
      <c r="K16" s="1">
        <f>E102</f>
        <v>2.7114328728731256</v>
      </c>
      <c r="L16" s="5">
        <f>G102</f>
        <v>0.16490566037735838</v>
      </c>
      <c r="M16" s="1">
        <f>F102</f>
        <v>0.44454858071664255</v>
      </c>
      <c r="N16" s="5">
        <f>H102</f>
        <v>0.93541380997219403</v>
      </c>
      <c r="V16" s="4"/>
    </row>
    <row r="17" spans="1:22" x14ac:dyDescent="0.2">
      <c r="A17" s="1" t="s">
        <v>4</v>
      </c>
      <c r="B17" s="1">
        <v>5.7021301690000003E-3</v>
      </c>
      <c r="C17" s="1">
        <v>2.2193021580000005E-3</v>
      </c>
      <c r="D17" s="1">
        <f t="shared" si="0"/>
        <v>2.5693347561733857</v>
      </c>
      <c r="E17" s="1"/>
      <c r="G17" s="3"/>
      <c r="H17" s="3"/>
      <c r="J17" s="1" t="str">
        <f>A109</f>
        <v>C_M8_2_MOD.mat</v>
      </c>
      <c r="K17" s="1">
        <f>E109</f>
        <v>2.6047394878425614</v>
      </c>
      <c r="L17" s="5">
        <f>G109</f>
        <v>0.22849968612680469</v>
      </c>
      <c r="M17" s="1">
        <f>F109</f>
        <v>0.30195390928178178</v>
      </c>
      <c r="N17" s="5">
        <f>H109</f>
        <v>0.84752060591561551</v>
      </c>
      <c r="V17" s="4"/>
    </row>
    <row r="18" spans="1:22" x14ac:dyDescent="0.2">
      <c r="A18" s="1" t="s">
        <v>4</v>
      </c>
      <c r="B18" s="1">
        <v>6.4155393060000001E-3</v>
      </c>
      <c r="C18" s="1">
        <v>2.808825876E-3</v>
      </c>
      <c r="D18" s="1">
        <f t="shared" si="0"/>
        <v>2.2840644415937446</v>
      </c>
      <c r="E18" s="1"/>
      <c r="G18" s="3"/>
      <c r="H18" s="3"/>
      <c r="J18" s="1" t="str">
        <f>A117</f>
        <v>C_M8_MOD.mat</v>
      </c>
      <c r="K18" s="1">
        <f>E117</f>
        <v>3.146286758912467</v>
      </c>
      <c r="L18" s="5">
        <f>G117</f>
        <v>0.22849968612680499</v>
      </c>
      <c r="M18" s="1">
        <f>F117</f>
        <v>0.88443927859376859</v>
      </c>
      <c r="N18" s="5">
        <f>H117</f>
        <v>0.84752060591561551</v>
      </c>
      <c r="V18" s="4"/>
    </row>
    <row r="19" spans="1:22" x14ac:dyDescent="0.2">
      <c r="A19" s="1" t="s">
        <v>4</v>
      </c>
      <c r="B19" s="1">
        <v>7.1265073510000006E-3</v>
      </c>
      <c r="C19" s="1">
        <v>1.7701412300000002E-3</v>
      </c>
      <c r="D19" s="1">
        <f t="shared" si="0"/>
        <v>4.0259541048032643</v>
      </c>
      <c r="E19" s="1"/>
      <c r="G19" s="3"/>
      <c r="H19" s="3"/>
      <c r="J19" s="1"/>
      <c r="K19" s="1"/>
      <c r="L19" s="1"/>
      <c r="V19" s="4"/>
    </row>
    <row r="20" spans="1:22" x14ac:dyDescent="0.2">
      <c r="A20" s="1" t="s">
        <v>2</v>
      </c>
      <c r="B20" s="1"/>
      <c r="C20" s="1"/>
      <c r="D20" s="1"/>
      <c r="E20" s="1"/>
      <c r="G20" s="1"/>
      <c r="H20" s="1"/>
      <c r="J20" s="1"/>
      <c r="K20" s="1"/>
      <c r="L20" s="3"/>
      <c r="M20" s="1"/>
    </row>
    <row r="21" spans="1:22" x14ac:dyDescent="0.2">
      <c r="A21" s="1" t="s">
        <v>5</v>
      </c>
      <c r="B21" s="1">
        <v>4.797705583E-3</v>
      </c>
      <c r="C21" s="1">
        <v>1.4265575310000002E-3</v>
      </c>
      <c r="D21" s="1">
        <f t="shared" si="0"/>
        <v>3.3631350147069528</v>
      </c>
      <c r="E21" s="1">
        <f>AVERAGE(D21:D26)</f>
        <v>2.7749919849578357</v>
      </c>
      <c r="F21" s="2">
        <f>_xlfn.STDEV.S(D21:D26)</f>
        <v>0.34321137705532206</v>
      </c>
      <c r="G21" s="3">
        <v>9.0436590436590164E-2</v>
      </c>
      <c r="H21" s="3">
        <v>0.48563206852537144</v>
      </c>
      <c r="J21" s="1"/>
      <c r="K21" s="1"/>
      <c r="L21" s="3"/>
      <c r="M21" s="1"/>
    </row>
    <row r="22" spans="1:22" x14ac:dyDescent="0.2">
      <c r="A22" s="1" t="s">
        <v>5</v>
      </c>
      <c r="B22" s="1">
        <v>5.2651747010000003E-3</v>
      </c>
      <c r="C22" s="1">
        <v>2.0569695400000001E-3</v>
      </c>
      <c r="D22" s="1">
        <f t="shared" si="0"/>
        <v>2.5596755803199693</v>
      </c>
      <c r="E22" s="1"/>
      <c r="G22" s="3"/>
      <c r="H22" s="3"/>
      <c r="J22" s="1"/>
      <c r="K22" s="1"/>
      <c r="L22" s="3"/>
      <c r="M22" s="1"/>
    </row>
    <row r="23" spans="1:22" x14ac:dyDescent="0.2">
      <c r="A23" s="1" t="s">
        <v>5</v>
      </c>
      <c r="B23" s="1">
        <v>5.7161664479999999E-3</v>
      </c>
      <c r="C23" s="1">
        <v>1.9928908750000002E-3</v>
      </c>
      <c r="D23" s="1">
        <f t="shared" si="0"/>
        <v>2.8682786999062353</v>
      </c>
      <c r="E23" s="1"/>
      <c r="G23" s="3"/>
      <c r="H23" s="3"/>
      <c r="J23" s="1"/>
      <c r="K23" s="1"/>
      <c r="L23" s="3"/>
      <c r="M23" s="1"/>
    </row>
    <row r="24" spans="1:22" x14ac:dyDescent="0.2">
      <c r="A24" s="1" t="s">
        <v>5</v>
      </c>
      <c r="B24" s="1">
        <v>4.2283208739999998E-3</v>
      </c>
      <c r="C24" s="1">
        <v>1.4918567420000002E-3</v>
      </c>
      <c r="D24" s="1">
        <f t="shared" si="0"/>
        <v>2.8342673629181476</v>
      </c>
      <c r="E24" s="1"/>
      <c r="G24" s="3"/>
      <c r="H24" s="3"/>
      <c r="J24" s="1"/>
      <c r="K24" s="1"/>
      <c r="L24" s="3"/>
      <c r="M24" s="1"/>
    </row>
    <row r="25" spans="1:22" x14ac:dyDescent="0.2">
      <c r="A25" s="1" t="s">
        <v>5</v>
      </c>
      <c r="B25" s="1">
        <v>5.2486973299999996E-3</v>
      </c>
      <c r="C25" s="1">
        <v>1.9697005010000002E-3</v>
      </c>
      <c r="D25" s="1">
        <f t="shared" si="0"/>
        <v>2.6647184824978623</v>
      </c>
      <c r="E25" s="1"/>
      <c r="G25" s="3"/>
      <c r="H25" s="3"/>
    </row>
    <row r="26" spans="1:22" x14ac:dyDescent="0.2">
      <c r="A26" s="1" t="s">
        <v>5</v>
      </c>
      <c r="B26" s="1">
        <v>4.8959595360000005E-3</v>
      </c>
      <c r="C26" s="1">
        <v>2.074667457E-3</v>
      </c>
      <c r="D26" s="1">
        <f t="shared" si="0"/>
        <v>2.359876769397844</v>
      </c>
      <c r="E26" s="1"/>
      <c r="G26" s="1"/>
      <c r="H26" s="1"/>
    </row>
    <row r="27" spans="1:22" x14ac:dyDescent="0.2">
      <c r="A27" s="1" t="s">
        <v>2</v>
      </c>
      <c r="B27" s="1"/>
      <c r="C27" s="1"/>
      <c r="D27" s="1"/>
      <c r="E27" s="1"/>
      <c r="G27" s="3"/>
      <c r="H27" s="3"/>
    </row>
    <row r="28" spans="1:22" x14ac:dyDescent="0.2">
      <c r="A28" s="1" t="s">
        <v>6</v>
      </c>
      <c r="B28" s="1">
        <v>3.5728876720000002E-3</v>
      </c>
      <c r="C28" s="1">
        <v>2.4432723490000001E-3</v>
      </c>
      <c r="D28" s="1">
        <f t="shared" si="0"/>
        <v>1.4623370470599959</v>
      </c>
      <c r="E28" s="1">
        <f>AVERAGE(D28:D33)</f>
        <v>1.2870576367732602</v>
      </c>
      <c r="F28" s="2">
        <f>_xlfn.STDEV.S(D28:D33)</f>
        <v>0.32860003795337128</v>
      </c>
      <c r="G28" s="3">
        <v>0.19980314960629944</v>
      </c>
      <c r="H28" s="3">
        <v>0.89008626635008214</v>
      </c>
    </row>
    <row r="29" spans="1:22" x14ac:dyDescent="0.2">
      <c r="A29" s="1" t="s">
        <v>6</v>
      </c>
      <c r="B29" s="1">
        <v>4.7934336720000005E-3</v>
      </c>
      <c r="C29" s="1">
        <v>2.5921789610000002E-3</v>
      </c>
      <c r="D29" s="1">
        <f t="shared" si="0"/>
        <v>1.8491908715094305</v>
      </c>
      <c r="E29" s="1"/>
      <c r="G29" s="3"/>
      <c r="H29" s="3"/>
    </row>
    <row r="30" spans="1:22" x14ac:dyDescent="0.2">
      <c r="A30" s="1" t="s">
        <v>6</v>
      </c>
      <c r="B30" s="1">
        <v>4.3760069399999997E-3</v>
      </c>
      <c r="C30" s="1">
        <v>4.221607871E-3</v>
      </c>
      <c r="D30" s="1">
        <f t="shared" si="0"/>
        <v>1.0365735221550614</v>
      </c>
      <c r="E30" s="1"/>
      <c r="G30" s="3"/>
      <c r="H30" s="3"/>
    </row>
    <row r="31" spans="1:22" x14ac:dyDescent="0.2">
      <c r="A31" s="1" t="s">
        <v>6</v>
      </c>
      <c r="B31" s="1">
        <v>4.844086331E-3</v>
      </c>
      <c r="C31" s="1">
        <v>3.8157763260000003E-3</v>
      </c>
      <c r="D31" s="1">
        <f t="shared" si="0"/>
        <v>1.2694890677929112</v>
      </c>
      <c r="E31" s="1"/>
      <c r="G31" s="3"/>
      <c r="H31" s="3"/>
    </row>
    <row r="32" spans="1:22" x14ac:dyDescent="0.2">
      <c r="A32" s="1" t="s">
        <v>6</v>
      </c>
      <c r="B32" s="1">
        <v>4.8294397790000004E-3</v>
      </c>
      <c r="C32" s="1">
        <v>4.1910942210000007E-3</v>
      </c>
      <c r="D32" s="1">
        <f t="shared" si="0"/>
        <v>1.1523099993317949</v>
      </c>
      <c r="E32" s="1"/>
      <c r="G32" s="3"/>
      <c r="H32" s="3"/>
    </row>
    <row r="33" spans="1:8" x14ac:dyDescent="0.2">
      <c r="A33" s="1" t="s">
        <v>6</v>
      </c>
      <c r="B33" s="1">
        <v>4.54688338E-3</v>
      </c>
      <c r="C33" s="1">
        <v>4.7739049360000004E-3</v>
      </c>
      <c r="D33" s="1">
        <f t="shared" si="0"/>
        <v>0.95244531279036759</v>
      </c>
      <c r="E33" s="1"/>
      <c r="G33" s="1"/>
      <c r="H33" s="1"/>
    </row>
    <row r="34" spans="1:8" x14ac:dyDescent="0.2">
      <c r="A34" s="1" t="s">
        <v>2</v>
      </c>
      <c r="B34" s="1"/>
      <c r="C34" s="1"/>
      <c r="D34" s="1"/>
      <c r="E34" s="1"/>
      <c r="G34" s="3"/>
      <c r="H34" s="3"/>
    </row>
    <row r="35" spans="1:8" x14ac:dyDescent="0.2">
      <c r="A35" s="1" t="s">
        <v>7</v>
      </c>
      <c r="B35" s="1">
        <v>6.3172853529999996E-3</v>
      </c>
      <c r="C35" s="1">
        <v>2.7185054720000002E-3</v>
      </c>
      <c r="D35" s="1">
        <f t="shared" si="0"/>
        <v>2.3238082167082719</v>
      </c>
      <c r="E35" s="1">
        <f>AVERAGE(D35:D40)</f>
        <v>2.227265998216037</v>
      </c>
      <c r="F35" s="2">
        <f>_xlfn.STDEV.S(D35:D40)</f>
        <v>0.60098809698282563</v>
      </c>
      <c r="G35" s="3">
        <v>0.1508515815085158</v>
      </c>
      <c r="H35" s="3">
        <v>0.87703463949314364</v>
      </c>
    </row>
    <row r="36" spans="1:8" x14ac:dyDescent="0.2">
      <c r="A36" s="1" t="s">
        <v>7</v>
      </c>
      <c r="B36" s="1">
        <v>7.0746341460000001E-3</v>
      </c>
      <c r="C36" s="1">
        <v>3.2103855100000002E-3</v>
      </c>
      <c r="D36" s="1">
        <f t="shared" si="0"/>
        <v>2.2036712176663169</v>
      </c>
      <c r="E36" s="1"/>
      <c r="G36" s="3"/>
      <c r="H36" s="3"/>
    </row>
    <row r="37" spans="1:8" x14ac:dyDescent="0.2">
      <c r="A37" s="1" t="s">
        <v>7</v>
      </c>
      <c r="B37" s="1">
        <v>2.4115381530000002E-3</v>
      </c>
      <c r="C37" s="1">
        <v>1.9672594090000004E-3</v>
      </c>
      <c r="D37" s="1">
        <f t="shared" si="0"/>
        <v>1.2258363802798311</v>
      </c>
      <c r="E37" s="1"/>
      <c r="G37" s="3"/>
      <c r="H37" s="3"/>
    </row>
    <row r="38" spans="1:8" x14ac:dyDescent="0.2">
      <c r="A38" s="1" t="s">
        <v>7</v>
      </c>
      <c r="B38" s="1">
        <v>8.2610048579999998E-3</v>
      </c>
      <c r="C38" s="1">
        <v>3.0443912540000003E-3</v>
      </c>
      <c r="D38" s="1">
        <f t="shared" si="0"/>
        <v>2.71351615767058</v>
      </c>
      <c r="E38" s="1"/>
      <c r="G38" s="3"/>
      <c r="H38" s="3"/>
    </row>
    <row r="39" spans="1:8" x14ac:dyDescent="0.2">
      <c r="A39" s="1" t="s">
        <v>7</v>
      </c>
      <c r="B39" s="1">
        <v>6.738983996E-3</v>
      </c>
      <c r="C39" s="1">
        <v>2.5244386580000003E-3</v>
      </c>
      <c r="D39" s="1">
        <f t="shared" si="0"/>
        <v>2.6694980187551853</v>
      </c>
      <c r="E39" s="1"/>
      <c r="G39" s="3"/>
      <c r="H39" s="3"/>
    </row>
    <row r="40" spans="1:8" x14ac:dyDescent="0.2">
      <c r="A40" s="1" t="s">
        <v>7</v>
      </c>
      <c r="B40" s="1">
        <v>8.1059955160000009E-3</v>
      </c>
      <c r="C40" s="1">
        <v>2.1723111370000004E-3</v>
      </c>
      <c r="D40" s="1"/>
      <c r="E40" s="1"/>
      <c r="G40" s="1"/>
      <c r="H40" s="1"/>
    </row>
    <row r="41" spans="1:8" x14ac:dyDescent="0.2">
      <c r="A41" s="1" t="s">
        <v>2</v>
      </c>
      <c r="B41" s="1"/>
      <c r="C41" s="1"/>
      <c r="D41" s="1"/>
      <c r="E41" s="1"/>
      <c r="G41" s="3"/>
      <c r="H41" s="3"/>
    </row>
    <row r="42" spans="1:8" x14ac:dyDescent="0.2">
      <c r="A42" s="1" t="s">
        <v>8</v>
      </c>
      <c r="B42" s="1">
        <v>5.2358815970000002E-3</v>
      </c>
      <c r="C42" s="1">
        <v>4.9398991920000003E-3</v>
      </c>
      <c r="D42" s="1">
        <f t="shared" si="0"/>
        <v>1.059916689287776</v>
      </c>
      <c r="E42" s="1">
        <f>AVERAGE(D42:D45)</f>
        <v>1.2039886437345055</v>
      </c>
      <c r="F42" s="2">
        <f>_xlfn.STDEV.S(D42:D45)</f>
        <v>0.18744562312765112</v>
      </c>
      <c r="G42" s="3">
        <v>0.26691858467880425</v>
      </c>
      <c r="H42" s="3">
        <v>0.93239651547725655</v>
      </c>
    </row>
    <row r="43" spans="1:8" x14ac:dyDescent="0.2">
      <c r="A43" s="1" t="s">
        <v>8</v>
      </c>
      <c r="B43" s="1">
        <v>5.9273209060000005E-3</v>
      </c>
      <c r="C43" s="1">
        <v>5.0363223260000006E-3</v>
      </c>
      <c r="D43" s="1">
        <f t="shared" si="0"/>
        <v>1.1769145265782974</v>
      </c>
      <c r="E43" s="1"/>
      <c r="G43" s="3"/>
      <c r="H43" s="3"/>
    </row>
    <row r="44" spans="1:8" x14ac:dyDescent="0.2">
      <c r="A44" s="1" t="s">
        <v>8</v>
      </c>
      <c r="B44" s="1">
        <v>5.9883482060000002E-3</v>
      </c>
      <c r="C44" s="1">
        <v>4.0580547070000004E-3</v>
      </c>
      <c r="D44" s="1">
        <f t="shared" si="0"/>
        <v>1.475669659078354</v>
      </c>
      <c r="E44" s="1"/>
      <c r="G44" s="3"/>
      <c r="H44" s="3"/>
    </row>
    <row r="45" spans="1:8" x14ac:dyDescent="0.2">
      <c r="A45" s="1" t="s">
        <v>8</v>
      </c>
      <c r="B45" s="1">
        <v>5.4873140730000002E-3</v>
      </c>
      <c r="C45" s="1">
        <v>4.9728539339999999E-3</v>
      </c>
      <c r="D45" s="1">
        <f t="shared" si="0"/>
        <v>1.1034536999935942</v>
      </c>
      <c r="E45" s="1"/>
      <c r="G45" s="3"/>
      <c r="H45" s="3"/>
    </row>
    <row r="46" spans="1:8" x14ac:dyDescent="0.2">
      <c r="A46" s="1" t="s">
        <v>2</v>
      </c>
      <c r="B46" s="1"/>
      <c r="C46" s="1"/>
      <c r="D46" s="1"/>
      <c r="E46" s="1"/>
      <c r="G46" s="3"/>
      <c r="H46" s="3"/>
    </row>
    <row r="47" spans="1:8" x14ac:dyDescent="0.2">
      <c r="A47" s="1" t="s">
        <v>9</v>
      </c>
      <c r="B47" s="1">
        <v>4.175227123E-3</v>
      </c>
      <c r="C47" s="1">
        <v>3.0401193430000003E-3</v>
      </c>
      <c r="D47" s="1">
        <f>B47/C47</f>
        <v>1.3733760592700519</v>
      </c>
      <c r="E47" s="1">
        <f>AVERAGE(D47:D53)</f>
        <v>1.9548274983059</v>
      </c>
      <c r="F47" s="2">
        <f>_xlfn.STDEV.S(D47:D53)</f>
        <v>0.52946204811862674</v>
      </c>
      <c r="G47" s="3">
        <v>0.18550811785929003</v>
      </c>
      <c r="H47" s="3">
        <v>0.97821310228622105</v>
      </c>
    </row>
    <row r="48" spans="1:8" x14ac:dyDescent="0.2">
      <c r="A48" s="1" t="s">
        <v>9</v>
      </c>
      <c r="B48" s="1">
        <v>5.5892296640000002E-3</v>
      </c>
      <c r="C48" s="1">
        <v>2.6263542490000003E-3</v>
      </c>
      <c r="D48" s="1">
        <f t="shared" si="0"/>
        <v>2.1281324353438351</v>
      </c>
      <c r="E48" s="1"/>
      <c r="G48" s="3"/>
      <c r="H48" s="3"/>
    </row>
    <row r="49" spans="1:8" x14ac:dyDescent="0.2">
      <c r="A49" s="1" t="s">
        <v>9</v>
      </c>
      <c r="B49" s="1">
        <v>6.1531219160000008E-3</v>
      </c>
      <c r="C49" s="1">
        <v>3.8804652640000003E-3</v>
      </c>
      <c r="D49" s="1">
        <f t="shared" si="0"/>
        <v>1.5856660213103766</v>
      </c>
      <c r="E49" s="1"/>
      <c r="G49" s="3"/>
      <c r="H49" s="3"/>
    </row>
    <row r="50" spans="1:8" x14ac:dyDescent="0.2">
      <c r="A50" s="1" t="s">
        <v>9</v>
      </c>
      <c r="B50" s="1">
        <v>6.5967903869999997E-3</v>
      </c>
      <c r="C50" s="1">
        <v>3.0724638120000003E-3</v>
      </c>
      <c r="D50" s="1">
        <f t="shared" si="0"/>
        <v>2.1470685386871526</v>
      </c>
      <c r="E50" s="1"/>
      <c r="G50" s="3"/>
      <c r="H50" s="3"/>
    </row>
    <row r="51" spans="1:8" x14ac:dyDescent="0.2">
      <c r="A51" s="1" t="s">
        <v>9</v>
      </c>
      <c r="B51" s="1">
        <v>6.4448324100000003E-3</v>
      </c>
      <c r="C51" s="1">
        <v>3.8096735960000002E-3</v>
      </c>
      <c r="D51" s="1">
        <f t="shared" si="0"/>
        <v>1.6917019916789742</v>
      </c>
      <c r="E51" s="1"/>
      <c r="G51" s="3"/>
      <c r="H51" s="3"/>
    </row>
    <row r="52" spans="1:8" x14ac:dyDescent="0.2">
      <c r="A52" s="1" t="s">
        <v>9</v>
      </c>
      <c r="B52" s="1">
        <v>6.061580966E-3</v>
      </c>
      <c r="C52" s="1">
        <v>3.4007906860000002E-3</v>
      </c>
      <c r="D52" s="1">
        <f t="shared" si="0"/>
        <v>1.7824034248722356</v>
      </c>
      <c r="E52" s="1"/>
      <c r="G52" s="3"/>
      <c r="H52" s="3"/>
    </row>
    <row r="53" spans="1:8" x14ac:dyDescent="0.2">
      <c r="A53" s="1" t="s">
        <v>9</v>
      </c>
      <c r="B53" s="1">
        <v>6.5180651700000002E-3</v>
      </c>
      <c r="C53" s="1">
        <v>2.1906193270000004E-3</v>
      </c>
      <c r="D53" s="1">
        <f t="shared" si="0"/>
        <v>2.9754440169786736</v>
      </c>
      <c r="E53" s="1"/>
      <c r="G53" s="3"/>
      <c r="H53" s="3"/>
    </row>
    <row r="54" spans="1:8" x14ac:dyDescent="0.2">
      <c r="A54" s="1" t="s">
        <v>2</v>
      </c>
      <c r="B54" s="1"/>
      <c r="C54" s="1"/>
      <c r="D54" s="1"/>
      <c r="E54" s="1"/>
      <c r="G54" s="1"/>
      <c r="H54" s="1"/>
    </row>
    <row r="55" spans="1:8" x14ac:dyDescent="0.2">
      <c r="A55" s="1" t="s">
        <v>10</v>
      </c>
      <c r="B55" s="1">
        <v>4.6536811550000005E-3</v>
      </c>
      <c r="C55" s="1">
        <v>2.5049099220000003E-3</v>
      </c>
      <c r="D55" s="1">
        <f t="shared" si="0"/>
        <v>1.857823754111027</v>
      </c>
      <c r="E55" s="1">
        <f>AVERAGE(D55:D62)</f>
        <v>2.1680219089700139</v>
      </c>
      <c r="F55" s="2">
        <f>_xlfn.STDEV.S(D55:D62)</f>
        <v>0.52561161880013951</v>
      </c>
      <c r="G55" s="3">
        <v>0.11699064074874009</v>
      </c>
      <c r="H55" s="3">
        <v>0.45406540028031028</v>
      </c>
    </row>
    <row r="56" spans="1:8" x14ac:dyDescent="0.2">
      <c r="A56" s="1" t="s">
        <v>10</v>
      </c>
      <c r="B56" s="1">
        <v>4.9411197380000004E-3</v>
      </c>
      <c r="C56" s="1">
        <v>2.697145917E-3</v>
      </c>
      <c r="D56" s="1">
        <f t="shared" si="0"/>
        <v>1.831980875360256</v>
      </c>
      <c r="E56" s="1"/>
      <c r="G56" s="3"/>
      <c r="H56" s="3"/>
    </row>
    <row r="57" spans="1:8" x14ac:dyDescent="0.2">
      <c r="A57" s="1" t="s">
        <v>10</v>
      </c>
      <c r="B57" s="1">
        <v>6.0152002180000001E-3</v>
      </c>
      <c r="C57" s="1">
        <v>2.9778714970000002E-3</v>
      </c>
      <c r="D57" s="1">
        <f t="shared" si="0"/>
        <v>2.0199663498105607</v>
      </c>
      <c r="E57" s="1"/>
      <c r="G57" s="3"/>
      <c r="H57" s="3"/>
    </row>
    <row r="58" spans="1:8" x14ac:dyDescent="0.2">
      <c r="A58" s="1" t="s">
        <v>10</v>
      </c>
      <c r="B58" s="1">
        <v>7.6519524040000002E-3</v>
      </c>
      <c r="C58" s="1">
        <v>2.5714296790000004E-3</v>
      </c>
      <c r="D58" s="1">
        <f t="shared" si="0"/>
        <v>2.9757579864971291</v>
      </c>
      <c r="E58" s="1"/>
      <c r="G58" s="3"/>
      <c r="H58" s="3"/>
    </row>
    <row r="59" spans="1:8" x14ac:dyDescent="0.2">
      <c r="A59" s="1" t="s">
        <v>10</v>
      </c>
      <c r="B59" s="1">
        <v>7.9924847380000007E-3</v>
      </c>
      <c r="C59" s="1">
        <v>3.487449452E-3</v>
      </c>
      <c r="D59" s="1">
        <f t="shared" si="0"/>
        <v>2.2917851134491514</v>
      </c>
      <c r="E59" s="1"/>
      <c r="G59" s="3"/>
      <c r="H59" s="3"/>
    </row>
    <row r="60" spans="1:8" x14ac:dyDescent="0.2">
      <c r="A60" s="1" t="s">
        <v>10</v>
      </c>
      <c r="B60" s="1">
        <v>8.7370177980000008E-3</v>
      </c>
      <c r="C60" s="1">
        <v>5.2847034370000004E-3</v>
      </c>
      <c r="D60" s="1">
        <f t="shared" si="0"/>
        <v>1.653265486352399</v>
      </c>
      <c r="E60" s="1"/>
      <c r="G60" s="3"/>
      <c r="H60" s="3"/>
    </row>
    <row r="61" spans="1:8" x14ac:dyDescent="0.2">
      <c r="A61" s="1" t="s">
        <v>10</v>
      </c>
      <c r="B61" s="1">
        <v>8.1542070830000011E-3</v>
      </c>
      <c r="C61" s="1">
        <v>2.7661067660000004E-3</v>
      </c>
      <c r="D61" s="1">
        <f t="shared" si="0"/>
        <v>2.9479003425423094</v>
      </c>
      <c r="E61" s="1"/>
      <c r="G61" s="1"/>
      <c r="H61" s="1"/>
    </row>
    <row r="62" spans="1:8" x14ac:dyDescent="0.2">
      <c r="A62" s="1" t="s">
        <v>10</v>
      </c>
      <c r="B62" s="1">
        <v>7.4023507470000003E-3</v>
      </c>
      <c r="C62" s="1">
        <v>4.1923147669999999E-3</v>
      </c>
      <c r="D62" s="1">
        <f t="shared" si="0"/>
        <v>1.7656953636372792</v>
      </c>
      <c r="E62" s="1"/>
      <c r="G62" s="3"/>
      <c r="H62" s="3"/>
    </row>
    <row r="63" spans="1:8" x14ac:dyDescent="0.2">
      <c r="A63" s="1" t="s">
        <v>2</v>
      </c>
      <c r="B63" s="1"/>
      <c r="C63" s="1"/>
      <c r="D63" s="1"/>
      <c r="E63" s="1"/>
      <c r="G63" s="3"/>
      <c r="H63" s="3"/>
    </row>
    <row r="64" spans="1:8" x14ac:dyDescent="0.2">
      <c r="A64" s="1" t="s">
        <v>11</v>
      </c>
      <c r="B64" s="1">
        <v>2.3859066870000004E-3</v>
      </c>
      <c r="C64" s="1">
        <v>1.8220144350000003E-3</v>
      </c>
      <c r="D64" s="1">
        <f>B64/C64</f>
        <v>1.3094883559470811</v>
      </c>
      <c r="E64" s="1">
        <f>AVERAGE(D64:D70)</f>
        <v>1.2032143573631102</v>
      </c>
      <c r="F64" s="2">
        <f>_xlfn.STDEV.S(D64:D70)</f>
        <v>0.19708040299664545</v>
      </c>
      <c r="G64" s="3">
        <v>0.22477693891557984</v>
      </c>
      <c r="H64" s="3">
        <v>0.97159218533661007</v>
      </c>
    </row>
    <row r="65" spans="1:8" x14ac:dyDescent="0.2">
      <c r="A65" s="1" t="s">
        <v>11</v>
      </c>
      <c r="B65" s="1">
        <v>4.0531725229999999E-3</v>
      </c>
      <c r="C65" s="1">
        <v>4.7269139150000004E-3</v>
      </c>
      <c r="D65" s="1">
        <f>B65/C65</f>
        <v>0.85746696383405574</v>
      </c>
      <c r="E65" s="1"/>
      <c r="G65" s="3"/>
      <c r="H65" s="3"/>
    </row>
    <row r="66" spans="1:8" x14ac:dyDescent="0.2">
      <c r="A66" s="1" t="s">
        <v>11</v>
      </c>
      <c r="B66" s="1">
        <v>4.6658866149999999E-3</v>
      </c>
      <c r="C66" s="1">
        <v>3.7248456490000001E-3</v>
      </c>
      <c r="D66" s="1">
        <f t="shared" si="0"/>
        <v>1.2526389157232969</v>
      </c>
      <c r="E66" s="1"/>
      <c r="G66" s="3"/>
      <c r="H66" s="3"/>
    </row>
    <row r="67" spans="1:8" x14ac:dyDescent="0.2">
      <c r="A67" s="1" t="s">
        <v>11</v>
      </c>
      <c r="B67" s="1">
        <v>4.5676326620000002E-3</v>
      </c>
      <c r="C67" s="1">
        <v>4.3302364649999998E-3</v>
      </c>
      <c r="D67" s="1">
        <f t="shared" ref="D67:D70" si="2">B67/C67</f>
        <v>1.0548229176209665</v>
      </c>
      <c r="E67" s="1"/>
      <c r="G67" s="3"/>
      <c r="H67" s="3"/>
    </row>
    <row r="68" spans="1:8" x14ac:dyDescent="0.2">
      <c r="A68" s="1" t="s">
        <v>11</v>
      </c>
      <c r="B68" s="1">
        <v>4.1056560010000005E-3</v>
      </c>
      <c r="C68" s="1">
        <v>3.5362712920000003E-3</v>
      </c>
      <c r="D68" s="1">
        <f>B68/C68</f>
        <v>1.1610127340309275</v>
      </c>
      <c r="E68" s="1"/>
      <c r="G68" s="1"/>
      <c r="H68" s="1"/>
    </row>
    <row r="69" spans="1:8" x14ac:dyDescent="0.2">
      <c r="A69" s="1" t="s">
        <v>11</v>
      </c>
      <c r="B69" s="1">
        <v>4.2545626130000005E-3</v>
      </c>
      <c r="C69" s="1">
        <v>2.9638352180000002E-3</v>
      </c>
      <c r="D69" s="1">
        <f t="shared" si="2"/>
        <v>1.435492292945687</v>
      </c>
      <c r="E69" s="1"/>
      <c r="G69" s="3"/>
      <c r="H69" s="3"/>
    </row>
    <row r="70" spans="1:8" x14ac:dyDescent="0.2">
      <c r="A70" s="1" t="s">
        <v>11</v>
      </c>
      <c r="B70" s="1">
        <v>4.5725148460000007E-3</v>
      </c>
      <c r="C70" s="1">
        <v>3.3830927690000003E-3</v>
      </c>
      <c r="D70" s="1">
        <f t="shared" si="2"/>
        <v>1.3515783214397572</v>
      </c>
      <c r="E70" s="1"/>
      <c r="G70" s="3"/>
      <c r="H70" s="3"/>
    </row>
    <row r="71" spans="1:8" x14ac:dyDescent="0.2">
      <c r="A71" s="1" t="s">
        <v>2</v>
      </c>
      <c r="B71" s="1"/>
      <c r="C71" s="1"/>
      <c r="D71" s="1"/>
      <c r="E71" s="1"/>
      <c r="G71" s="3"/>
      <c r="H71" s="3"/>
    </row>
    <row r="72" spans="1:8" x14ac:dyDescent="0.2">
      <c r="A72" s="1" t="s">
        <v>12</v>
      </c>
      <c r="B72" s="1">
        <v>5.9675989240000008E-3</v>
      </c>
      <c r="C72" s="1">
        <v>2.1332536650000003E-3</v>
      </c>
      <c r="D72" s="1">
        <f t="shared" ref="D72:D122" si="3">B72/C72</f>
        <v>2.7974164638315528</v>
      </c>
      <c r="E72" s="1">
        <f>AVERAGE(D72:D79)</f>
        <v>3.1952515252314257</v>
      </c>
      <c r="F72" s="2">
        <f>_xlfn.STDEV.S(D72:D79)</f>
        <v>0.33654394383501712</v>
      </c>
      <c r="G72" s="3">
        <v>0.10631793478260841</v>
      </c>
      <c r="H72" s="3">
        <v>0.54014282865007168</v>
      </c>
    </row>
    <row r="73" spans="1:8" x14ac:dyDescent="0.2">
      <c r="A73" s="1" t="s">
        <v>12</v>
      </c>
      <c r="B73" s="1">
        <v>8.7797369079999996E-3</v>
      </c>
      <c r="C73" s="1">
        <v>2.4981969190000001E-3</v>
      </c>
      <c r="D73" s="1">
        <f t="shared" si="3"/>
        <v>3.5144294836110954</v>
      </c>
      <c r="E73" s="1"/>
      <c r="G73" s="3"/>
      <c r="H73" s="3"/>
    </row>
    <row r="74" spans="1:8" x14ac:dyDescent="0.2">
      <c r="A74" s="1" t="s">
        <v>12</v>
      </c>
      <c r="B74" s="1">
        <v>7.1130813450000002E-3</v>
      </c>
      <c r="C74" s="1">
        <v>2.260190449E-3</v>
      </c>
      <c r="D74" s="1">
        <f t="shared" si="3"/>
        <v>3.1471159203186247</v>
      </c>
      <c r="E74" s="1"/>
      <c r="G74" s="3"/>
      <c r="H74" s="3"/>
    </row>
    <row r="75" spans="1:8" x14ac:dyDescent="0.2">
      <c r="A75" s="1" t="s">
        <v>12</v>
      </c>
      <c r="B75" s="1">
        <v>8.412962835000001E-3</v>
      </c>
      <c r="C75" s="1">
        <v>3.1603431240000003E-3</v>
      </c>
      <c r="D75" s="1">
        <f t="shared" si="3"/>
        <v>2.6620409572337311</v>
      </c>
      <c r="E75" s="1"/>
      <c r="G75" s="1"/>
      <c r="H75" s="1"/>
    </row>
    <row r="76" spans="1:8" x14ac:dyDescent="0.2">
      <c r="A76" s="1" t="s">
        <v>12</v>
      </c>
      <c r="B76" s="1">
        <v>9.3918407270000004E-3</v>
      </c>
      <c r="C76" s="1">
        <v>3.0248625180000002E-3</v>
      </c>
      <c r="D76" s="1">
        <f t="shared" si="3"/>
        <v>3.1048818487161403</v>
      </c>
      <c r="E76" s="1"/>
      <c r="G76" s="3"/>
      <c r="H76" s="3"/>
    </row>
    <row r="77" spans="1:8" x14ac:dyDescent="0.2">
      <c r="A77" s="1" t="s">
        <v>12</v>
      </c>
      <c r="B77" s="1">
        <v>1.0087551946999999E-2</v>
      </c>
      <c r="C77" s="1">
        <v>3.0736843580000004E-3</v>
      </c>
      <c r="D77" s="1">
        <f t="shared" si="3"/>
        <v>3.2819088663885498</v>
      </c>
      <c r="E77" s="1"/>
      <c r="G77" s="3"/>
      <c r="H77" s="3"/>
    </row>
    <row r="78" spans="1:8" x14ac:dyDescent="0.2">
      <c r="A78" s="1" t="s">
        <v>12</v>
      </c>
      <c r="B78" s="1">
        <v>1.0350579610000001E-2</v>
      </c>
      <c r="C78" s="1">
        <v>2.8765661790000003E-3</v>
      </c>
      <c r="D78" s="1">
        <f t="shared" si="3"/>
        <v>3.5982414329846013</v>
      </c>
      <c r="E78" s="1"/>
      <c r="G78" s="3"/>
      <c r="H78" s="3"/>
    </row>
    <row r="79" spans="1:8" x14ac:dyDescent="0.2">
      <c r="A79" s="1" t="s">
        <v>12</v>
      </c>
      <c r="B79" s="1">
        <v>1.0249274292E-2</v>
      </c>
      <c r="C79" s="1">
        <v>2.9656660370000003E-3</v>
      </c>
      <c r="D79" s="1">
        <f t="shared" si="3"/>
        <v>3.4559772287671104</v>
      </c>
      <c r="E79" s="1"/>
      <c r="G79" s="3"/>
      <c r="H79" s="3"/>
    </row>
    <row r="80" spans="1:8" x14ac:dyDescent="0.2">
      <c r="A80" s="1" t="s">
        <v>2</v>
      </c>
      <c r="B80" s="1"/>
      <c r="C80" s="1"/>
      <c r="D80" s="1"/>
      <c r="E80" s="1"/>
      <c r="G80" s="3"/>
      <c r="H80" s="3"/>
    </row>
    <row r="81" spans="1:8" x14ac:dyDescent="0.2">
      <c r="A81" s="1" t="s">
        <v>13</v>
      </c>
      <c r="B81" s="1">
        <v>4.9728539339999999E-3</v>
      </c>
      <c r="C81" s="1">
        <v>2.7471883030000003E-3</v>
      </c>
      <c r="D81" s="1">
        <f t="shared" si="3"/>
        <v>1.8101612942110723</v>
      </c>
      <c r="E81" s="1">
        <f>AVERAGE(D81:D86)</f>
        <v>2.3984105027978901</v>
      </c>
      <c r="F81" s="2">
        <f>_xlfn.STDEV.S(D81:D86)</f>
        <v>0.75543839770002252</v>
      </c>
      <c r="G81" s="3">
        <v>0.14524886877828025</v>
      </c>
      <c r="H81" s="3">
        <v>0.80036410954764581</v>
      </c>
    </row>
    <row r="82" spans="1:8" x14ac:dyDescent="0.2">
      <c r="A82" s="1" t="s">
        <v>13</v>
      </c>
      <c r="B82" s="1">
        <v>4.7720741170000002E-3</v>
      </c>
      <c r="C82" s="1">
        <v>2.6440521660000002E-3</v>
      </c>
      <c r="D82" s="1">
        <f t="shared" si="3"/>
        <v>1.804833572636857</v>
      </c>
      <c r="E82" s="1"/>
      <c r="G82" s="1"/>
      <c r="H82" s="1"/>
    </row>
    <row r="83" spans="1:8" x14ac:dyDescent="0.2">
      <c r="A83" s="1" t="s">
        <v>13</v>
      </c>
      <c r="B83" s="1">
        <v>5.1004009910000005E-3</v>
      </c>
      <c r="C83" s="1">
        <v>3.1054185540000004E-3</v>
      </c>
      <c r="D83" s="1">
        <f t="shared" si="3"/>
        <v>1.6424198227418718</v>
      </c>
      <c r="E83" s="1"/>
      <c r="G83" s="3"/>
      <c r="H83" s="3"/>
    </row>
    <row r="84" spans="1:8" x14ac:dyDescent="0.2">
      <c r="A84" s="1" t="s">
        <v>13</v>
      </c>
      <c r="B84" s="1">
        <v>8.9262024279999994E-3</v>
      </c>
      <c r="C84" s="1">
        <v>3.455104983E-3</v>
      </c>
      <c r="D84" s="1">
        <f t="shared" si="3"/>
        <v>2.583482259415907</v>
      </c>
      <c r="E84" s="1"/>
      <c r="G84" s="3"/>
      <c r="H84" s="3"/>
    </row>
    <row r="85" spans="1:8" x14ac:dyDescent="0.2">
      <c r="A85" s="1" t="s">
        <v>13</v>
      </c>
      <c r="B85" s="1">
        <v>8.924981882000001E-3</v>
      </c>
      <c r="C85" s="1">
        <v>2.6593089910000004E-3</v>
      </c>
      <c r="D85" s="1">
        <f t="shared" si="3"/>
        <v>3.356128194280978</v>
      </c>
      <c r="E85" s="1"/>
      <c r="G85" s="3"/>
      <c r="H85" s="3"/>
    </row>
    <row r="86" spans="1:8" x14ac:dyDescent="0.2">
      <c r="A86" s="1" t="s">
        <v>13</v>
      </c>
      <c r="B86" s="1">
        <v>9.6402218380000002E-3</v>
      </c>
      <c r="C86" s="1">
        <v>3.0187597880000001E-3</v>
      </c>
      <c r="D86" s="1">
        <f t="shared" si="3"/>
        <v>3.1934378735006521</v>
      </c>
      <c r="E86" s="1"/>
      <c r="G86" s="3"/>
      <c r="H86" s="3"/>
    </row>
    <row r="87" spans="1:8" x14ac:dyDescent="0.2">
      <c r="A87" s="1" t="s">
        <v>2</v>
      </c>
      <c r="B87" s="1"/>
      <c r="C87" s="1"/>
      <c r="D87" s="1"/>
      <c r="E87" s="1"/>
      <c r="G87" s="3"/>
      <c r="H87" s="3"/>
    </row>
    <row r="88" spans="1:8" x14ac:dyDescent="0.2">
      <c r="A88" s="1" t="s">
        <v>14</v>
      </c>
      <c r="B88" s="1">
        <v>7.1429847220000004E-3</v>
      </c>
      <c r="C88" s="1">
        <v>2.8704634490000001E-3</v>
      </c>
      <c r="D88" s="1">
        <f t="shared" si="3"/>
        <v>2.4884430158790014</v>
      </c>
      <c r="E88" s="1">
        <f>AVERAGE(D88:D92)</f>
        <v>2.842749738118493</v>
      </c>
      <c r="F88" s="2">
        <f>_xlfn.STDEV.S(D88:D92)</f>
        <v>0.60693836934815792</v>
      </c>
      <c r="G88" s="3">
        <v>0.14524886877828025</v>
      </c>
      <c r="H88" s="3">
        <v>0.80036410954764581</v>
      </c>
    </row>
    <row r="89" spans="1:8" x14ac:dyDescent="0.2">
      <c r="A89" s="1" t="s">
        <v>14</v>
      </c>
      <c r="B89" s="1">
        <v>8.1737358189999994E-3</v>
      </c>
      <c r="C89" s="1">
        <v>2.7282698400000003E-3</v>
      </c>
      <c r="D89" s="1">
        <f t="shared" si="3"/>
        <v>2.995941126923134</v>
      </c>
      <c r="E89" s="1"/>
      <c r="G89" s="3"/>
      <c r="H89" s="3"/>
    </row>
    <row r="90" spans="1:8" x14ac:dyDescent="0.2">
      <c r="A90" s="1" t="s">
        <v>14</v>
      </c>
      <c r="B90" s="1">
        <v>7.6305928490000008E-3</v>
      </c>
      <c r="C90" s="1">
        <v>3.0810076340000003E-3</v>
      </c>
      <c r="D90" s="1">
        <f t="shared" si="3"/>
        <v>2.4766549633937065</v>
      </c>
      <c r="E90" s="1"/>
      <c r="G90" s="3"/>
      <c r="H90" s="3"/>
    </row>
    <row r="91" spans="1:8" x14ac:dyDescent="0.2">
      <c r="A91" s="1" t="s">
        <v>14</v>
      </c>
      <c r="B91" s="1">
        <v>9.0622933070000009E-3</v>
      </c>
      <c r="C91" s="1">
        <v>3.7620723020000001E-3</v>
      </c>
      <c r="D91" s="1">
        <f t="shared" si="3"/>
        <v>2.4088567628491049</v>
      </c>
      <c r="E91" s="1"/>
      <c r="G91" s="3"/>
      <c r="H91" s="3"/>
    </row>
    <row r="92" spans="1:8" x14ac:dyDescent="0.2">
      <c r="A92" s="1" t="s">
        <v>14</v>
      </c>
      <c r="B92" s="1">
        <v>9.8959262250000006E-3</v>
      </c>
      <c r="C92" s="1">
        <v>2.5744810440000002E-3</v>
      </c>
      <c r="D92" s="1">
        <f t="shared" si="3"/>
        <v>3.8438528215475181</v>
      </c>
      <c r="E92" s="1"/>
      <c r="G92" s="3"/>
      <c r="H92" s="3"/>
    </row>
    <row r="93" spans="1:8" x14ac:dyDescent="0.2">
      <c r="A93" s="1" t="s">
        <v>2</v>
      </c>
      <c r="B93" s="1"/>
      <c r="C93" s="1"/>
      <c r="D93" s="1"/>
      <c r="E93" s="1"/>
      <c r="G93" s="3"/>
      <c r="H93" s="3"/>
    </row>
    <row r="94" spans="1:8" x14ac:dyDescent="0.2">
      <c r="A94" s="1" t="s">
        <v>15</v>
      </c>
      <c r="B94" s="1">
        <v>5.2962986240000006E-3</v>
      </c>
      <c r="C94" s="1">
        <v>2.055748994E-3</v>
      </c>
      <c r="D94" s="1">
        <f>B94/C94</f>
        <v>2.576335262455685</v>
      </c>
      <c r="E94" s="1">
        <f>AVERAGE(D94:D100)</f>
        <v>2.6603836644842471</v>
      </c>
      <c r="F94" s="2">
        <f>_xlfn.STDEV.S(D94:D100)</f>
        <v>0.58572007343564847</v>
      </c>
      <c r="G94" s="3">
        <v>0.14524886877828025</v>
      </c>
      <c r="H94" s="3">
        <v>0.80036410954764581</v>
      </c>
    </row>
    <row r="95" spans="1:8" x14ac:dyDescent="0.2">
      <c r="A95" s="1" t="s">
        <v>15</v>
      </c>
      <c r="B95" s="1">
        <v>7.2735831439999996E-3</v>
      </c>
      <c r="C95" s="1">
        <v>2.5152845630000004E-3</v>
      </c>
      <c r="D95" s="1">
        <f t="shared" si="3"/>
        <v>2.891753581680133</v>
      </c>
      <c r="E95" s="1"/>
      <c r="G95" s="3"/>
      <c r="H95" s="3"/>
    </row>
    <row r="96" spans="1:8" x14ac:dyDescent="0.2">
      <c r="A96" s="1" t="s">
        <v>15</v>
      </c>
      <c r="B96" s="1">
        <v>6.7426456340000003E-3</v>
      </c>
      <c r="C96" s="1">
        <v>2.4298463430000002E-3</v>
      </c>
      <c r="D96" s="1">
        <f t="shared" si="3"/>
        <v>2.7749267575805718</v>
      </c>
      <c r="E96" s="1"/>
      <c r="G96" s="3"/>
      <c r="H96" s="3"/>
    </row>
    <row r="97" spans="1:8" x14ac:dyDescent="0.2">
      <c r="A97" s="1" t="s">
        <v>15</v>
      </c>
      <c r="B97" s="1">
        <v>8.8444258460000005E-3</v>
      </c>
      <c r="C97" s="1">
        <v>2.3553930370000002E-3</v>
      </c>
      <c r="D97" s="1">
        <f t="shared" si="3"/>
        <v>3.7549681548116083</v>
      </c>
      <c r="E97" s="1"/>
      <c r="G97" s="3"/>
      <c r="H97" s="3"/>
    </row>
    <row r="98" spans="1:8" x14ac:dyDescent="0.2">
      <c r="A98" s="1" t="s">
        <v>15</v>
      </c>
      <c r="B98" s="1">
        <v>7.3571905449999996E-3</v>
      </c>
      <c r="C98" s="1">
        <v>2.9003668260000003E-3</v>
      </c>
      <c r="D98" s="1">
        <f t="shared" si="3"/>
        <v>2.5366413927532623</v>
      </c>
      <c r="E98" s="1"/>
      <c r="G98" s="3"/>
      <c r="H98" s="3"/>
    </row>
    <row r="99" spans="1:8" x14ac:dyDescent="0.2">
      <c r="A99" s="1" t="s">
        <v>15</v>
      </c>
      <c r="B99" s="1">
        <v>4.2985022690000003E-3</v>
      </c>
      <c r="C99" s="1">
        <v>2.1839063240000002E-3</v>
      </c>
      <c r="D99" s="1">
        <f t="shared" si="3"/>
        <v>1.9682631172233374</v>
      </c>
      <c r="E99" s="1"/>
      <c r="G99" s="3"/>
      <c r="H99" s="3"/>
    </row>
    <row r="100" spans="1:8" x14ac:dyDescent="0.2">
      <c r="A100" s="1" t="s">
        <v>15</v>
      </c>
      <c r="B100" s="1">
        <v>6.9049782519999998E-3</v>
      </c>
      <c r="C100" s="1">
        <v>3.2573765310000002E-3</v>
      </c>
      <c r="D100" s="1">
        <f t="shared" si="3"/>
        <v>2.119797384885131</v>
      </c>
      <c r="E100" s="1"/>
      <c r="G100" s="3"/>
      <c r="H100" s="3"/>
    </row>
    <row r="101" spans="1:8" x14ac:dyDescent="0.2">
      <c r="A101" s="1" t="s">
        <v>2</v>
      </c>
      <c r="B101" s="1"/>
      <c r="C101" s="1"/>
      <c r="D101" s="1"/>
      <c r="E101" s="1"/>
      <c r="G101" s="1"/>
      <c r="H101" s="1"/>
    </row>
    <row r="102" spans="1:8" x14ac:dyDescent="0.2">
      <c r="A102" s="1" t="s">
        <v>16</v>
      </c>
      <c r="B102" s="1">
        <v>6.358783917E-3</v>
      </c>
      <c r="C102" s="1">
        <v>2.9546811230000002E-3</v>
      </c>
      <c r="D102" s="1">
        <f t="shared" si="3"/>
        <v>2.1521049657445555</v>
      </c>
      <c r="E102" s="1">
        <f>AVERAGE(D102:D107)</f>
        <v>2.7114328728731256</v>
      </c>
      <c r="F102" s="2">
        <f>_xlfn.STDEV.S(D102:D107)</f>
        <v>0.44454858071664255</v>
      </c>
      <c r="G102" s="3">
        <v>0.16490566037735838</v>
      </c>
      <c r="H102" s="3">
        <v>0.93541380997219403</v>
      </c>
    </row>
    <row r="103" spans="1:8" x14ac:dyDescent="0.2">
      <c r="A103" s="1" t="s">
        <v>16</v>
      </c>
      <c r="B103" s="1">
        <v>9.1477315270000002E-3</v>
      </c>
      <c r="C103" s="1">
        <v>3.0907720020000003E-3</v>
      </c>
      <c r="D103" s="1">
        <f t="shared" si="3"/>
        <v>2.9596914690182961</v>
      </c>
      <c r="E103" s="1"/>
      <c r="G103" s="3"/>
      <c r="H103" s="3"/>
    </row>
    <row r="104" spans="1:8" x14ac:dyDescent="0.2">
      <c r="A104" s="1" t="s">
        <v>16</v>
      </c>
      <c r="B104" s="1">
        <v>9.8477146580000004E-3</v>
      </c>
      <c r="C104" s="1">
        <v>2.92965993E-3</v>
      </c>
      <c r="D104" s="1">
        <f t="shared" si="3"/>
        <v>3.3613849024449745</v>
      </c>
      <c r="E104" s="1"/>
      <c r="G104" s="3"/>
      <c r="H104" s="3"/>
    </row>
    <row r="105" spans="1:8" x14ac:dyDescent="0.2">
      <c r="A105" s="1" t="s">
        <v>16</v>
      </c>
      <c r="B105" s="1">
        <v>9.5218288759999995E-3</v>
      </c>
      <c r="C105" s="1">
        <v>3.5930266810000003E-3</v>
      </c>
      <c r="D105" s="1">
        <f t="shared" si="3"/>
        <v>2.6500857692907287</v>
      </c>
      <c r="E105" s="1"/>
      <c r="G105" s="3"/>
      <c r="H105" s="3"/>
    </row>
    <row r="106" spans="1:8" x14ac:dyDescent="0.2">
      <c r="A106" s="1" t="s">
        <v>16</v>
      </c>
      <c r="B106" s="1">
        <v>9.7604456190000001E-3</v>
      </c>
      <c r="C106" s="1">
        <v>3.4300837900000003E-3</v>
      </c>
      <c r="D106" s="1">
        <f t="shared" si="3"/>
        <v>2.8455414551257943</v>
      </c>
      <c r="E106" s="1"/>
      <c r="G106" s="3"/>
      <c r="H106" s="3"/>
    </row>
    <row r="107" spans="1:8" x14ac:dyDescent="0.2">
      <c r="A107" s="1" t="s">
        <v>16</v>
      </c>
      <c r="B107" s="1">
        <v>8.9298640659999998E-3</v>
      </c>
      <c r="C107" s="1">
        <v>3.8829063560000001E-3</v>
      </c>
      <c r="D107" s="1">
        <f>B107/C107</f>
        <v>2.2997886756144061</v>
      </c>
      <c r="E107" s="1"/>
      <c r="G107" s="3"/>
      <c r="H107" s="3"/>
    </row>
    <row r="108" spans="1:8" x14ac:dyDescent="0.2">
      <c r="A108" s="1" t="s">
        <v>2</v>
      </c>
      <c r="B108" s="1"/>
      <c r="C108" s="1"/>
      <c r="D108" s="1"/>
      <c r="E108" s="1"/>
      <c r="G108" s="1"/>
      <c r="H108" s="1"/>
    </row>
    <row r="109" spans="1:8" x14ac:dyDescent="0.2">
      <c r="A109" s="1" t="s">
        <v>17</v>
      </c>
      <c r="B109" s="1">
        <v>4.6256085970000005E-3</v>
      </c>
      <c r="C109" s="1">
        <v>1.9678696820000004E-3</v>
      </c>
      <c r="D109" s="1">
        <f t="shared" si="3"/>
        <v>2.3505665234391264</v>
      </c>
      <c r="E109" s="1">
        <f>AVERAGE(D109:D115)</f>
        <v>2.6047394878425614</v>
      </c>
      <c r="F109" s="2">
        <f>_xlfn.STDEV.S(D109:D115)</f>
        <v>0.30195390928178178</v>
      </c>
      <c r="G109" s="3">
        <v>0.22849968612680469</v>
      </c>
      <c r="H109" s="3">
        <v>0.84752060591561551</v>
      </c>
    </row>
    <row r="110" spans="1:8" x14ac:dyDescent="0.2">
      <c r="A110" s="1" t="s">
        <v>17</v>
      </c>
      <c r="B110" s="1">
        <v>6.4875515200000008E-3</v>
      </c>
      <c r="C110" s="1">
        <v>2.8582579890000003E-3</v>
      </c>
      <c r="D110" s="1">
        <f t="shared" si="3"/>
        <v>2.2697571545211557</v>
      </c>
      <c r="E110" s="1"/>
      <c r="G110" s="3"/>
      <c r="H110" s="3"/>
    </row>
    <row r="111" spans="1:8" x14ac:dyDescent="0.2">
      <c r="A111" s="1" t="s">
        <v>17</v>
      </c>
      <c r="B111" s="1">
        <v>7.0178787570000008E-3</v>
      </c>
      <c r="C111" s="1">
        <v>2.6165898810000003E-3</v>
      </c>
      <c r="D111" s="1">
        <f t="shared" si="3"/>
        <v>2.6820705865903331</v>
      </c>
      <c r="E111" s="1"/>
      <c r="G111" s="3"/>
      <c r="H111" s="3"/>
    </row>
    <row r="112" spans="1:8" x14ac:dyDescent="0.2">
      <c r="A112" s="1" t="s">
        <v>17</v>
      </c>
      <c r="B112" s="1">
        <v>7.1826524670000006E-3</v>
      </c>
      <c r="C112" s="1">
        <v>2.4060456960000001E-3</v>
      </c>
      <c r="D112" s="1">
        <f t="shared" si="3"/>
        <v>2.9852518923231623</v>
      </c>
      <c r="E112" s="1"/>
      <c r="G112" s="3"/>
      <c r="H112" s="3"/>
    </row>
    <row r="113" spans="1:8" x14ac:dyDescent="0.2">
      <c r="A113" s="1" t="s">
        <v>17</v>
      </c>
      <c r="B113" s="1">
        <v>6.9794315579999999E-3</v>
      </c>
      <c r="C113" s="1">
        <v>3.0535453490000003E-3</v>
      </c>
      <c r="D113" s="1">
        <f t="shared" si="3"/>
        <v>2.2856813180409064</v>
      </c>
      <c r="E113" s="1"/>
      <c r="G113" s="3"/>
      <c r="H113" s="3"/>
    </row>
    <row r="114" spans="1:8" x14ac:dyDescent="0.2">
      <c r="A114" s="1" t="s">
        <v>17</v>
      </c>
      <c r="B114" s="1">
        <v>6.8262530350000003E-3</v>
      </c>
      <c r="C114" s="1">
        <v>2.3376951200000003E-3</v>
      </c>
      <c r="D114" s="1">
        <f t="shared" si="3"/>
        <v>2.9200784039793861</v>
      </c>
      <c r="E114" s="1"/>
      <c r="G114" s="3"/>
      <c r="H114" s="3"/>
    </row>
    <row r="115" spans="1:8" x14ac:dyDescent="0.2">
      <c r="A115" s="1" t="s">
        <v>17</v>
      </c>
      <c r="B115" s="1">
        <v>6.8244222160000001E-3</v>
      </c>
      <c r="C115" s="1">
        <v>2.4908736430000003E-3</v>
      </c>
      <c r="D115" s="1">
        <f t="shared" si="3"/>
        <v>2.7397705360038609</v>
      </c>
      <c r="E115" s="1"/>
      <c r="G115" s="3"/>
      <c r="H115" s="3"/>
    </row>
    <row r="116" spans="1:8" x14ac:dyDescent="0.2">
      <c r="A116" s="1" t="s">
        <v>2</v>
      </c>
      <c r="B116" s="1"/>
      <c r="C116" s="1"/>
      <c r="D116" s="1"/>
      <c r="E116" s="1"/>
      <c r="G116" s="3"/>
      <c r="H116" s="3"/>
    </row>
    <row r="117" spans="1:8" x14ac:dyDescent="0.2">
      <c r="A117" s="1" t="s">
        <v>18</v>
      </c>
      <c r="B117" s="1">
        <v>5.0772106170000001E-3</v>
      </c>
      <c r="C117" s="1">
        <v>2.3029095590000005E-3</v>
      </c>
      <c r="D117" s="1">
        <f t="shared" si="3"/>
        <v>2.2046938826397913</v>
      </c>
      <c r="E117" s="1">
        <f>AVERAGE(D117:D122)</f>
        <v>3.146286758912467</v>
      </c>
      <c r="F117" s="2">
        <f>_xlfn.STDEV.S(D117:D122)</f>
        <v>0.88443927859376859</v>
      </c>
      <c r="G117" s="3">
        <v>0.22849968612680499</v>
      </c>
      <c r="H117" s="3">
        <v>0.84752060591561551</v>
      </c>
    </row>
    <row r="118" spans="1:8" x14ac:dyDescent="0.2">
      <c r="A118" s="1" t="s">
        <v>18</v>
      </c>
      <c r="B118" s="1">
        <v>7.6842968730000006E-3</v>
      </c>
      <c r="C118" s="1">
        <v>2.3401362120000005E-3</v>
      </c>
      <c r="D118" s="1">
        <f t="shared" si="3"/>
        <v>3.2836964077542334</v>
      </c>
      <c r="E118" s="1"/>
      <c r="G118" s="3"/>
      <c r="H118" s="3"/>
    </row>
    <row r="119" spans="1:8" x14ac:dyDescent="0.2">
      <c r="A119" s="1" t="s">
        <v>18</v>
      </c>
      <c r="B119" s="1">
        <v>6.944035724E-3</v>
      </c>
      <c r="C119" s="1">
        <v>2.5055201950000003E-3</v>
      </c>
      <c r="D119" s="1">
        <f>B119/C119</f>
        <v>2.7714946133172154</v>
      </c>
      <c r="E119" s="1"/>
      <c r="G119" s="3"/>
      <c r="H119" s="3"/>
    </row>
    <row r="120" spans="1:8" x14ac:dyDescent="0.2">
      <c r="A120" s="1" t="s">
        <v>18</v>
      </c>
      <c r="B120" s="1">
        <v>9.1239308800000005E-3</v>
      </c>
      <c r="C120" s="1">
        <v>2.4322874350000004E-3</v>
      </c>
      <c r="D120" s="1">
        <f t="shared" si="3"/>
        <v>3.7511729694068823</v>
      </c>
      <c r="E120" s="1"/>
      <c r="G120" s="1"/>
      <c r="H120" s="1"/>
    </row>
    <row r="121" spans="1:8" x14ac:dyDescent="0.2">
      <c r="A121" s="1" t="s">
        <v>18</v>
      </c>
      <c r="B121" s="1">
        <v>8.6235070200000007E-3</v>
      </c>
      <c r="C121" s="1">
        <v>1.9105040200000003E-3</v>
      </c>
      <c r="D121" s="1">
        <f>B121/C121</f>
        <v>4.5137340354824271</v>
      </c>
      <c r="E121" s="1"/>
      <c r="G121" s="3"/>
      <c r="H121" s="3"/>
    </row>
    <row r="122" spans="1:8" x14ac:dyDescent="0.2">
      <c r="A122" s="1" t="s">
        <v>18</v>
      </c>
      <c r="B122" s="1">
        <v>7.9070465179999997E-3</v>
      </c>
      <c r="C122" s="1">
        <v>3.3605126680000003E-3</v>
      </c>
      <c r="D122" s="1">
        <f t="shared" si="3"/>
        <v>2.3529286448742526</v>
      </c>
      <c r="E122" s="1"/>
      <c r="G122" s="3"/>
      <c r="H122" s="3"/>
    </row>
    <row r="123" spans="1:8" x14ac:dyDescent="0.2">
      <c r="A123" s="1" t="s">
        <v>2</v>
      </c>
      <c r="B123" s="1"/>
      <c r="C123" s="1"/>
      <c r="D123" s="1"/>
      <c r="E123" s="1"/>
      <c r="G123" s="3"/>
      <c r="H123" s="3"/>
    </row>
    <row r="124" spans="1:8" x14ac:dyDescent="0.2">
      <c r="A124" s="1"/>
      <c r="B124" s="1"/>
      <c r="C124" s="1"/>
      <c r="D124" s="1"/>
      <c r="E124" s="1"/>
      <c r="G124" s="3"/>
      <c r="H124" s="3"/>
    </row>
    <row r="125" spans="1:8" x14ac:dyDescent="0.2">
      <c r="A125" s="1"/>
      <c r="B125" s="1"/>
      <c r="C125" s="1"/>
      <c r="D125" s="1"/>
      <c r="E125" s="1"/>
      <c r="G125" s="3"/>
      <c r="H125" s="3"/>
    </row>
    <row r="126" spans="1:8" x14ac:dyDescent="0.2">
      <c r="A126" s="1"/>
      <c r="B126" s="1"/>
      <c r="C126" s="1"/>
      <c r="D126" s="1"/>
      <c r="E126" s="1"/>
      <c r="G126" s="3"/>
      <c r="H126" s="3"/>
    </row>
    <row r="127" spans="1:8" x14ac:dyDescent="0.2">
      <c r="A127" s="1"/>
      <c r="B127" s="1"/>
      <c r="C127" s="1"/>
      <c r="D127" s="1"/>
      <c r="E127" s="1"/>
      <c r="G127" s="1"/>
      <c r="H127" s="1"/>
    </row>
    <row r="128" spans="1:8" x14ac:dyDescent="0.2">
      <c r="A128" s="1"/>
      <c r="B128" s="1"/>
      <c r="C128" s="1"/>
      <c r="D128" s="1"/>
      <c r="E128" s="1"/>
      <c r="G128" s="3"/>
      <c r="H128" s="3"/>
    </row>
    <row r="129" spans="1:8" x14ac:dyDescent="0.2">
      <c r="A129" s="1"/>
      <c r="B129" s="1"/>
      <c r="C129" s="1"/>
      <c r="D129" s="1"/>
      <c r="E129" s="1"/>
      <c r="G129" s="3"/>
      <c r="H129" s="3"/>
    </row>
    <row r="130" spans="1:8" x14ac:dyDescent="0.2">
      <c r="A130" s="1"/>
      <c r="B130" s="1"/>
      <c r="C130" s="1"/>
      <c r="D130" s="1"/>
      <c r="E130" s="1"/>
      <c r="G130" s="3"/>
      <c r="H130" s="3"/>
    </row>
    <row r="131" spans="1:8" x14ac:dyDescent="0.2">
      <c r="A131" s="1"/>
      <c r="B131" s="1"/>
      <c r="C131" s="1"/>
      <c r="D131" s="1"/>
      <c r="E131" s="1"/>
      <c r="G131" s="3"/>
      <c r="H131" s="3"/>
    </row>
    <row r="132" spans="1:8" x14ac:dyDescent="0.2">
      <c r="A132" s="1"/>
      <c r="B132" s="1"/>
      <c r="C132" s="1"/>
      <c r="D132" s="1"/>
      <c r="E132" s="1"/>
      <c r="G132" s="3"/>
      <c r="H132" s="3"/>
    </row>
    <row r="133" spans="1:8" x14ac:dyDescent="0.2">
      <c r="A133" s="1"/>
      <c r="B133" s="1"/>
      <c r="C133" s="1"/>
      <c r="D133" s="1"/>
      <c r="E133" s="1"/>
      <c r="G133" s="1"/>
      <c r="H133" s="1"/>
    </row>
    <row r="134" spans="1:8" x14ac:dyDescent="0.2">
      <c r="A134" s="1"/>
      <c r="B134" s="1"/>
      <c r="C134" s="1"/>
      <c r="D134" s="1"/>
      <c r="E134" s="1"/>
      <c r="G134" s="3"/>
      <c r="H134" s="3"/>
    </row>
    <row r="135" spans="1:8" x14ac:dyDescent="0.2">
      <c r="A135" s="1"/>
      <c r="B135" s="1"/>
      <c r="C135" s="1"/>
      <c r="D135" s="1"/>
      <c r="E135" s="1"/>
      <c r="G135" s="3"/>
      <c r="H135" s="3"/>
    </row>
    <row r="136" spans="1:8" x14ac:dyDescent="0.2">
      <c r="A136" s="1"/>
      <c r="B136" s="1"/>
      <c r="C136" s="1"/>
      <c r="D136" s="1"/>
      <c r="E136" s="1"/>
      <c r="G136" s="3"/>
      <c r="H136" s="3"/>
    </row>
    <row r="137" spans="1:8" x14ac:dyDescent="0.2">
      <c r="A137" s="1"/>
      <c r="B137" s="1"/>
      <c r="C137" s="1"/>
      <c r="D137" s="1"/>
      <c r="E137" s="1"/>
      <c r="G137" s="3"/>
      <c r="H137" s="3"/>
    </row>
    <row r="138" spans="1:8" x14ac:dyDescent="0.2">
      <c r="A138" s="1"/>
      <c r="B138" s="1"/>
      <c r="C138" s="1"/>
      <c r="D138" s="1"/>
      <c r="E138" s="1"/>
      <c r="G138" s="3"/>
      <c r="H138" s="3"/>
    </row>
    <row r="139" spans="1:8" x14ac:dyDescent="0.2">
      <c r="A139" s="1"/>
      <c r="B139" s="1"/>
      <c r="C139" s="1"/>
      <c r="D139" s="1"/>
      <c r="E139" s="1"/>
      <c r="G139" s="1"/>
      <c r="H139" s="1"/>
    </row>
    <row r="140" spans="1:8" x14ac:dyDescent="0.2">
      <c r="A140" s="1"/>
      <c r="B140" s="1"/>
      <c r="C140" s="1"/>
      <c r="D140" s="1"/>
      <c r="E140" s="1"/>
      <c r="G140" s="3"/>
      <c r="H140" s="3"/>
    </row>
    <row r="141" spans="1:8" x14ac:dyDescent="0.2">
      <c r="A141" s="1"/>
      <c r="B141" s="1"/>
      <c r="C141" s="1"/>
      <c r="D141" s="1"/>
      <c r="E141" s="1"/>
      <c r="G141" s="3"/>
      <c r="H141" s="3"/>
    </row>
    <row r="142" spans="1:8" x14ac:dyDescent="0.2">
      <c r="A142" s="1"/>
      <c r="B142" s="1"/>
      <c r="C142" s="1"/>
      <c r="D142" s="1"/>
      <c r="E142" s="1"/>
      <c r="G142" s="3"/>
      <c r="H142" s="3"/>
    </row>
    <row r="143" spans="1:8" x14ac:dyDescent="0.2">
      <c r="A143" s="1"/>
      <c r="B143" s="1"/>
      <c r="C143" s="1"/>
      <c r="D143" s="1"/>
      <c r="E143" s="1"/>
      <c r="G143" s="3"/>
      <c r="H143" s="3"/>
    </row>
    <row r="144" spans="1:8" x14ac:dyDescent="0.2">
      <c r="A144" s="1"/>
      <c r="B144" s="1"/>
      <c r="C144" s="1"/>
      <c r="D144" s="1"/>
      <c r="E144" s="1"/>
      <c r="G144" s="3"/>
      <c r="H144" s="3"/>
    </row>
    <row r="145" spans="1:8" x14ac:dyDescent="0.2">
      <c r="A145" s="1"/>
      <c r="B145" s="1"/>
      <c r="C145" s="1"/>
      <c r="D145" s="1"/>
      <c r="E145" s="1"/>
      <c r="G145" s="3"/>
      <c r="H145" s="3"/>
    </row>
    <row r="146" spans="1:8" x14ac:dyDescent="0.2">
      <c r="A146" s="1"/>
      <c r="B146" s="1"/>
      <c r="C146" s="1"/>
      <c r="D146" s="1"/>
      <c r="E146" s="1"/>
      <c r="G146" s="3"/>
      <c r="H146" s="3"/>
    </row>
    <row r="147" spans="1:8" x14ac:dyDescent="0.2">
      <c r="A147" s="1"/>
      <c r="B147" s="1"/>
      <c r="C147" s="1"/>
      <c r="D147" s="1"/>
      <c r="E147" s="1"/>
      <c r="G147" s="3"/>
      <c r="H147" s="3"/>
    </row>
    <row r="148" spans="1:8" x14ac:dyDescent="0.2">
      <c r="A148" s="1"/>
      <c r="B148" s="1"/>
      <c r="C148" s="1"/>
      <c r="D148" s="1"/>
      <c r="E148" s="1"/>
      <c r="G148" s="3"/>
      <c r="H148" s="3"/>
    </row>
    <row r="149" spans="1:8" x14ac:dyDescent="0.2">
      <c r="A149" s="1"/>
      <c r="B149" s="1"/>
      <c r="C149" s="1"/>
      <c r="D149" s="1"/>
      <c r="E149" s="1"/>
      <c r="G149" s="3"/>
      <c r="H149" s="3"/>
    </row>
    <row r="150" spans="1:8" x14ac:dyDescent="0.2">
      <c r="A150" s="1"/>
      <c r="B150" s="1"/>
      <c r="C150" s="1"/>
      <c r="D150" s="1"/>
      <c r="E150" s="1"/>
      <c r="G150" s="3"/>
      <c r="H150" s="3"/>
    </row>
    <row r="151" spans="1:8" x14ac:dyDescent="0.2">
      <c r="A151" s="1"/>
      <c r="B151" s="1"/>
      <c r="C151" s="1"/>
      <c r="D151" s="1"/>
      <c r="E151" s="1"/>
      <c r="G151" s="3"/>
      <c r="H151" s="3"/>
    </row>
    <row r="152" spans="1:8" x14ac:dyDescent="0.2">
      <c r="A152" s="1"/>
      <c r="B152" s="1"/>
      <c r="C152" s="1"/>
      <c r="D152" s="1"/>
      <c r="E152" s="1"/>
      <c r="G152" s="3"/>
      <c r="H152" s="3"/>
    </row>
    <row r="179" spans="2:8" x14ac:dyDescent="0.2">
      <c r="B179" s="4"/>
      <c r="H179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Sheet1</vt:lpstr>
      <vt:lpstr>TOF2 vs W</vt:lpstr>
      <vt:lpstr>F1</vt:lpstr>
      <vt:lpstr>F2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José Torres Constante</cp:lastModifiedBy>
  <dcterms:modified xsi:type="dcterms:W3CDTF">2025-09-04T23:39:38Z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b10915-602c-481a-bdc7-238d429ea082_Enabled">
    <vt:lpwstr>true</vt:lpwstr>
  </property>
  <property fmtid="{D5CDD505-2E9C-101B-9397-08002B2CF9AE}" pid="3" name="MSIP_Label_f7b10915-602c-481a-bdc7-238d429ea082_SetDate">
    <vt:lpwstr>2025-09-04T20:17:44Z</vt:lpwstr>
  </property>
  <property fmtid="{D5CDD505-2E9C-101B-9397-08002B2CF9AE}" pid="4" name="MSIP_Label_f7b10915-602c-481a-bdc7-238d429ea082_Method">
    <vt:lpwstr>Standard</vt:lpwstr>
  </property>
  <property fmtid="{D5CDD505-2E9C-101B-9397-08002B2CF9AE}" pid="5" name="MSIP_Label_f7b10915-602c-481a-bdc7-238d429ea082_Name">
    <vt:lpwstr>defa4170-0d19-0005-0004-bc88714345d2</vt:lpwstr>
  </property>
  <property fmtid="{D5CDD505-2E9C-101B-9397-08002B2CF9AE}" pid="6" name="MSIP_Label_f7b10915-602c-481a-bdc7-238d429ea082_SiteId">
    <vt:lpwstr>9f119962-8c62-431c-a8ef-e7e0a42d11fc</vt:lpwstr>
  </property>
  <property fmtid="{D5CDD505-2E9C-101B-9397-08002B2CF9AE}" pid="7" name="MSIP_Label_f7b10915-602c-481a-bdc7-238d429ea082_ActionId">
    <vt:lpwstr>c5049644-78f6-43a5-82ec-30008c5f2efb</vt:lpwstr>
  </property>
  <property fmtid="{D5CDD505-2E9C-101B-9397-08002B2CF9AE}" pid="8" name="MSIP_Label_f7b10915-602c-481a-bdc7-238d429ea082_ContentBits">
    <vt:lpwstr>0</vt:lpwstr>
  </property>
  <property fmtid="{D5CDD505-2E9C-101B-9397-08002B2CF9AE}" pid="9" name="MSIP_Label_f7b10915-602c-481a-bdc7-238d429ea082_Tag">
    <vt:lpwstr>50, 3, 0, 1</vt:lpwstr>
  </property>
</Properties>
</file>