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ink/ink1.xml" ContentType="application/inkml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esktop/F:W_Arena/"/>
    </mc:Choice>
  </mc:AlternateContent>
  <xr:revisionPtr revIDLastSave="0" documentId="13_ncr:1_{073A4C07-A949-E045-8407-33BD655319B9}" xr6:coauthVersionLast="47" xr6:coauthVersionMax="47" xr10:uidLastSave="{00000000-0000-0000-0000-000000000000}"/>
  <bookViews>
    <workbookView xWindow="0" yWindow="500" windowWidth="28800" windowHeight="15760" activeTab="1" xr2:uid="{00000000-000D-0000-FFFF-FFFF00000000}"/>
  </bookViews>
  <sheets>
    <sheet name="Sheet1" sheetId="1" r:id="rId1"/>
    <sheet name="F1" sheetId="2" r:id="rId2"/>
    <sheet name="F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" i="2"/>
  <c r="D2" i="2"/>
  <c r="D9" i="4"/>
  <c r="D8" i="4"/>
  <c r="D6" i="4"/>
  <c r="D5" i="4"/>
  <c r="D4" i="4"/>
  <c r="D3" i="4"/>
  <c r="D2" i="4"/>
  <c r="D151" i="4"/>
  <c r="D150" i="4"/>
  <c r="D149" i="4"/>
  <c r="D148" i="4"/>
  <c r="D147" i="4"/>
  <c r="D145" i="4"/>
  <c r="D144" i="4"/>
  <c r="D143" i="4"/>
  <c r="D142" i="4"/>
  <c r="D141" i="4"/>
  <c r="D140" i="4"/>
  <c r="D138" i="4"/>
  <c r="D137" i="4"/>
  <c r="D136" i="4"/>
  <c r="D135" i="4"/>
  <c r="D134" i="4"/>
  <c r="D132" i="4"/>
  <c r="D131" i="4"/>
  <c r="D130" i="4"/>
  <c r="D129" i="4"/>
  <c r="D128" i="4"/>
  <c r="D126" i="4"/>
  <c r="D125" i="4"/>
  <c r="D124" i="4"/>
  <c r="D123" i="4"/>
  <c r="D122" i="4"/>
  <c r="D121" i="4"/>
  <c r="D119" i="4"/>
  <c r="D118" i="4"/>
  <c r="D117" i="4"/>
  <c r="D116" i="4"/>
  <c r="D115" i="4"/>
  <c r="D114" i="4"/>
  <c r="D112" i="4"/>
  <c r="D111" i="4"/>
  <c r="D110" i="4"/>
  <c r="D109" i="4"/>
  <c r="D107" i="4"/>
  <c r="D106" i="4"/>
  <c r="D105" i="4"/>
  <c r="D104" i="4"/>
  <c r="D103" i="4"/>
  <c r="D102" i="4"/>
  <c r="D100" i="4"/>
  <c r="D99" i="4"/>
  <c r="D98" i="4"/>
  <c r="D97" i="4"/>
  <c r="D96" i="4"/>
  <c r="D95" i="4"/>
  <c r="D93" i="4"/>
  <c r="D92" i="4"/>
  <c r="D91" i="4"/>
  <c r="D90" i="4"/>
  <c r="D89" i="4"/>
  <c r="D87" i="4"/>
  <c r="D86" i="4"/>
  <c r="D85" i="4"/>
  <c r="D84" i="4"/>
  <c r="D83" i="4"/>
  <c r="D81" i="4"/>
  <c r="D80" i="4"/>
  <c r="D79" i="4"/>
  <c r="D78" i="4"/>
  <c r="D77" i="4"/>
  <c r="D76" i="4"/>
  <c r="D74" i="4"/>
  <c r="D73" i="4"/>
  <c r="D72" i="4"/>
  <c r="D71" i="4"/>
  <c r="D70" i="4"/>
  <c r="D69" i="4"/>
  <c r="D67" i="4"/>
  <c r="D66" i="4"/>
  <c r="D65" i="4"/>
  <c r="D64" i="4"/>
  <c r="D63" i="4"/>
  <c r="D62" i="4"/>
  <c r="D60" i="4"/>
  <c r="D59" i="4"/>
  <c r="D58" i="4"/>
  <c r="D57" i="4"/>
  <c r="D56" i="4"/>
  <c r="D55" i="4"/>
  <c r="D53" i="4"/>
  <c r="D52" i="4"/>
  <c r="D51" i="4"/>
  <c r="D50" i="4"/>
  <c r="D49" i="4"/>
  <c r="D48" i="4"/>
  <c r="D46" i="4"/>
  <c r="D45" i="4"/>
  <c r="D44" i="4"/>
  <c r="D43" i="4"/>
  <c r="D42" i="4"/>
  <c r="D41" i="4"/>
  <c r="D39" i="4"/>
  <c r="D38" i="4"/>
  <c r="D37" i="4"/>
  <c r="D36" i="4"/>
  <c r="D35" i="4"/>
  <c r="D34" i="4"/>
  <c r="D32" i="4"/>
  <c r="D31" i="4"/>
  <c r="D30" i="4"/>
  <c r="D29" i="4"/>
  <c r="D28" i="4"/>
  <c r="D27" i="4"/>
  <c r="D25" i="4"/>
  <c r="K24" i="4"/>
  <c r="I24" i="4"/>
  <c r="D24" i="4"/>
  <c r="K23" i="4"/>
  <c r="I23" i="4"/>
  <c r="D23" i="4"/>
  <c r="K22" i="4"/>
  <c r="I22" i="4"/>
  <c r="D22" i="4"/>
  <c r="K21" i="4"/>
  <c r="I21" i="4"/>
  <c r="D21" i="4"/>
  <c r="K20" i="4"/>
  <c r="I20" i="4"/>
  <c r="K19" i="4"/>
  <c r="I19" i="4"/>
  <c r="D19" i="4"/>
  <c r="K18" i="4"/>
  <c r="I18" i="4"/>
  <c r="D18" i="4"/>
  <c r="K17" i="4"/>
  <c r="I17" i="4"/>
  <c r="D17" i="4"/>
  <c r="K16" i="4"/>
  <c r="I16" i="4"/>
  <c r="D16" i="4"/>
  <c r="K15" i="4"/>
  <c r="I15" i="4"/>
  <c r="D15" i="4"/>
  <c r="K14" i="4"/>
  <c r="I14" i="4"/>
  <c r="D14" i="4"/>
  <c r="K13" i="4"/>
  <c r="I13" i="4"/>
  <c r="K12" i="4"/>
  <c r="I12" i="4"/>
  <c r="D12" i="4"/>
  <c r="K11" i="4"/>
  <c r="I11" i="4"/>
  <c r="D11" i="4"/>
  <c r="K10" i="4"/>
  <c r="I10" i="4"/>
  <c r="D10" i="4"/>
  <c r="K9" i="4"/>
  <c r="I9" i="4"/>
  <c r="K8" i="4"/>
  <c r="I8" i="4"/>
  <c r="K7" i="4"/>
  <c r="I7" i="4"/>
  <c r="K6" i="4"/>
  <c r="I6" i="4"/>
  <c r="K5" i="4"/>
  <c r="I5" i="4"/>
  <c r="K4" i="4"/>
  <c r="I4" i="4"/>
  <c r="K3" i="4"/>
  <c r="I3" i="4"/>
  <c r="K2" i="4"/>
  <c r="I2" i="4"/>
  <c r="I3" i="2"/>
  <c r="K3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2" i="2"/>
  <c r="K24" i="2"/>
  <c r="K2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E2" i="4" l="1"/>
  <c r="J2" i="4" s="1"/>
  <c r="F2" i="4"/>
  <c r="F21" i="4"/>
  <c r="L5" i="4" s="1"/>
  <c r="F14" i="4"/>
  <c r="L4" i="4" s="1"/>
  <c r="E128" i="4"/>
  <c r="J21" i="4" s="1"/>
  <c r="F147" i="4"/>
  <c r="L24" i="4" s="1"/>
  <c r="E134" i="4"/>
  <c r="J22" i="4" s="1"/>
  <c r="F8" i="4"/>
  <c r="L3" i="4" s="1"/>
  <c r="F89" i="4"/>
  <c r="L15" i="4" s="1"/>
  <c r="F34" i="4"/>
  <c r="L7" i="4" s="1"/>
  <c r="F62" i="4"/>
  <c r="L11" i="4" s="1"/>
  <c r="F83" i="4"/>
  <c r="L14" i="4" s="1"/>
  <c r="F102" i="4"/>
  <c r="L17" i="4" s="1"/>
  <c r="E121" i="4"/>
  <c r="J20" i="4" s="1"/>
  <c r="F140" i="4"/>
  <c r="L23" i="4" s="1"/>
  <c r="F76" i="4"/>
  <c r="L13" i="4" s="1"/>
  <c r="E114" i="4"/>
  <c r="J19" i="4" s="1"/>
  <c r="E62" i="4"/>
  <c r="J11" i="4" s="1"/>
  <c r="F55" i="4"/>
  <c r="L10" i="4" s="1"/>
  <c r="E147" i="4"/>
  <c r="J24" i="4" s="1"/>
  <c r="E89" i="4"/>
  <c r="J15" i="4" s="1"/>
  <c r="E140" i="4"/>
  <c r="J23" i="4" s="1"/>
  <c r="E83" i="4"/>
  <c r="J14" i="4" s="1"/>
  <c r="F48" i="4"/>
  <c r="L9" i="4" s="1"/>
  <c r="E48" i="4"/>
  <c r="J9" i="4" s="1"/>
  <c r="E76" i="4"/>
  <c r="J13" i="4" s="1"/>
  <c r="F114" i="4"/>
  <c r="L19" i="4" s="1"/>
  <c r="F121" i="4"/>
  <c r="L20" i="4" s="1"/>
  <c r="F128" i="4"/>
  <c r="L21" i="4" s="1"/>
  <c r="E14" i="4"/>
  <c r="J4" i="4" s="1"/>
  <c r="F27" i="4"/>
  <c r="L6" i="4" s="1"/>
  <c r="E55" i="4"/>
  <c r="J10" i="4" s="1"/>
  <c r="F134" i="4"/>
  <c r="L22" i="4" s="1"/>
  <c r="F41" i="4"/>
  <c r="L8" i="4" s="1"/>
  <c r="F69" i="4"/>
  <c r="L12" i="4" s="1"/>
  <c r="E34" i="4"/>
  <c r="J7" i="4" s="1"/>
  <c r="L2" i="4"/>
  <c r="E27" i="4"/>
  <c r="J6" i="4" s="1"/>
  <c r="F95" i="4"/>
  <c r="L16" i="4" s="1"/>
  <c r="E21" i="4"/>
  <c r="J5" i="4" s="1"/>
  <c r="E41" i="4"/>
  <c r="J8" i="4" s="1"/>
  <c r="E69" i="4"/>
  <c r="J12" i="4" s="1"/>
  <c r="F109" i="4"/>
  <c r="L18" i="4" s="1"/>
  <c r="E95" i="4"/>
  <c r="J16" i="4" s="1"/>
  <c r="E102" i="4"/>
  <c r="J17" i="4" s="1"/>
  <c r="E109" i="4"/>
  <c r="J18" i="4" s="1"/>
  <c r="E8" i="4"/>
  <c r="J3" i="4" s="1"/>
  <c r="D3" i="2"/>
  <c r="D4" i="2"/>
  <c r="D5" i="2"/>
  <c r="D6" i="2"/>
  <c r="D8" i="2"/>
  <c r="D9" i="2"/>
  <c r="D10" i="2"/>
  <c r="D11" i="2"/>
  <c r="D12" i="2"/>
  <c r="D14" i="2"/>
  <c r="D15" i="2"/>
  <c r="D16" i="2"/>
  <c r="D17" i="2"/>
  <c r="D18" i="2"/>
  <c r="D19" i="2"/>
  <c r="D21" i="2"/>
  <c r="D22" i="2"/>
  <c r="D23" i="2"/>
  <c r="D24" i="2"/>
  <c r="D25" i="2"/>
  <c r="D27" i="2"/>
  <c r="D28" i="2"/>
  <c r="D29" i="2"/>
  <c r="D30" i="2"/>
  <c r="D31" i="2"/>
  <c r="D32" i="2"/>
  <c r="D34" i="2"/>
  <c r="D35" i="2"/>
  <c r="D36" i="2"/>
  <c r="D37" i="2"/>
  <c r="D38" i="2"/>
  <c r="D39" i="2"/>
  <c r="D41" i="2"/>
  <c r="D42" i="2"/>
  <c r="D43" i="2"/>
  <c r="D44" i="2"/>
  <c r="D45" i="2"/>
  <c r="D46" i="2"/>
  <c r="D48" i="2"/>
  <c r="D49" i="2"/>
  <c r="D50" i="2"/>
  <c r="D51" i="2"/>
  <c r="D52" i="2"/>
  <c r="D53" i="2"/>
  <c r="D55" i="2"/>
  <c r="D56" i="2"/>
  <c r="D57" i="2"/>
  <c r="D58" i="2"/>
  <c r="D59" i="2"/>
  <c r="D60" i="2"/>
  <c r="D62" i="2"/>
  <c r="D63" i="2"/>
  <c r="D64" i="2"/>
  <c r="D65" i="2"/>
  <c r="D66" i="2"/>
  <c r="D67" i="2"/>
  <c r="D69" i="2"/>
  <c r="D70" i="2"/>
  <c r="D71" i="2"/>
  <c r="D72" i="2"/>
  <c r="D73" i="2"/>
  <c r="D74" i="2"/>
  <c r="D76" i="2"/>
  <c r="D77" i="2"/>
  <c r="D78" i="2"/>
  <c r="D79" i="2"/>
  <c r="D80" i="2"/>
  <c r="D81" i="2"/>
  <c r="D83" i="2"/>
  <c r="D84" i="2"/>
  <c r="D85" i="2"/>
  <c r="D86" i="2"/>
  <c r="D87" i="2"/>
  <c r="D89" i="2"/>
  <c r="D90" i="2"/>
  <c r="D91" i="2"/>
  <c r="D92" i="2"/>
  <c r="D93" i="2"/>
  <c r="D95" i="2"/>
  <c r="D96" i="2"/>
  <c r="D97" i="2"/>
  <c r="D98" i="2"/>
  <c r="D99" i="2"/>
  <c r="D100" i="2"/>
  <c r="D102" i="2"/>
  <c r="D103" i="2"/>
  <c r="D104" i="2"/>
  <c r="D105" i="2"/>
  <c r="D106" i="2"/>
  <c r="D107" i="2"/>
  <c r="D109" i="2"/>
  <c r="D110" i="2"/>
  <c r="D111" i="2"/>
  <c r="D112" i="2"/>
  <c r="D114" i="2"/>
  <c r="D115" i="2"/>
  <c r="D116" i="2"/>
  <c r="D117" i="2"/>
  <c r="D118" i="2"/>
  <c r="D119" i="2"/>
  <c r="D121" i="2"/>
  <c r="D122" i="2"/>
  <c r="D123" i="2"/>
  <c r="D124" i="2"/>
  <c r="D125" i="2"/>
  <c r="D126" i="2"/>
  <c r="D128" i="2"/>
  <c r="D129" i="2"/>
  <c r="D130" i="2"/>
  <c r="D131" i="2"/>
  <c r="D132" i="2"/>
  <c r="D134" i="2"/>
  <c r="D135" i="2"/>
  <c r="D136" i="2"/>
  <c r="D137" i="2"/>
  <c r="D138" i="2"/>
  <c r="D140" i="2"/>
  <c r="D141" i="2"/>
  <c r="D142" i="2"/>
  <c r="D143" i="2"/>
  <c r="D144" i="2"/>
  <c r="D145" i="2"/>
  <c r="D147" i="2"/>
  <c r="D148" i="2"/>
  <c r="D149" i="2"/>
  <c r="D150" i="2"/>
  <c r="D151" i="2"/>
  <c r="E2" i="2" l="1"/>
  <c r="J2" i="2" s="1"/>
  <c r="F140" i="2"/>
  <c r="L23" i="2" s="1"/>
  <c r="E140" i="2"/>
  <c r="J23" i="2" s="1"/>
  <c r="F121" i="2"/>
  <c r="L20" i="2" s="1"/>
  <c r="E121" i="2"/>
  <c r="J20" i="2" s="1"/>
  <c r="F102" i="2"/>
  <c r="L17" i="2" s="1"/>
  <c r="E102" i="2"/>
  <c r="J17" i="2" s="1"/>
  <c r="F83" i="2"/>
  <c r="L14" i="2" s="1"/>
  <c r="E83" i="2"/>
  <c r="J14" i="2" s="1"/>
  <c r="F55" i="2"/>
  <c r="L10" i="2" s="1"/>
  <c r="E55" i="2"/>
  <c r="J10" i="2" s="1"/>
  <c r="F27" i="2"/>
  <c r="L6" i="2" s="1"/>
  <c r="E27" i="2"/>
  <c r="J6" i="2" s="1"/>
  <c r="E8" i="2"/>
  <c r="J3" i="2" s="1"/>
  <c r="E147" i="2"/>
  <c r="J24" i="2" s="1"/>
  <c r="E109" i="2"/>
  <c r="J18" i="2" s="1"/>
  <c r="E62" i="2"/>
  <c r="J11" i="2" s="1"/>
  <c r="E14" i="2"/>
  <c r="J4" i="2" s="1"/>
  <c r="E69" i="2"/>
  <c r="J12" i="2" s="1"/>
  <c r="E41" i="2"/>
  <c r="J8" i="2" s="1"/>
  <c r="E128" i="2"/>
  <c r="J21" i="2" s="1"/>
  <c r="J7" i="2"/>
  <c r="E134" i="2"/>
  <c r="J22" i="2" s="1"/>
  <c r="E21" i="2"/>
  <c r="J5" i="2" s="1"/>
  <c r="E89" i="2"/>
  <c r="J15" i="2" s="1"/>
  <c r="F2" i="2"/>
  <c r="L2" i="2" s="1"/>
  <c r="F114" i="2"/>
  <c r="L19" i="2" s="1"/>
  <c r="E114" i="2"/>
  <c r="J19" i="2" s="1"/>
  <c r="E95" i="2"/>
  <c r="J16" i="2" s="1"/>
  <c r="F76" i="2"/>
  <c r="L13" i="2" s="1"/>
  <c r="E76" i="2"/>
  <c r="J13" i="2" s="1"/>
  <c r="F48" i="2"/>
  <c r="L9" i="2" s="1"/>
  <c r="E48" i="2"/>
  <c r="J9" i="2" s="1"/>
  <c r="F95" i="2"/>
  <c r="L16" i="2" s="1"/>
  <c r="F8" i="2"/>
  <c r="L3" i="2" s="1"/>
  <c r="F147" i="2"/>
  <c r="L24" i="2" s="1"/>
  <c r="F109" i="2"/>
  <c r="L18" i="2" s="1"/>
  <c r="F62" i="2"/>
  <c r="L11" i="2" s="1"/>
  <c r="F34" i="2"/>
  <c r="L7" i="2" s="1"/>
  <c r="F89" i="2"/>
  <c r="L15" i="2" s="1"/>
  <c r="F14" i="2"/>
  <c r="L4" i="2" s="1"/>
  <c r="F69" i="2"/>
  <c r="L12" i="2" s="1"/>
  <c r="F41" i="2"/>
  <c r="L8" i="2" s="1"/>
  <c r="F128" i="2"/>
  <c r="L21" i="2" s="1"/>
  <c r="F134" i="2"/>
  <c r="L22" i="2" s="1"/>
  <c r="F21" i="2"/>
  <c r="L5" i="2" s="1"/>
</calcChain>
</file>

<file path=xl/sharedStrings.xml><?xml version="1.0" encoding="utf-8"?>
<sst xmlns="http://schemas.openxmlformats.org/spreadsheetml/2006/main" count="523" uniqueCount="68">
  <si>
    <t>Filename</t>
  </si>
  <si>
    <t>A_M1_MOD#2.mat</t>
  </si>
  <si>
    <t>---</t>
  </si>
  <si>
    <t>A_M1_MOD.mat</t>
  </si>
  <si>
    <t>---</t>
  </si>
  <si>
    <t>A_M1_MOD_56#2.mat</t>
  </si>
  <si>
    <t>---</t>
  </si>
  <si>
    <t>A_M1_MOD_56.mat</t>
  </si>
  <si>
    <t>---</t>
  </si>
  <si>
    <t>A_M2_MOD#2.mat</t>
  </si>
  <si>
    <t>---</t>
  </si>
  <si>
    <t>A_M2_MOD.mat</t>
  </si>
  <si>
    <t>---</t>
  </si>
  <si>
    <t>A_M2_MOD_56#2.mat</t>
  </si>
  <si>
    <t>---</t>
  </si>
  <si>
    <t>A_M2_MOD_56.mat</t>
  </si>
  <si>
    <t>---</t>
  </si>
  <si>
    <t>A_M3_MOD#2.mat</t>
  </si>
  <si>
    <t>---</t>
  </si>
  <si>
    <t>A_M3_MOD.mat</t>
  </si>
  <si>
    <t>---</t>
  </si>
  <si>
    <t>A_M3_MOD_56#2.mat</t>
  </si>
  <si>
    <t>---</t>
  </si>
  <si>
    <t>A_M3_MOD_56.mat</t>
  </si>
  <si>
    <t>---</t>
  </si>
  <si>
    <t>A_M4_MOD#2.mat</t>
  </si>
  <si>
    <t>---</t>
  </si>
  <si>
    <t>A_M4_MOD.mat</t>
  </si>
  <si>
    <t>---</t>
  </si>
  <si>
    <t>A_M4_MOD_56#2.mat</t>
  </si>
  <si>
    <t>---</t>
  </si>
  <si>
    <t>A_M4_MOD_56.mat</t>
  </si>
  <si>
    <t>---</t>
  </si>
  <si>
    <t>A_M5_EST#2.mat</t>
  </si>
  <si>
    <t>---</t>
  </si>
  <si>
    <t>A_M5_EST.mat</t>
  </si>
  <si>
    <t>---</t>
  </si>
  <si>
    <t>A_M5_EST_2.mat</t>
  </si>
  <si>
    <t>---</t>
  </si>
  <si>
    <t>A_M6_EST.mat</t>
  </si>
  <si>
    <t>---</t>
  </si>
  <si>
    <t>A_M6_MOD_2.mat</t>
  </si>
  <si>
    <t>---</t>
  </si>
  <si>
    <t>A_M7_EST.mat</t>
  </si>
  <si>
    <t>---</t>
  </si>
  <si>
    <t>A_M8_EST.mat</t>
  </si>
  <si>
    <t>---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</si>
  <si>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</si>
  <si>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</si>
  <si>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</si>
  <si>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</si>
  <si>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</si>
  <si>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</si>
  <si>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</si>
  <si>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</si>
  <si>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</si>
  <si>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F1</t>
  </si>
  <si>
    <t>Humedad (%)</t>
  </si>
  <si>
    <t>F1 (prom)</t>
  </si>
  <si>
    <t>F1 (desvest)</t>
  </si>
  <si>
    <t>W</t>
  </si>
  <si>
    <t>Desvest</t>
  </si>
  <si>
    <t>name</t>
  </si>
  <si>
    <t>F2</t>
  </si>
  <si>
    <t>F2 (prom)</t>
  </si>
  <si>
    <t>F2 (desvest)</t>
  </si>
  <si>
    <t>Wopt</t>
  </si>
  <si>
    <t>W/Wopt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</si>
</sst>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1" fillId="0" borderId="0" xfId="0" applyFont="1"/>
    <xf numFmtId="10" fontId="0" fillId="3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'F1'!$L$2:$L$24</c:f>
                <c:numCache>
                  <c:formatCode>General</c:formatCode>
                  <c:ptCount val="23"/>
                  <c:pt idx="0">
                    <c:v>0.25742783914789918</c:v>
                  </c:pt>
                  <c:pt idx="1">
                    <c:v>0.41323107303667633</c:v>
                  </c:pt>
                  <c:pt idx="2">
                    <c:v>0.29558814862213123</c:v>
                  </c:pt>
                  <c:pt idx="3">
                    <c:v>0.17031999081679813</c:v>
                  </c:pt>
                  <c:pt idx="4">
                    <c:v>8.1773224294963379E-2</c:v>
                  </c:pt>
                  <c:pt idx="5">
                    <c:v>0.21977595661956928</c:v>
                  </c:pt>
                  <c:pt idx="6">
                    <c:v>0.12251402172401202</c:v>
                  </c:pt>
                  <c:pt idx="7">
                    <c:v>8.0775749635162472E-2</c:v>
                  </c:pt>
                  <c:pt idx="8">
                    <c:v>0.32395303182205298</c:v>
                  </c:pt>
                  <c:pt idx="9">
                    <c:v>0.15391805245325235</c:v>
                  </c:pt>
                  <c:pt idx="10">
                    <c:v>0.23954548627158423</c:v>
                  </c:pt>
                  <c:pt idx="11">
                    <c:v>0.62366275295711449</c:v>
                  </c:pt>
                  <c:pt idx="12">
                    <c:v>0.36898479943161372</c:v>
                  </c:pt>
                  <c:pt idx="13">
                    <c:v>0.39414356024794867</c:v>
                  </c:pt>
                  <c:pt idx="14">
                    <c:v>1.009848779930955</c:v>
                  </c:pt>
                  <c:pt idx="15">
                    <c:v>0.19534583849540088</c:v>
                  </c:pt>
                  <c:pt idx="16">
                    <c:v>0.20488644524131774</c:v>
                  </c:pt>
                  <c:pt idx="17">
                    <c:v>0.2285079749496905</c:v>
                  </c:pt>
                  <c:pt idx="18">
                    <c:v>0.3098799313875289</c:v>
                  </c:pt>
                  <c:pt idx="19">
                    <c:v>0.14013911131018722</c:v>
                  </c:pt>
                  <c:pt idx="20">
                    <c:v>0.34398318651988935</c:v>
                  </c:pt>
                  <c:pt idx="21">
                    <c:v>0.17831931846228954</c:v>
                  </c:pt>
                  <c:pt idx="22">
                    <c:v>0.27220946554560765</c:v>
                  </c:pt>
                </c:numCache>
              </c:numRef>
            </c:plus>
            <c:minus>
              <c:numRef>
                <c:f>'F1'!$L$2:$L$24</c:f>
                <c:numCache>
                  <c:formatCode>General</c:formatCode>
                  <c:ptCount val="23"/>
                  <c:pt idx="0">
                    <c:v>0.25742783914789918</c:v>
                  </c:pt>
                  <c:pt idx="1">
                    <c:v>0.41323107303667633</c:v>
                  </c:pt>
                  <c:pt idx="2">
                    <c:v>0.29558814862213123</c:v>
                  </c:pt>
                  <c:pt idx="3">
                    <c:v>0.17031999081679813</c:v>
                  </c:pt>
                  <c:pt idx="4">
                    <c:v>8.1773224294963379E-2</c:v>
                  </c:pt>
                  <c:pt idx="5">
                    <c:v>0.21977595661956928</c:v>
                  </c:pt>
                  <c:pt idx="6">
                    <c:v>0.12251402172401202</c:v>
                  </c:pt>
                  <c:pt idx="7">
                    <c:v>8.0775749635162472E-2</c:v>
                  </c:pt>
                  <c:pt idx="8">
                    <c:v>0.32395303182205298</c:v>
                  </c:pt>
                  <c:pt idx="9">
                    <c:v>0.15391805245325235</c:v>
                  </c:pt>
                  <c:pt idx="10">
                    <c:v>0.23954548627158423</c:v>
                  </c:pt>
                  <c:pt idx="11">
                    <c:v>0.62366275295711449</c:v>
                  </c:pt>
                  <c:pt idx="12">
                    <c:v>0.36898479943161372</c:v>
                  </c:pt>
                  <c:pt idx="13">
                    <c:v>0.39414356024794867</c:v>
                  </c:pt>
                  <c:pt idx="14">
                    <c:v>1.009848779930955</c:v>
                  </c:pt>
                  <c:pt idx="15">
                    <c:v>0.19534583849540088</c:v>
                  </c:pt>
                  <c:pt idx="16">
                    <c:v>0.20488644524131774</c:v>
                  </c:pt>
                  <c:pt idx="17">
                    <c:v>0.2285079749496905</c:v>
                  </c:pt>
                  <c:pt idx="18">
                    <c:v>0.3098799313875289</c:v>
                  </c:pt>
                  <c:pt idx="19">
                    <c:v>0.14013911131018722</c:v>
                  </c:pt>
                  <c:pt idx="20">
                    <c:v>0.34398318651988935</c:v>
                  </c:pt>
                  <c:pt idx="21">
                    <c:v>0.17831931846228954</c:v>
                  </c:pt>
                  <c:pt idx="22">
                    <c:v>0.27220946554560765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'F1'!$K$2:$K$24</c:f>
              <c:numCache>
                <c:formatCode>0.00%</c:formatCode>
                <c:ptCount val="23"/>
                <c:pt idx="0">
                  <c:v>5.7142857142856933E-2</c:v>
                </c:pt>
                <c:pt idx="1">
                  <c:v>5.7142857142856933E-2</c:v>
                </c:pt>
                <c:pt idx="2">
                  <c:v>4.5409015025041716E-2</c:v>
                </c:pt>
                <c:pt idx="3">
                  <c:v>4.5409015025041716E-2</c:v>
                </c:pt>
                <c:pt idx="4">
                  <c:v>6.9455103607060725E-2</c:v>
                </c:pt>
                <c:pt idx="5">
                  <c:v>6.9455103607060725E-2</c:v>
                </c:pt>
                <c:pt idx="6">
                  <c:v>7.8056951423785534E-2</c:v>
                </c:pt>
                <c:pt idx="7">
                  <c:v>7.8056951423785534E-2</c:v>
                </c:pt>
                <c:pt idx="8">
                  <c:v>9.3951093951094009E-2</c:v>
                </c:pt>
                <c:pt idx="9">
                  <c:v>9.3951093951094009E-2</c:v>
                </c:pt>
                <c:pt idx="10">
                  <c:v>9.9105071262843708E-2</c:v>
                </c:pt>
                <c:pt idx="11">
                  <c:v>9.9105071262843708E-2</c:v>
                </c:pt>
                <c:pt idx="12">
                  <c:v>0.10994263862332682</c:v>
                </c:pt>
                <c:pt idx="13">
                  <c:v>0.10994263862332682</c:v>
                </c:pt>
                <c:pt idx="14">
                  <c:v>0.11525518788558609</c:v>
                </c:pt>
                <c:pt idx="15">
                  <c:v>0.11525518788558609</c:v>
                </c:pt>
                <c:pt idx="16">
                  <c:v>7.6316350458324425E-2</c:v>
                </c:pt>
                <c:pt idx="17">
                  <c:v>7.6316350458324425E-2</c:v>
                </c:pt>
                <c:pt idx="18">
                  <c:v>0.14385679414157856</c:v>
                </c:pt>
                <c:pt idx="19">
                  <c:v>9.6030729833546741E-2</c:v>
                </c:pt>
                <c:pt idx="20">
                  <c:v>0.13374411018484977</c:v>
                </c:pt>
                <c:pt idx="21">
                  <c:v>0.11954206602768888</c:v>
                </c:pt>
                <c:pt idx="22">
                  <c:v>0.13162271323354713</c:v>
                </c:pt>
              </c:numCache>
            </c:numRef>
          </c:xVal>
          <c:yVal>
            <c:numRef>
              <c:f>'F1'!$J$2:$J$24</c:f>
              <c:numCache>
                <c:formatCode>General</c:formatCode>
                <c:ptCount val="23"/>
                <c:pt idx="0">
                  <c:v>2.1523322493313732</c:v>
                </c:pt>
                <c:pt idx="1">
                  <c:v>2.7359689601926278</c:v>
                </c:pt>
                <c:pt idx="2">
                  <c:v>1.9600199471705746</c:v>
                </c:pt>
                <c:pt idx="3">
                  <c:v>2.04169089639701</c:v>
                </c:pt>
                <c:pt idx="4">
                  <c:v>2.1072494854759722</c:v>
                </c:pt>
                <c:pt idx="5">
                  <c:v>2.624788961279259</c:v>
                </c:pt>
                <c:pt idx="6">
                  <c:v>2.0501352369676615</c:v>
                </c:pt>
                <c:pt idx="7">
                  <c:v>1.98166056362473</c:v>
                </c:pt>
                <c:pt idx="8">
                  <c:v>2.3787978562562846</c:v>
                </c:pt>
                <c:pt idx="9">
                  <c:v>2.1101041475104605</c:v>
                </c:pt>
                <c:pt idx="10">
                  <c:v>3.3410512935202923</c:v>
                </c:pt>
                <c:pt idx="11">
                  <c:v>2.6142284860714322</c:v>
                </c:pt>
                <c:pt idx="12">
                  <c:v>3.8861468513426241</c:v>
                </c:pt>
                <c:pt idx="13">
                  <c:v>2.7946597405858986</c:v>
                </c:pt>
                <c:pt idx="14">
                  <c:v>4.102372780547455</c:v>
                </c:pt>
                <c:pt idx="15">
                  <c:v>2.5145694984763485</c:v>
                </c:pt>
                <c:pt idx="16">
                  <c:v>2.8817287605327087</c:v>
                </c:pt>
                <c:pt idx="17">
                  <c:v>2.2503547032552462</c:v>
                </c:pt>
                <c:pt idx="18">
                  <c:v>2.8555746377458924</c:v>
                </c:pt>
                <c:pt idx="19">
                  <c:v>2.4880971669127279</c:v>
                </c:pt>
                <c:pt idx="20">
                  <c:v>2.7517605314138778</c:v>
                </c:pt>
                <c:pt idx="21">
                  <c:v>2.8686591440287219</c:v>
                </c:pt>
                <c:pt idx="22">
                  <c:v>2.7353389242681727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E-F448-A6FA-A1AEE5C9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16"/>
          <c:min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'F1'!$X$2:$X$15</c:f>
                <c:numCache>
                  <c:formatCode>General</c:formatCode>
                  <c:ptCount val="14"/>
                  <c:pt idx="0">
                    <c:v>0.25742783914789918</c:v>
                  </c:pt>
                  <c:pt idx="1">
                    <c:v>0.17031999081679813</c:v>
                  </c:pt>
                  <c:pt idx="2">
                    <c:v>8.1773224294963379E-2</c:v>
                  </c:pt>
                  <c:pt idx="3">
                    <c:v>8.0775749635162472E-2</c:v>
                  </c:pt>
                  <c:pt idx="4">
                    <c:v>0.15391805245325235</c:v>
                  </c:pt>
                  <c:pt idx="5">
                    <c:v>0.23954548627158423</c:v>
                  </c:pt>
                  <c:pt idx="6">
                    <c:v>0.36898479943161372</c:v>
                  </c:pt>
                  <c:pt idx="7">
                    <c:v>0.19534583849540088</c:v>
                  </c:pt>
                  <c:pt idx="8">
                    <c:v>0.2285079749496905</c:v>
                  </c:pt>
                  <c:pt idx="9">
                    <c:v>0.3098799313875289</c:v>
                  </c:pt>
                  <c:pt idx="10">
                    <c:v>0.14013911131018722</c:v>
                  </c:pt>
                  <c:pt idx="11">
                    <c:v>0.34398318651988935</c:v>
                  </c:pt>
                  <c:pt idx="12">
                    <c:v>0.17831931846228954</c:v>
                  </c:pt>
                  <c:pt idx="13">
                    <c:v>0.27220946554560765</c:v>
                  </c:pt>
                </c:numCache>
              </c:numRef>
            </c:plus>
            <c:minus>
              <c:numRef>
                <c:f>'F1'!$X$2:$X$15</c:f>
                <c:numCache>
                  <c:formatCode>General</c:formatCode>
                  <c:ptCount val="14"/>
                  <c:pt idx="0">
                    <c:v>0.25742783914789918</c:v>
                  </c:pt>
                  <c:pt idx="1">
                    <c:v>0.17031999081679813</c:v>
                  </c:pt>
                  <c:pt idx="2">
                    <c:v>8.1773224294963379E-2</c:v>
                  </c:pt>
                  <c:pt idx="3">
                    <c:v>8.0775749635162472E-2</c:v>
                  </c:pt>
                  <c:pt idx="4">
                    <c:v>0.15391805245325235</c:v>
                  </c:pt>
                  <c:pt idx="5">
                    <c:v>0.23954548627158423</c:v>
                  </c:pt>
                  <c:pt idx="6">
                    <c:v>0.36898479943161372</c:v>
                  </c:pt>
                  <c:pt idx="7">
                    <c:v>0.19534583849540088</c:v>
                  </c:pt>
                  <c:pt idx="8">
                    <c:v>0.2285079749496905</c:v>
                  </c:pt>
                  <c:pt idx="9">
                    <c:v>0.3098799313875289</c:v>
                  </c:pt>
                  <c:pt idx="10">
                    <c:v>0.14013911131018722</c:v>
                  </c:pt>
                  <c:pt idx="11">
                    <c:v>0.34398318651988935</c:v>
                  </c:pt>
                  <c:pt idx="12">
                    <c:v>0.17831931846228954</c:v>
                  </c:pt>
                  <c:pt idx="13">
                    <c:v>0.27220946554560765</c:v>
                  </c:pt>
                </c:numCache>
              </c:numRef>
            </c:minus>
            <c:spPr>
              <a:ln w="6350"/>
            </c:spPr>
          </c:errBars>
          <c:xVal>
            <c:numRef>
              <c:f>'F1'!$U$2:$U$15</c:f>
              <c:numCache>
                <c:formatCode>0.00%</c:formatCode>
                <c:ptCount val="14"/>
                <c:pt idx="0">
                  <c:v>5.7142857142856933E-2</c:v>
                </c:pt>
                <c:pt idx="1">
                  <c:v>4.5409015025041716E-2</c:v>
                </c:pt>
                <c:pt idx="2">
                  <c:v>6.9455103607060725E-2</c:v>
                </c:pt>
                <c:pt idx="3">
                  <c:v>7.8056951423785534E-2</c:v>
                </c:pt>
                <c:pt idx="4">
                  <c:v>9.3951093951094009E-2</c:v>
                </c:pt>
                <c:pt idx="5">
                  <c:v>9.9105071262843708E-2</c:v>
                </c:pt>
                <c:pt idx="6">
                  <c:v>0.10994263862332682</c:v>
                </c:pt>
                <c:pt idx="7">
                  <c:v>0.11525518788558609</c:v>
                </c:pt>
                <c:pt idx="8">
                  <c:v>7.6316350458324425E-2</c:v>
                </c:pt>
                <c:pt idx="9">
                  <c:v>0.14385679414157856</c:v>
                </c:pt>
                <c:pt idx="10">
                  <c:v>9.6030729833546741E-2</c:v>
                </c:pt>
                <c:pt idx="11">
                  <c:v>0.13374411018484977</c:v>
                </c:pt>
                <c:pt idx="12">
                  <c:v>0.11954206602768888</c:v>
                </c:pt>
                <c:pt idx="13">
                  <c:v>0.13162271323354713</c:v>
                </c:pt>
              </c:numCache>
            </c:numRef>
          </c:xVal>
          <c:yVal>
            <c:numRef>
              <c:f>'F1'!$T$2:$T$15</c:f>
              <c:numCache>
                <c:formatCode>General</c:formatCode>
                <c:ptCount val="14"/>
                <c:pt idx="0">
                  <c:v>2.1523322493313732</c:v>
                </c:pt>
                <c:pt idx="1">
                  <c:v>2.04169089639701</c:v>
                </c:pt>
                <c:pt idx="2">
                  <c:v>2.1072494854759722</c:v>
                </c:pt>
                <c:pt idx="3">
                  <c:v>1.98166056362473</c:v>
                </c:pt>
                <c:pt idx="4">
                  <c:v>2.1101041475104605</c:v>
                </c:pt>
                <c:pt idx="5">
                  <c:v>3.3410512935202923</c:v>
                </c:pt>
                <c:pt idx="6">
                  <c:v>3.8861468513426241</c:v>
                </c:pt>
                <c:pt idx="7">
                  <c:v>2.5145694984763485</c:v>
                </c:pt>
                <c:pt idx="8">
                  <c:v>2.2503547032552462</c:v>
                </c:pt>
                <c:pt idx="9">
                  <c:v>2.8555746377458924</c:v>
                </c:pt>
                <c:pt idx="10">
                  <c:v>2.4880971669127279</c:v>
                </c:pt>
                <c:pt idx="11">
                  <c:v>2.7517605314138778</c:v>
                </c:pt>
                <c:pt idx="12">
                  <c:v>2.8686591440287219</c:v>
                </c:pt>
                <c:pt idx="13">
                  <c:v>2.7353389242681727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8-564A-8013-D910269E1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16"/>
          <c:min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'F1'!$X$2:$X$15</c:f>
                <c:numCache>
                  <c:formatCode>General</c:formatCode>
                  <c:ptCount val="14"/>
                  <c:pt idx="0">
                    <c:v>0.25742783914789918</c:v>
                  </c:pt>
                  <c:pt idx="1">
                    <c:v>0.17031999081679813</c:v>
                  </c:pt>
                  <c:pt idx="2">
                    <c:v>8.1773224294963379E-2</c:v>
                  </c:pt>
                  <c:pt idx="3">
                    <c:v>8.0775749635162472E-2</c:v>
                  </c:pt>
                  <c:pt idx="4">
                    <c:v>0.15391805245325235</c:v>
                  </c:pt>
                  <c:pt idx="5">
                    <c:v>0.23954548627158423</c:v>
                  </c:pt>
                  <c:pt idx="6">
                    <c:v>0.36898479943161372</c:v>
                  </c:pt>
                  <c:pt idx="7">
                    <c:v>0.19534583849540088</c:v>
                  </c:pt>
                  <c:pt idx="8">
                    <c:v>0.2285079749496905</c:v>
                  </c:pt>
                  <c:pt idx="9">
                    <c:v>0.3098799313875289</c:v>
                  </c:pt>
                  <c:pt idx="10">
                    <c:v>0.14013911131018722</c:v>
                  </c:pt>
                  <c:pt idx="11">
                    <c:v>0.34398318651988935</c:v>
                  </c:pt>
                  <c:pt idx="12">
                    <c:v>0.17831931846228954</c:v>
                  </c:pt>
                  <c:pt idx="13">
                    <c:v>0.27220946554560765</c:v>
                  </c:pt>
                </c:numCache>
              </c:numRef>
            </c:plus>
            <c:minus>
              <c:numRef>
                <c:f>'F1'!$X$2:$X$15</c:f>
                <c:numCache>
                  <c:formatCode>General</c:formatCode>
                  <c:ptCount val="14"/>
                  <c:pt idx="0">
                    <c:v>0.25742783914789918</c:v>
                  </c:pt>
                  <c:pt idx="1">
                    <c:v>0.17031999081679813</c:v>
                  </c:pt>
                  <c:pt idx="2">
                    <c:v>8.1773224294963379E-2</c:v>
                  </c:pt>
                  <c:pt idx="3">
                    <c:v>8.0775749635162472E-2</c:v>
                  </c:pt>
                  <c:pt idx="4">
                    <c:v>0.15391805245325235</c:v>
                  </c:pt>
                  <c:pt idx="5">
                    <c:v>0.23954548627158423</c:v>
                  </c:pt>
                  <c:pt idx="6">
                    <c:v>0.36898479943161372</c:v>
                  </c:pt>
                  <c:pt idx="7">
                    <c:v>0.19534583849540088</c:v>
                  </c:pt>
                  <c:pt idx="8">
                    <c:v>0.2285079749496905</c:v>
                  </c:pt>
                  <c:pt idx="9">
                    <c:v>0.3098799313875289</c:v>
                  </c:pt>
                  <c:pt idx="10">
                    <c:v>0.14013911131018722</c:v>
                  </c:pt>
                  <c:pt idx="11">
                    <c:v>0.34398318651988935</c:v>
                  </c:pt>
                  <c:pt idx="12">
                    <c:v>0.17831931846228954</c:v>
                  </c:pt>
                  <c:pt idx="13">
                    <c:v>0.27220946554560765</c:v>
                  </c:pt>
                </c:numCache>
              </c:numRef>
            </c:minus>
            <c:spPr>
              <a:ln w="6350"/>
            </c:spPr>
          </c:errBars>
          <c:xVal>
            <c:numRef>
              <c:f>'F1'!$W$2:$W$15</c:f>
              <c:numCache>
                <c:formatCode>0.00%</c:formatCode>
                <c:ptCount val="14"/>
                <c:pt idx="0">
                  <c:v>0.60790273556230778</c:v>
                </c:pt>
                <c:pt idx="1">
                  <c:v>0.56408714316822006</c:v>
                </c:pt>
                <c:pt idx="2">
                  <c:v>0.73888408092617797</c:v>
                </c:pt>
                <c:pt idx="3">
                  <c:v>0.96965157048180783</c:v>
                </c:pt>
                <c:pt idx="4">
                  <c:v>0.99947972288397879</c:v>
                </c:pt>
                <c:pt idx="5">
                  <c:v>1.2311188976750771</c:v>
                </c:pt>
                <c:pt idx="6">
                  <c:v>1.16960253854603</c:v>
                </c:pt>
                <c:pt idx="7">
                  <c:v>1.4317414644172184</c:v>
                </c:pt>
                <c:pt idx="8">
                  <c:v>0.6813959862350395</c:v>
                </c:pt>
                <c:pt idx="9">
                  <c:v>1.2844356619783801</c:v>
                </c:pt>
                <c:pt idx="10">
                  <c:v>0.85741723065666731</c:v>
                </c:pt>
                <c:pt idx="11">
                  <c:v>1.4228096828175507</c:v>
                </c:pt>
                <c:pt idx="12">
                  <c:v>1.0673398752472221</c:v>
                </c:pt>
                <c:pt idx="13">
                  <c:v>1.1752027967280994</c:v>
                </c:pt>
              </c:numCache>
            </c:numRef>
          </c:xVal>
          <c:yVal>
            <c:numRef>
              <c:f>'F1'!$T$2:$T$15</c:f>
              <c:numCache>
                <c:formatCode>General</c:formatCode>
                <c:ptCount val="14"/>
                <c:pt idx="0">
                  <c:v>2.1523322493313732</c:v>
                </c:pt>
                <c:pt idx="1">
                  <c:v>2.04169089639701</c:v>
                </c:pt>
                <c:pt idx="2">
                  <c:v>2.1072494854759722</c:v>
                </c:pt>
                <c:pt idx="3">
                  <c:v>1.98166056362473</c:v>
                </c:pt>
                <c:pt idx="4">
                  <c:v>2.1101041475104605</c:v>
                </c:pt>
                <c:pt idx="5">
                  <c:v>3.3410512935202923</c:v>
                </c:pt>
                <c:pt idx="6">
                  <c:v>3.8861468513426241</c:v>
                </c:pt>
                <c:pt idx="7">
                  <c:v>2.5145694984763485</c:v>
                </c:pt>
                <c:pt idx="8">
                  <c:v>2.2503547032552462</c:v>
                </c:pt>
                <c:pt idx="9">
                  <c:v>2.8555746377458924</c:v>
                </c:pt>
                <c:pt idx="10">
                  <c:v>2.4880971669127279</c:v>
                </c:pt>
                <c:pt idx="11">
                  <c:v>2.7517605314138778</c:v>
                </c:pt>
                <c:pt idx="12">
                  <c:v>2.8686591440287219</c:v>
                </c:pt>
                <c:pt idx="13">
                  <c:v>2.7353389242681727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0-4544-AB98-D6037A872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'F2'!$L$2:$L$24</c:f>
                <c:numCache>
                  <c:formatCode>General</c:formatCode>
                  <c:ptCount val="23"/>
                  <c:pt idx="0">
                    <c:v>0.20015899383880603</c:v>
                  </c:pt>
                  <c:pt idx="1">
                    <c:v>0.28275093622163683</c:v>
                  </c:pt>
                  <c:pt idx="2">
                    <c:v>0.26486148656225655</c:v>
                  </c:pt>
                  <c:pt idx="3">
                    <c:v>0.3298327350233981</c:v>
                  </c:pt>
                  <c:pt idx="4">
                    <c:v>0.67338834509458878</c:v>
                  </c:pt>
                  <c:pt idx="5">
                    <c:v>0.33892641855758449</c:v>
                  </c:pt>
                  <c:pt idx="6">
                    <c:v>0.2941415015530035</c:v>
                  </c:pt>
                  <c:pt idx="7">
                    <c:v>0.45150935973930828</c:v>
                  </c:pt>
                  <c:pt idx="8">
                    <c:v>0.4888626807407363</c:v>
                  </c:pt>
                  <c:pt idx="9">
                    <c:v>0.32948664931101079</c:v>
                  </c:pt>
                  <c:pt idx="10">
                    <c:v>0.16671054343621111</c:v>
                  </c:pt>
                  <c:pt idx="11">
                    <c:v>0.18042581462320856</c:v>
                  </c:pt>
                  <c:pt idx="12">
                    <c:v>0.12053649089467761</c:v>
                  </c:pt>
                  <c:pt idx="13">
                    <c:v>0.16116658710158893</c:v>
                  </c:pt>
                  <c:pt idx="14">
                    <c:v>0.26250522092176837</c:v>
                  </c:pt>
                  <c:pt idx="15">
                    <c:v>0.47219303746923502</c:v>
                  </c:pt>
                  <c:pt idx="16">
                    <c:v>0.4250635725617567</c:v>
                  </c:pt>
                  <c:pt idx="17">
                    <c:v>0.24016543881092745</c:v>
                  </c:pt>
                  <c:pt idx="18">
                    <c:v>0.14773902209624343</c:v>
                  </c:pt>
                  <c:pt idx="19">
                    <c:v>0.1086922738978835</c:v>
                  </c:pt>
                  <c:pt idx="20">
                    <c:v>0.17394700949225483</c:v>
                  </c:pt>
                  <c:pt idx="21">
                    <c:v>0.16243660030246712</c:v>
                  </c:pt>
                  <c:pt idx="22">
                    <c:v>8.9303534782001107E-2</c:v>
                  </c:pt>
                </c:numCache>
              </c:numRef>
            </c:plus>
            <c:minus>
              <c:numRef>
                <c:f>'F2'!$L$2:$L$24</c:f>
                <c:numCache>
                  <c:formatCode>General</c:formatCode>
                  <c:ptCount val="23"/>
                  <c:pt idx="0">
                    <c:v>0.20015899383880603</c:v>
                  </c:pt>
                  <c:pt idx="1">
                    <c:v>0.28275093622163683</c:v>
                  </c:pt>
                  <c:pt idx="2">
                    <c:v>0.26486148656225655</c:v>
                  </c:pt>
                  <c:pt idx="3">
                    <c:v>0.3298327350233981</c:v>
                  </c:pt>
                  <c:pt idx="4">
                    <c:v>0.67338834509458878</c:v>
                  </c:pt>
                  <c:pt idx="5">
                    <c:v>0.33892641855758449</c:v>
                  </c:pt>
                  <c:pt idx="6">
                    <c:v>0.2941415015530035</c:v>
                  </c:pt>
                  <c:pt idx="7">
                    <c:v>0.45150935973930828</c:v>
                  </c:pt>
                  <c:pt idx="8">
                    <c:v>0.4888626807407363</c:v>
                  </c:pt>
                  <c:pt idx="9">
                    <c:v>0.32948664931101079</c:v>
                  </c:pt>
                  <c:pt idx="10">
                    <c:v>0.16671054343621111</c:v>
                  </c:pt>
                  <c:pt idx="11">
                    <c:v>0.18042581462320856</c:v>
                  </c:pt>
                  <c:pt idx="12">
                    <c:v>0.12053649089467761</c:v>
                  </c:pt>
                  <c:pt idx="13">
                    <c:v>0.16116658710158893</c:v>
                  </c:pt>
                  <c:pt idx="14">
                    <c:v>0.26250522092176837</c:v>
                  </c:pt>
                  <c:pt idx="15">
                    <c:v>0.47219303746923502</c:v>
                  </c:pt>
                  <c:pt idx="16">
                    <c:v>0.4250635725617567</c:v>
                  </c:pt>
                  <c:pt idx="17">
                    <c:v>0.24016543881092745</c:v>
                  </c:pt>
                  <c:pt idx="18">
                    <c:v>0.14773902209624343</c:v>
                  </c:pt>
                  <c:pt idx="19">
                    <c:v>0.1086922738978835</c:v>
                  </c:pt>
                  <c:pt idx="20">
                    <c:v>0.17394700949225483</c:v>
                  </c:pt>
                  <c:pt idx="21">
                    <c:v>0.16243660030246712</c:v>
                  </c:pt>
                  <c:pt idx="22">
                    <c:v>8.9303534782001107E-2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'F2'!$K$2:$K$24</c:f>
              <c:numCache>
                <c:formatCode>0.00%</c:formatCode>
                <c:ptCount val="23"/>
                <c:pt idx="0">
                  <c:v>5.7142857142856898E-2</c:v>
                </c:pt>
                <c:pt idx="1">
                  <c:v>5.7142857142856933E-2</c:v>
                </c:pt>
                <c:pt idx="2">
                  <c:v>4.5409015025041716E-2</c:v>
                </c:pt>
                <c:pt idx="3">
                  <c:v>4.5409015025041716E-2</c:v>
                </c:pt>
                <c:pt idx="4">
                  <c:v>6.9455103607060725E-2</c:v>
                </c:pt>
                <c:pt idx="5">
                  <c:v>6.9455103607060725E-2</c:v>
                </c:pt>
                <c:pt idx="6">
                  <c:v>7.8056951423785534E-2</c:v>
                </c:pt>
                <c:pt idx="7">
                  <c:v>7.8056951423785534E-2</c:v>
                </c:pt>
                <c:pt idx="8">
                  <c:v>9.3951093951094009E-2</c:v>
                </c:pt>
                <c:pt idx="9">
                  <c:v>9.3951093951094009E-2</c:v>
                </c:pt>
                <c:pt idx="10">
                  <c:v>9.9105071262843708E-2</c:v>
                </c:pt>
                <c:pt idx="11">
                  <c:v>9.9105071262843708E-2</c:v>
                </c:pt>
                <c:pt idx="12">
                  <c:v>0.10994263862332682</c:v>
                </c:pt>
                <c:pt idx="13">
                  <c:v>0.10994263862332682</c:v>
                </c:pt>
                <c:pt idx="14">
                  <c:v>0.11525518788558609</c:v>
                </c:pt>
                <c:pt idx="15">
                  <c:v>0.11525518788558609</c:v>
                </c:pt>
                <c:pt idx="16">
                  <c:v>7.6316350458324425E-2</c:v>
                </c:pt>
                <c:pt idx="17">
                  <c:v>7.6316350458324425E-2</c:v>
                </c:pt>
                <c:pt idx="18">
                  <c:v>0.14385679414157856</c:v>
                </c:pt>
                <c:pt idx="19">
                  <c:v>9.6030729833546741E-2</c:v>
                </c:pt>
                <c:pt idx="20">
                  <c:v>0.13374411018484977</c:v>
                </c:pt>
                <c:pt idx="21">
                  <c:v>0.11954206602768888</c:v>
                </c:pt>
                <c:pt idx="22">
                  <c:v>0.13162271323354713</c:v>
                </c:pt>
              </c:numCache>
            </c:numRef>
          </c:xVal>
          <c:yVal>
            <c:numRef>
              <c:f>'F2'!$J$2:$J$24</c:f>
              <c:numCache>
                <c:formatCode>General</c:formatCode>
                <c:ptCount val="23"/>
                <c:pt idx="0">
                  <c:v>2.8144097759507858</c:v>
                </c:pt>
                <c:pt idx="1">
                  <c:v>2.032834410415389</c:v>
                </c:pt>
                <c:pt idx="2">
                  <c:v>2.1230210785895873</c:v>
                </c:pt>
                <c:pt idx="3">
                  <c:v>1.8199610096381189</c:v>
                </c:pt>
                <c:pt idx="4">
                  <c:v>2.3516755418167286</c:v>
                </c:pt>
                <c:pt idx="5">
                  <c:v>1.6068215625259696</c:v>
                </c:pt>
                <c:pt idx="6">
                  <c:v>2.2735320079695116</c:v>
                </c:pt>
                <c:pt idx="7">
                  <c:v>1.7466432099005986</c:v>
                </c:pt>
                <c:pt idx="8">
                  <c:v>1.883075833161892</c:v>
                </c:pt>
                <c:pt idx="9">
                  <c:v>1.9906938987210741</c:v>
                </c:pt>
                <c:pt idx="10">
                  <c:v>1.2642429550260805</c:v>
                </c:pt>
                <c:pt idx="11">
                  <c:v>1.5869417759321982</c:v>
                </c:pt>
                <c:pt idx="12">
                  <c:v>1.0394312107383874</c:v>
                </c:pt>
                <c:pt idx="13">
                  <c:v>1.1640432880842693</c:v>
                </c:pt>
                <c:pt idx="14">
                  <c:v>1.3572212289150063</c:v>
                </c:pt>
                <c:pt idx="15">
                  <c:v>1.830415666082146</c:v>
                </c:pt>
                <c:pt idx="16">
                  <c:v>1.7705610156442466</c:v>
                </c:pt>
                <c:pt idx="17">
                  <c:v>2.2808630130936987</c:v>
                </c:pt>
                <c:pt idx="18">
                  <c:v>1.3233289920511666</c:v>
                </c:pt>
                <c:pt idx="19">
                  <c:v>1.6686280054187854</c:v>
                </c:pt>
                <c:pt idx="20">
                  <c:v>1.3670090304293736</c:v>
                </c:pt>
                <c:pt idx="21">
                  <c:v>1.3036016315793881</c:v>
                </c:pt>
                <c:pt idx="22">
                  <c:v>1.4534093818238283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8-1547-90DA-38A308D22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16"/>
          <c:min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'F2'!$V$2:$V$15</c:f>
                <c:numCache>
                  <c:formatCode>General</c:formatCode>
                  <c:ptCount val="14"/>
                  <c:pt idx="0">
                    <c:v>0.20015899383880603</c:v>
                  </c:pt>
                  <c:pt idx="1">
                    <c:v>0.26486148656225655</c:v>
                  </c:pt>
                  <c:pt idx="2">
                    <c:v>0.33892641855758449</c:v>
                  </c:pt>
                  <c:pt idx="3">
                    <c:v>0.2941415015530035</c:v>
                  </c:pt>
                  <c:pt idx="4">
                    <c:v>0.32948664931101079</c:v>
                  </c:pt>
                  <c:pt idx="5">
                    <c:v>0.16671054343621111</c:v>
                  </c:pt>
                  <c:pt idx="6">
                    <c:v>0.12053649089467761</c:v>
                  </c:pt>
                  <c:pt idx="7">
                    <c:v>0.26250522092176837</c:v>
                  </c:pt>
                  <c:pt idx="8">
                    <c:v>0.24016543881092745</c:v>
                  </c:pt>
                  <c:pt idx="9">
                    <c:v>0.14773902209624343</c:v>
                  </c:pt>
                  <c:pt idx="10">
                    <c:v>0.1086922738978835</c:v>
                  </c:pt>
                  <c:pt idx="11">
                    <c:v>0.17394700949225483</c:v>
                  </c:pt>
                  <c:pt idx="12">
                    <c:v>0.16243660030246712</c:v>
                  </c:pt>
                  <c:pt idx="13">
                    <c:v>8.9303534782001107E-2</c:v>
                  </c:pt>
                </c:numCache>
              </c:numRef>
            </c:plus>
            <c:minus>
              <c:numRef>
                <c:f>'F2'!$V$2:$V$15</c:f>
                <c:numCache>
                  <c:formatCode>General</c:formatCode>
                  <c:ptCount val="14"/>
                  <c:pt idx="0">
                    <c:v>0.20015899383880603</c:v>
                  </c:pt>
                  <c:pt idx="1">
                    <c:v>0.26486148656225655</c:v>
                  </c:pt>
                  <c:pt idx="2">
                    <c:v>0.33892641855758449</c:v>
                  </c:pt>
                  <c:pt idx="3">
                    <c:v>0.2941415015530035</c:v>
                  </c:pt>
                  <c:pt idx="4">
                    <c:v>0.32948664931101079</c:v>
                  </c:pt>
                  <c:pt idx="5">
                    <c:v>0.16671054343621111</c:v>
                  </c:pt>
                  <c:pt idx="6">
                    <c:v>0.12053649089467761</c:v>
                  </c:pt>
                  <c:pt idx="7">
                    <c:v>0.26250522092176837</c:v>
                  </c:pt>
                  <c:pt idx="8">
                    <c:v>0.24016543881092745</c:v>
                  </c:pt>
                  <c:pt idx="9">
                    <c:v>0.14773902209624343</c:v>
                  </c:pt>
                  <c:pt idx="10">
                    <c:v>0.1086922738978835</c:v>
                  </c:pt>
                  <c:pt idx="11">
                    <c:v>0.17394700949225483</c:v>
                  </c:pt>
                  <c:pt idx="12">
                    <c:v>0.16243660030246712</c:v>
                  </c:pt>
                  <c:pt idx="13">
                    <c:v>8.9303534782001107E-2</c:v>
                  </c:pt>
                </c:numCache>
              </c:numRef>
            </c:minus>
            <c:spPr>
              <a:ln w="6350"/>
            </c:spPr>
          </c:errBars>
          <c:xVal>
            <c:numRef>
              <c:f>'F2'!$U$2:$U$15</c:f>
              <c:numCache>
                <c:formatCode>0.00%</c:formatCode>
                <c:ptCount val="14"/>
                <c:pt idx="0">
                  <c:v>5.7142857142856898E-2</c:v>
                </c:pt>
                <c:pt idx="1">
                  <c:v>4.5409015025041716E-2</c:v>
                </c:pt>
                <c:pt idx="2">
                  <c:v>6.9455103607060725E-2</c:v>
                </c:pt>
                <c:pt idx="3">
                  <c:v>7.8056951423785534E-2</c:v>
                </c:pt>
                <c:pt idx="4">
                  <c:v>9.3951093951094009E-2</c:v>
                </c:pt>
                <c:pt idx="5">
                  <c:v>9.9105071262843708E-2</c:v>
                </c:pt>
                <c:pt idx="6">
                  <c:v>0.10994263862332682</c:v>
                </c:pt>
                <c:pt idx="7">
                  <c:v>0.11525518788558609</c:v>
                </c:pt>
                <c:pt idx="8">
                  <c:v>7.6316350458324425E-2</c:v>
                </c:pt>
                <c:pt idx="9">
                  <c:v>0.14385679414157856</c:v>
                </c:pt>
                <c:pt idx="10">
                  <c:v>9.6030729833546741E-2</c:v>
                </c:pt>
                <c:pt idx="11">
                  <c:v>0.13374411018484977</c:v>
                </c:pt>
                <c:pt idx="12">
                  <c:v>0.11954206602768888</c:v>
                </c:pt>
                <c:pt idx="13">
                  <c:v>0.13162271323354713</c:v>
                </c:pt>
              </c:numCache>
            </c:numRef>
          </c:xVal>
          <c:yVal>
            <c:numRef>
              <c:f>'F2'!$T$2:$T$15</c:f>
              <c:numCache>
                <c:formatCode>General</c:formatCode>
                <c:ptCount val="14"/>
                <c:pt idx="0">
                  <c:v>2.8144097759507858</c:v>
                </c:pt>
                <c:pt idx="1">
                  <c:v>2.1230210785895873</c:v>
                </c:pt>
                <c:pt idx="2">
                  <c:v>1.6068215625259696</c:v>
                </c:pt>
                <c:pt idx="3">
                  <c:v>2.2735320079695116</c:v>
                </c:pt>
                <c:pt idx="4">
                  <c:v>1.9906938987210741</c:v>
                </c:pt>
                <c:pt idx="5">
                  <c:v>1.2642429550260805</c:v>
                </c:pt>
                <c:pt idx="6">
                  <c:v>1.0394312107383874</c:v>
                </c:pt>
                <c:pt idx="7">
                  <c:v>1.3572212289150063</c:v>
                </c:pt>
                <c:pt idx="8">
                  <c:v>2.2808630130936987</c:v>
                </c:pt>
                <c:pt idx="9">
                  <c:v>1.3233289920511666</c:v>
                </c:pt>
                <c:pt idx="10">
                  <c:v>1.6686280054187854</c:v>
                </c:pt>
                <c:pt idx="11">
                  <c:v>1.3670090304293736</c:v>
                </c:pt>
                <c:pt idx="12">
                  <c:v>1.3036016315793881</c:v>
                </c:pt>
                <c:pt idx="13">
                  <c:v>1.4534093818238283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C-7548-AEEF-1B25430BF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16"/>
          <c:min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812800</xdr:colOff>
      <xdr:row>3</xdr:row>
      <xdr:rowOff>0</xdr:rowOff>
    </xdr:from>
    <xdr:to>
      <xdr:col>16</xdr:col>
      <xdr:colOff>746445</xdr:colOff>
      <xdr:row>14</xdr:row>
      <xdr:rowOff>108090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823EC2-7EB0-164B-9EB3-993D6ED22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497840</xdr:colOff>
      <xdr:row>1</xdr:row>
      <xdr:rowOff>172720</xdr:rowOff>
    </xdr:from>
    <xdr:to>
      <xdr:col>28</xdr:col>
      <xdr:colOff>431485</xdr:colOff>
      <xdr:row>13</xdr:row>
      <xdr:rowOff>87770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1D4A5B-C334-1D46-B806-75D2ED77E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435224</xdr:colOff>
      <xdr:row>16</xdr:row>
      <xdr:rowOff>49945</xdr:rowOff>
    </xdr:from>
    <xdr:to>
      <xdr:col>20</xdr:col>
      <xdr:colOff>470641</xdr:colOff>
      <xdr:row>27</xdr:row>
      <xdr:rowOff>158035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6EC49-D57E-CD46-8701-157591816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45720</xdr:colOff>
      <xdr:row>10</xdr:row>
      <xdr:rowOff>118756</xdr:rowOff>
    </xdr:from>
    <xdr:to>
      <xdr:col>28</xdr:col>
      <xdr:colOff>167399</xdr:colOff>
      <xdr:row>13</xdr:row>
      <xdr:rowOff>99554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6EE4E8B3-AB9D-9A1E-8869-8E82D42C0E8F}"/>
                </a:ext>
              </a:extLst>
            </xdr14:cNvPr>
            <xdr14:cNvContentPartPr/>
          </xdr14:nvContentPartPr>
          <xdr14:nvPr macro=""/>
          <xdr14:xfrm>
            <a:off x="23733360" y="2045160"/>
            <a:ext cx="949320" cy="55872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6EE4E8B3-AB9D-9A1E-8869-8E82D42C0E8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724720" y="2036514"/>
              <a:ext cx="966960" cy="57637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46421</xdr:colOff>
      <xdr:row>2</xdr:row>
      <xdr:rowOff>10948</xdr:rowOff>
    </xdr:from>
    <xdr:to>
      <xdr:col>16</xdr:col>
      <xdr:colOff>801187</xdr:colOff>
      <xdr:row>13</xdr:row>
      <xdr:rowOff>119038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EBC203-FE5F-2C44-B164-1D6CBC06C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38012</xdr:colOff>
      <xdr:row>2</xdr:row>
      <xdr:rowOff>19445</xdr:rowOff>
    </xdr:from>
    <xdr:to>
      <xdr:col>26</xdr:col>
      <xdr:colOff>792778</xdr:colOff>
      <xdr:row>13</xdr:row>
      <xdr:rowOff>120615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7C310D-61D1-CD41-AD93-E19FB2F4F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4T23:07:44.0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7 24575,'-3'-6'0,"2"24"0,-1 41 0,2-9 0,0 7 0,0 16 0,0 5 0,0 6 0,0 2 0,0 0 0,0-1 0,0-8 0,0-3 0,0-10 0,0-4 0,0 31 0,0-31 0,0-21 0,0-19 0,0-13 0,0-9 0,0-6 0</inkml:trace>
  <inkml:trace contextRef="#ctx0" brushRef="#br0" timeOffset="864">1 781 24575,'50'-3'0,"24"1"0,19 2 0,-23-1 0,7 1 0,4 1 0,4-1-1145,1 0 1,4 0-1,3 0 1,1 0-1,0 0 1145,5 0 0,1 0 0,1 0 0,-2 0 0,-1 0 0,-11 0 0,0 0 0,-2 0 0,-2 0 0,-2 0 286,4 0 0,-2 0 1,-4 0-1,-6 0-286,30 0 0,-12 0 519,-30 2 0,-8 0-519,11 5 0,-40 1 0,-14 0 3016,-7-3-3016,-9-2 0,3-1 0,-3-2 0</inkml:trace>
  <inkml:trace contextRef="#ctx0" brushRef="#br0" timeOffset="1851">2287 505 24575,'11'0'0,"7"0"0,17 0 0,12 1 0,5 4 0,0 5 0,-11 6 0,-10 2 0,-9-3 0,-9-4 0,-7-2 0,-3-1 0,-2 0 0,-1-2 0,0-1 0,0 0 0,-3 1 0,-4 2 0,-8 7 0,-17 10 0,-17 17 0,12-9 0,-5 4 0,-14 15 0,-3 5 0,11-8 0,-1 2 0,0 1 0,-2 3 0,-1 0 0,2 0 0,-18 22 0,4-5 0,15-15 0,6-7 0,-5 7 0,26-33 0,16-31 0,5 2 0,1-11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zoomScale="75" workbookViewId="0">
      <selection activeCell="A149" sqref="A149"/>
    </sheetView>
  </sheetViews>
  <sheetFormatPr baseColWidth="10" defaultColWidth="8.83203125" defaultRowHeight="15" x14ac:dyDescent="0.2"/>
  <cols>
    <col min="1" max="1" width="20.5" customWidth="1"/>
    <col min="2" max="2" width="6.5" customWidth="1"/>
    <col min="3" max="3" width="11.6640625" customWidth="1"/>
    <col min="4" max="4" width="14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</cols>
  <sheetData>
    <row r="1" spans="1:10" x14ac:dyDescent="0.2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">
      <c r="A2" s="1" t="s">
        <v>1</v>
      </c>
      <c r="B2">
        <v>1</v>
      </c>
      <c r="C2">
        <v>12.039348301296901</v>
      </c>
      <c r="D2">
        <v>1.9093960880999999E-2</v>
      </c>
      <c r="E2">
        <v>12.040676452237348</v>
      </c>
      <c r="F2">
        <v>7.5140307059999994E-3</v>
      </c>
      <c r="G2">
        <v>12.041301464444619</v>
      </c>
      <c r="H2">
        <v>2.9302702030000001E-3</v>
      </c>
      <c r="I2">
        <v>1.3281509404468039E-3</v>
      </c>
      <c r="J2">
        <v>6.2501220727106954E-4</v>
      </c>
    </row>
    <row r="3" spans="1:10" x14ac:dyDescent="0.2">
      <c r="A3" s="1" t="s">
        <v>1</v>
      </c>
      <c r="B3">
        <v>2</v>
      </c>
      <c r="C3">
        <v>20.75868614294615</v>
      </c>
      <c r="D3">
        <v>2.1647953386E-2</v>
      </c>
      <c r="E3">
        <v>20.759916635729212</v>
      </c>
      <c r="F3">
        <v>9.6890436779999995E-3</v>
      </c>
      <c r="G3">
        <v>20.760404926516141</v>
      </c>
      <c r="H3">
        <v>3.4306940630000004E-3</v>
      </c>
      <c r="I3">
        <v>1.2304927830619761E-3</v>
      </c>
      <c r="J3">
        <v>4.8829078692946837E-4</v>
      </c>
    </row>
    <row r="4" spans="1:10" x14ac:dyDescent="0.2">
      <c r="A4" s="1" t="s">
        <v>1</v>
      </c>
      <c r="B4">
        <v>3</v>
      </c>
      <c r="C4">
        <v>30.940103930930292</v>
      </c>
      <c r="D4">
        <v>2.2023271280999998E-2</v>
      </c>
      <c r="E4">
        <v>30.94127582881892</v>
      </c>
      <c r="F4">
        <v>1.0700876312E-2</v>
      </c>
      <c r="G4">
        <v>30.941744587974373</v>
      </c>
      <c r="H4">
        <v>3.5454253870000002E-3</v>
      </c>
      <c r="I4">
        <v>1.1718978886285925E-3</v>
      </c>
      <c r="J4">
        <v>4.6875915545285807E-4</v>
      </c>
    </row>
    <row r="5" spans="1:10" x14ac:dyDescent="0.2">
      <c r="A5" s="1" t="s">
        <v>1</v>
      </c>
      <c r="B5">
        <v>4</v>
      </c>
      <c r="C5">
        <v>51.969267310138868</v>
      </c>
      <c r="D5">
        <v>2.1239070475999999E-2</v>
      </c>
      <c r="E5">
        <v>51.97041967639602</v>
      </c>
      <c r="F5">
        <v>1.0204724363E-2</v>
      </c>
      <c r="G5">
        <v>51.970927498814426</v>
      </c>
      <c r="H5">
        <v>3.8273715130000001E-3</v>
      </c>
      <c r="I5">
        <v>1.1523662571519822E-3</v>
      </c>
      <c r="J5">
        <v>5.0782241840607867E-4</v>
      </c>
    </row>
    <row r="6" spans="1:10" x14ac:dyDescent="0.2">
      <c r="A6" s="1" t="s">
        <v>1</v>
      </c>
      <c r="B6">
        <v>5</v>
      </c>
      <c r="C6">
        <v>60.505252377860899</v>
      </c>
      <c r="D6">
        <v>2.2524915686999998E-2</v>
      </c>
      <c r="E6">
        <v>60.506404744118051</v>
      </c>
      <c r="F6">
        <v>1.2196045162000001E-2</v>
      </c>
      <c r="G6">
        <v>60.50685397164203</v>
      </c>
      <c r="H6">
        <v>4.0665985290000003E-3</v>
      </c>
      <c r="I6">
        <v>1.1523662571519822E-3</v>
      </c>
      <c r="J6">
        <v>4.4922752397980048E-4</v>
      </c>
    </row>
    <row r="7" spans="1:10" x14ac:dyDescent="0.2">
      <c r="A7" t="s">
        <v>2</v>
      </c>
    </row>
    <row r="8" spans="1:10" x14ac:dyDescent="0.2">
      <c r="A8" s="1" t="s">
        <v>3</v>
      </c>
      <c r="B8">
        <v>1</v>
      </c>
      <c r="C8">
        <v>2.4843388902576224</v>
      </c>
      <c r="D8">
        <v>1.9929424618E-2</v>
      </c>
      <c r="E8">
        <v>2.4861943952479542</v>
      </c>
      <c r="F8">
        <v>6.1360342720000001E-3</v>
      </c>
      <c r="G8">
        <v>2.4871123819273815</v>
      </c>
      <c r="H8">
        <v>3.2158779670000003E-3</v>
      </c>
      <c r="I8">
        <v>1.8555049903317133E-3</v>
      </c>
      <c r="J8">
        <v>9.1798667942732948E-4</v>
      </c>
    </row>
    <row r="9" spans="1:10" x14ac:dyDescent="0.2">
      <c r="A9" s="1" t="s">
        <v>3</v>
      </c>
      <c r="B9">
        <v>2</v>
      </c>
      <c r="C9">
        <v>13.689761639098419</v>
      </c>
      <c r="D9">
        <v>1.8442189317E-2</v>
      </c>
      <c r="E9">
        <v>13.691363232879548</v>
      </c>
      <c r="F9">
        <v>7.0697519619999996E-3</v>
      </c>
      <c r="G9">
        <v>13.692085903244203</v>
      </c>
      <c r="H9">
        <v>3.3190141040000004E-3</v>
      </c>
      <c r="I9">
        <v>1.6015937811282299E-3</v>
      </c>
      <c r="J9">
        <v>7.226703646558974E-4</v>
      </c>
    </row>
    <row r="10" spans="1:10" x14ac:dyDescent="0.2">
      <c r="A10" s="1" t="s">
        <v>3</v>
      </c>
      <c r="B10">
        <v>3</v>
      </c>
      <c r="C10">
        <v>25.071274346401296</v>
      </c>
      <c r="D10">
        <v>1.8215778033999999E-2</v>
      </c>
      <c r="E10">
        <v>25.072836876919471</v>
      </c>
      <c r="F10">
        <v>8.4135731080000001E-3</v>
      </c>
      <c r="G10">
        <v>25.07346188912674</v>
      </c>
      <c r="H10">
        <v>3.9762781250000006E-3</v>
      </c>
      <c r="I10">
        <v>1.5625305181750093E-3</v>
      </c>
      <c r="J10">
        <v>6.2501220726929319E-4</v>
      </c>
    </row>
    <row r="11" spans="1:10" x14ac:dyDescent="0.2">
      <c r="A11" s="1" t="s">
        <v>3</v>
      </c>
      <c r="B11">
        <v>4</v>
      </c>
      <c r="C11">
        <v>38.568174446534115</v>
      </c>
      <c r="D11">
        <v>2.1204895187999999E-2</v>
      </c>
      <c r="E11">
        <v>38.569678382157853</v>
      </c>
      <c r="F11">
        <v>7.9900436460000005E-3</v>
      </c>
      <c r="G11">
        <v>38.57036198925956</v>
      </c>
      <c r="H11">
        <v>4.9118266340000003E-3</v>
      </c>
      <c r="I11">
        <v>1.503935623738073E-3</v>
      </c>
      <c r="J11">
        <v>6.8360710170622951E-4</v>
      </c>
    </row>
    <row r="12" spans="1:10" x14ac:dyDescent="0.2">
      <c r="A12" s="1" t="s">
        <v>3</v>
      </c>
      <c r="B12">
        <v>5</v>
      </c>
      <c r="C12">
        <v>49.696749449317373</v>
      </c>
      <c r="D12">
        <v>2.3141291416999998E-2</v>
      </c>
      <c r="E12">
        <v>49.698272916572591</v>
      </c>
      <c r="F12">
        <v>7.7026050630000006E-3</v>
      </c>
      <c r="G12">
        <v>49.69954247261861</v>
      </c>
      <c r="H12">
        <v>3.2317499999999998E-3</v>
      </c>
      <c r="I12">
        <v>1.523467255218236E-3</v>
      </c>
      <c r="J12">
        <v>1.2695560460187494E-3</v>
      </c>
    </row>
    <row r="13" spans="1:10" x14ac:dyDescent="0.2">
      <c r="A13" t="s">
        <v>4</v>
      </c>
    </row>
    <row r="14" spans="1:10" x14ac:dyDescent="0.2">
      <c r="A14" s="1" t="s">
        <v>5</v>
      </c>
      <c r="B14">
        <v>1</v>
      </c>
      <c r="C14">
        <v>10.026639691048654</v>
      </c>
      <c r="D14">
        <v>1.8762582641999998E-2</v>
      </c>
      <c r="E14">
        <v>10.028690512353757</v>
      </c>
      <c r="F14">
        <v>9.4315084719999998E-3</v>
      </c>
      <c r="G14">
        <v>10.029491309244321</v>
      </c>
      <c r="H14">
        <v>4.5316265550000004E-3</v>
      </c>
      <c r="I14">
        <v>2.0508213051027013E-3</v>
      </c>
      <c r="J14">
        <v>8.0079689056411496E-4</v>
      </c>
    </row>
    <row r="15" spans="1:10" x14ac:dyDescent="0.2">
      <c r="A15" s="1" t="s">
        <v>5</v>
      </c>
      <c r="B15">
        <v>2</v>
      </c>
      <c r="C15">
        <v>37.225465842690291</v>
      </c>
      <c r="D15">
        <v>1.8375059286999999E-2</v>
      </c>
      <c r="E15">
        <v>37.227399474206528</v>
      </c>
      <c r="F15">
        <v>7.9729560020000007E-3</v>
      </c>
      <c r="G15">
        <v>37.228161207834141</v>
      </c>
      <c r="H15">
        <v>4.5011129050000001E-3</v>
      </c>
      <c r="I15">
        <v>1.9336315162377105E-3</v>
      </c>
      <c r="J15">
        <v>7.6173362761267072E-4</v>
      </c>
    </row>
    <row r="16" spans="1:10" x14ac:dyDescent="0.2">
      <c r="A16" s="1" t="s">
        <v>5</v>
      </c>
      <c r="B16">
        <v>3</v>
      </c>
      <c r="C16">
        <v>59.24022820066407</v>
      </c>
      <c r="D16">
        <v>1.8790655199999999E-2</v>
      </c>
      <c r="E16">
        <v>59.242161832180315</v>
      </c>
      <c r="F16">
        <v>9.9136241419999997E-3</v>
      </c>
      <c r="G16">
        <v>59.242884502544968</v>
      </c>
      <c r="H16">
        <v>4.2930098120000006E-3</v>
      </c>
      <c r="I16">
        <v>1.9336315162448159E-3</v>
      </c>
      <c r="J16">
        <v>7.2267036465234469E-4</v>
      </c>
    </row>
    <row r="17" spans="1:10" x14ac:dyDescent="0.2">
      <c r="A17" s="1" t="s">
        <v>5</v>
      </c>
      <c r="B17">
        <v>4</v>
      </c>
      <c r="C17">
        <v>68.252557136334701</v>
      </c>
      <c r="D17">
        <v>1.9686535963999999E-2</v>
      </c>
      <c r="E17">
        <v>68.254490767850939</v>
      </c>
      <c r="F17">
        <v>8.597875554E-3</v>
      </c>
      <c r="G17">
        <v>68.255193906584111</v>
      </c>
      <c r="H17">
        <v>4.1587497520000002E-3</v>
      </c>
      <c r="I17">
        <v>1.9336315162377105E-3</v>
      </c>
      <c r="J17">
        <v>7.0313873317218167E-4</v>
      </c>
    </row>
    <row r="18" spans="1:10" x14ac:dyDescent="0.2">
      <c r="A18" s="1" t="s">
        <v>5</v>
      </c>
      <c r="B18">
        <v>5</v>
      </c>
      <c r="C18">
        <v>76.244624121123465</v>
      </c>
      <c r="D18">
        <v>1.7271075430000001E-2</v>
      </c>
      <c r="E18">
        <v>76.246577284271183</v>
      </c>
      <c r="F18">
        <v>1.0583093623000001E-2</v>
      </c>
      <c r="G18">
        <v>76.247378081161742</v>
      </c>
      <c r="H18">
        <v>4.1813299999999996E-3</v>
      </c>
      <c r="I18">
        <v>1.9531631477178735E-3</v>
      </c>
      <c r="J18">
        <v>8.0079689055878589E-4</v>
      </c>
    </row>
    <row r="19" spans="1:10" x14ac:dyDescent="0.2">
      <c r="A19" s="1" t="s">
        <v>5</v>
      </c>
      <c r="B19">
        <v>6</v>
      </c>
      <c r="C19">
        <v>84.008932936590568</v>
      </c>
      <c r="D19">
        <v>1.7918575082999998E-2</v>
      </c>
      <c r="E19">
        <v>84.010925163001232</v>
      </c>
      <c r="F19">
        <v>1.0866260295000001E-2</v>
      </c>
      <c r="G19">
        <v>84.011647833365899</v>
      </c>
      <c r="H19">
        <v>5.494027076E-3</v>
      </c>
      <c r="I19">
        <v>1.9922264106639886E-3</v>
      </c>
      <c r="J19">
        <v>7.2267036466655554E-4</v>
      </c>
    </row>
    <row r="20" spans="1:10" x14ac:dyDescent="0.2">
      <c r="A20" t="s">
        <v>6</v>
      </c>
    </row>
    <row r="21" spans="1:10" x14ac:dyDescent="0.2">
      <c r="A21" s="1" t="s">
        <v>7</v>
      </c>
      <c r="B21">
        <v>1</v>
      </c>
      <c r="C21">
        <v>12.490628003246156</v>
      </c>
      <c r="D21">
        <v>1.5672160170000001E-2</v>
      </c>
      <c r="E21">
        <v>12.492659292919784</v>
      </c>
      <c r="F21">
        <v>7.6733119589999996E-3</v>
      </c>
      <c r="G21">
        <v>12.493362431652962</v>
      </c>
      <c r="H21">
        <v>4.3613603880000001E-3</v>
      </c>
      <c r="I21">
        <v>2.0312896736278674E-3</v>
      </c>
      <c r="J21">
        <v>7.0313873317751074E-4</v>
      </c>
    </row>
    <row r="22" spans="1:10" x14ac:dyDescent="0.2">
      <c r="A22" s="1" t="s">
        <v>7</v>
      </c>
      <c r="B22">
        <v>2</v>
      </c>
      <c r="C22">
        <v>24.458454467061859</v>
      </c>
      <c r="D22">
        <v>1.8281077244999999E-2</v>
      </c>
      <c r="E22">
        <v>24.46044669347253</v>
      </c>
      <c r="F22">
        <v>7.8850766899999994E-3</v>
      </c>
      <c r="G22">
        <v>24.461227958731616</v>
      </c>
      <c r="H22">
        <v>6.0158104910000001E-3</v>
      </c>
      <c r="I22">
        <v>1.9922264106710941E-3</v>
      </c>
      <c r="J22">
        <v>7.812652590857283E-4</v>
      </c>
    </row>
    <row r="23" spans="1:10" x14ac:dyDescent="0.2">
      <c r="A23" s="1" t="s">
        <v>7</v>
      </c>
      <c r="B23">
        <v>3</v>
      </c>
      <c r="C23">
        <v>44.602316644479387</v>
      </c>
      <c r="D23">
        <v>1.8401911298999998E-2</v>
      </c>
      <c r="E23">
        <v>44.604621376993691</v>
      </c>
      <c r="F23">
        <v>9.8184215539999994E-3</v>
      </c>
      <c r="G23">
        <v>44.605324515726871</v>
      </c>
      <c r="H23">
        <v>4.4791430769999998E-3</v>
      </c>
      <c r="I23">
        <v>2.3047325143039643E-3</v>
      </c>
      <c r="J23">
        <v>7.031387331792871E-4</v>
      </c>
    </row>
    <row r="24" spans="1:10" x14ac:dyDescent="0.2">
      <c r="A24" s="1" t="s">
        <v>7</v>
      </c>
      <c r="B24">
        <v>4</v>
      </c>
      <c r="C24">
        <v>63.881802749633778</v>
      </c>
      <c r="D24">
        <v>1.8478805697E-2</v>
      </c>
      <c r="E24">
        <v>63.884107482148082</v>
      </c>
      <c r="F24">
        <v>9.5499014340000004E-3</v>
      </c>
      <c r="G24">
        <v>63.884947342301601</v>
      </c>
      <c r="H24">
        <v>5.2053679469999999E-3</v>
      </c>
      <c r="I24">
        <v>2.3047325143039643E-3</v>
      </c>
      <c r="J24">
        <v>8.3986015351911192E-4</v>
      </c>
    </row>
    <row r="25" spans="1:10" x14ac:dyDescent="0.2">
      <c r="A25" s="1" t="s">
        <v>7</v>
      </c>
      <c r="B25">
        <v>5</v>
      </c>
      <c r="C25">
        <v>83.966735406890763</v>
      </c>
      <c r="D25">
        <v>2.0037442938999998E-2</v>
      </c>
      <c r="E25">
        <v>83.969059671036547</v>
      </c>
      <c r="F25">
        <v>9.8300167409999997E-3</v>
      </c>
      <c r="G25">
        <v>83.969919062821532</v>
      </c>
      <c r="H25">
        <v>4.9075547229999999E-3</v>
      </c>
      <c r="I25">
        <v>2.3242641457841273E-3</v>
      </c>
      <c r="J25">
        <v>8.5939178498506408E-4</v>
      </c>
    </row>
    <row r="26" spans="1:10" x14ac:dyDescent="0.2">
      <c r="A26" t="s">
        <v>8</v>
      </c>
    </row>
    <row r="27" spans="1:10" x14ac:dyDescent="0.2">
      <c r="A27" s="1" t="s">
        <v>9</v>
      </c>
      <c r="B27">
        <v>1</v>
      </c>
      <c r="C27">
        <v>2.5001428330592397</v>
      </c>
      <c r="D27">
        <v>1.7030017594999999E-2</v>
      </c>
      <c r="E27">
        <v>2.5016272370515051</v>
      </c>
      <c r="F27">
        <v>8.2933493270000002E-3</v>
      </c>
      <c r="G27">
        <v>2.502291312521729</v>
      </c>
      <c r="H27">
        <v>4.0476800660000003E-3</v>
      </c>
      <c r="I27">
        <v>1.4844039922654595E-3</v>
      </c>
      <c r="J27">
        <v>6.6407547022384605E-4</v>
      </c>
    </row>
    <row r="28" spans="1:10" x14ac:dyDescent="0.2">
      <c r="A28" s="1" t="s">
        <v>9</v>
      </c>
      <c r="B28">
        <v>2</v>
      </c>
      <c r="C28">
        <v>10.735942288355242</v>
      </c>
      <c r="D28">
        <v>2.4224525992E-2</v>
      </c>
      <c r="E28">
        <v>10.737270439295688</v>
      </c>
      <c r="F28">
        <v>1.1142713964E-2</v>
      </c>
      <c r="G28">
        <v>10.737817324977049</v>
      </c>
      <c r="H28">
        <v>3.5301685620000001E-3</v>
      </c>
      <c r="I28">
        <v>1.3281509404468039E-3</v>
      </c>
      <c r="J28">
        <v>5.4688568136107563E-4</v>
      </c>
    </row>
    <row r="29" spans="1:10" x14ac:dyDescent="0.2">
      <c r="A29" s="1" t="s">
        <v>9</v>
      </c>
      <c r="B29">
        <v>3</v>
      </c>
      <c r="C29">
        <v>17.84862474793648</v>
      </c>
      <c r="D29">
        <v>2.089609705E-2</v>
      </c>
      <c r="E29">
        <v>17.849913835613975</v>
      </c>
      <c r="F29">
        <v>9.3466805249999996E-3</v>
      </c>
      <c r="G29">
        <v>17.850460721295335</v>
      </c>
      <c r="H29">
        <v>4.713487909E-3</v>
      </c>
      <c r="I29">
        <v>1.2890876774953597E-3</v>
      </c>
      <c r="J29">
        <v>5.4688568135929927E-4</v>
      </c>
    </row>
    <row r="30" spans="1:10" x14ac:dyDescent="0.2">
      <c r="A30" s="1" t="s">
        <v>9</v>
      </c>
      <c r="B30">
        <v>4</v>
      </c>
      <c r="C30">
        <v>24.961811208367351</v>
      </c>
      <c r="D30">
        <v>8.1243037060000009E-3</v>
      </c>
      <c r="E30">
        <v>24.963178422570753</v>
      </c>
      <c r="F30">
        <v>3.9787192169999999E-3</v>
      </c>
      <c r="G30">
        <v>24.963529991937342</v>
      </c>
      <c r="H30">
        <v>2.5323722070000002E-3</v>
      </c>
      <c r="I30">
        <v>1.3672142034018009E-3</v>
      </c>
      <c r="J30">
        <v>3.5156936658964355E-4</v>
      </c>
    </row>
    <row r="31" spans="1:10" x14ac:dyDescent="0.2">
      <c r="A31" s="1" t="s">
        <v>9</v>
      </c>
      <c r="B31">
        <v>5</v>
      </c>
      <c r="C31">
        <v>32.581784680407821</v>
      </c>
      <c r="D31">
        <v>1.9551665630999998E-2</v>
      </c>
      <c r="E31">
        <v>32.583073768085313</v>
      </c>
      <c r="F31">
        <v>9.2923662280000006E-3</v>
      </c>
      <c r="G31">
        <v>32.5836011221352</v>
      </c>
      <c r="H31">
        <v>4.342441925E-3</v>
      </c>
      <c r="I31">
        <v>1.289087677491807E-3</v>
      </c>
      <c r="J31">
        <v>5.2735404988624168E-4</v>
      </c>
    </row>
    <row r="32" spans="1:10" x14ac:dyDescent="0.2">
      <c r="A32" s="1" t="s">
        <v>9</v>
      </c>
      <c r="B32">
        <v>6</v>
      </c>
      <c r="C32">
        <v>53.073824850651377</v>
      </c>
      <c r="D32">
        <v>2.2603640903999998E-2</v>
      </c>
      <c r="E32">
        <v>53.075074875065916</v>
      </c>
      <c r="F32">
        <v>1.1110979768E-2</v>
      </c>
      <c r="G32">
        <v>53.076031925008301</v>
      </c>
      <c r="H32">
        <v>3.4605974400000001E-3</v>
      </c>
      <c r="I32">
        <v>1.2500244145385864E-3</v>
      </c>
      <c r="J32">
        <v>9.5704994238587915E-4</v>
      </c>
    </row>
    <row r="33" spans="1:10" x14ac:dyDescent="0.2">
      <c r="A33" t="s">
        <v>10</v>
      </c>
    </row>
    <row r="34" spans="1:10" x14ac:dyDescent="0.2">
      <c r="A34" s="1" t="s">
        <v>11</v>
      </c>
      <c r="B34">
        <v>1</v>
      </c>
      <c r="C34">
        <v>15.272036792066251</v>
      </c>
      <c r="D34">
        <v>1.453094966E-2</v>
      </c>
      <c r="E34">
        <v>15.274458714369421</v>
      </c>
      <c r="F34">
        <v>4.8819232570000001E-3</v>
      </c>
      <c r="G34">
        <v>15.275611080626573</v>
      </c>
      <c r="H34">
        <v>4.6176750479999997E-3</v>
      </c>
      <c r="I34">
        <v>2.4219223031707315E-3</v>
      </c>
      <c r="J34">
        <v>1.1523662571519822E-3</v>
      </c>
    </row>
    <row r="35" spans="1:10" x14ac:dyDescent="0.2">
      <c r="A35" s="1" t="s">
        <v>11</v>
      </c>
      <c r="B35">
        <v>2</v>
      </c>
      <c r="C35">
        <v>23.35841176141917</v>
      </c>
      <c r="D35">
        <v>1.8025372857999999E-2</v>
      </c>
      <c r="E35">
        <v>23.360853215353817</v>
      </c>
      <c r="F35">
        <v>7.5829915549999998E-3</v>
      </c>
      <c r="G35">
        <v>23.362064176505399</v>
      </c>
      <c r="H35">
        <v>3.9774986709999998E-3</v>
      </c>
      <c r="I35">
        <v>2.4414539346473418E-3</v>
      </c>
      <c r="J35">
        <v>1.2109611515818131E-3</v>
      </c>
    </row>
    <row r="36" spans="1:10" x14ac:dyDescent="0.2">
      <c r="A36" s="1" t="s">
        <v>11</v>
      </c>
      <c r="B36">
        <v>3</v>
      </c>
      <c r="C36">
        <v>39.563736721678154</v>
      </c>
      <c r="D36">
        <v>2.0780145179999997E-2</v>
      </c>
      <c r="E36">
        <v>39.566100049086891</v>
      </c>
      <c r="F36">
        <v>8.1639714510000003E-3</v>
      </c>
      <c r="G36">
        <v>39.567271946975524</v>
      </c>
      <c r="H36">
        <v>4.4846355340000003E-3</v>
      </c>
      <c r="I36">
        <v>2.3633274087373479E-3</v>
      </c>
      <c r="J36">
        <v>1.1718978886321452E-3</v>
      </c>
    </row>
    <row r="37" spans="1:10" x14ac:dyDescent="0.2">
      <c r="A37" s="1" t="s">
        <v>11</v>
      </c>
      <c r="B37">
        <v>4</v>
      </c>
      <c r="C37">
        <v>49.9594013805172</v>
      </c>
      <c r="D37">
        <v>2.0366990358999998E-2</v>
      </c>
      <c r="E37">
        <v>49.961901429346277</v>
      </c>
      <c r="F37">
        <v>7.4157767529999998E-3</v>
      </c>
      <c r="G37">
        <v>49.963229580286729</v>
      </c>
      <c r="H37">
        <v>4.3851610349999997E-3</v>
      </c>
      <c r="I37">
        <v>2.5000488290771727E-3</v>
      </c>
      <c r="J37">
        <v>1.328150940452133E-3</v>
      </c>
    </row>
    <row r="38" spans="1:10" x14ac:dyDescent="0.2">
      <c r="A38" s="1" t="s">
        <v>11</v>
      </c>
      <c r="B38">
        <v>5</v>
      </c>
      <c r="C38">
        <v>61.892780491521314</v>
      </c>
      <c r="D38">
        <v>1.7737324002E-2</v>
      </c>
      <c r="E38">
        <v>61.895182882193012</v>
      </c>
      <c r="F38">
        <v>7.2674804140000007E-3</v>
      </c>
      <c r="G38">
        <v>61.896315716818684</v>
      </c>
      <c r="H38">
        <v>3.9573596620000005E-3</v>
      </c>
      <c r="I38">
        <v>2.402390671697674E-3</v>
      </c>
      <c r="J38">
        <v>1.1328346256718191E-3</v>
      </c>
    </row>
    <row r="39" spans="1:10" x14ac:dyDescent="0.2">
      <c r="A39" s="1" t="s">
        <v>11</v>
      </c>
      <c r="B39">
        <v>6</v>
      </c>
      <c r="C39">
        <v>77.550345409304867</v>
      </c>
      <c r="D39">
        <v>1.6132306012000001E-2</v>
      </c>
      <c r="E39">
        <v>77.552747799976558</v>
      </c>
      <c r="F39">
        <v>6.0585296009999998E-3</v>
      </c>
      <c r="G39">
        <v>77.553997824391104</v>
      </c>
      <c r="H39">
        <v>4.5578682940000002E-3</v>
      </c>
      <c r="I39">
        <v>2.4023906716905685E-3</v>
      </c>
      <c r="J39">
        <v>1.2500244145456918E-3</v>
      </c>
    </row>
    <row r="40" spans="1:10" x14ac:dyDescent="0.2">
      <c r="A40" t="s">
        <v>12</v>
      </c>
    </row>
    <row r="41" spans="1:10" x14ac:dyDescent="0.2">
      <c r="A41" s="1" t="s">
        <v>13</v>
      </c>
      <c r="B41">
        <v>1</v>
      </c>
      <c r="C41">
        <v>4.1185568253598701</v>
      </c>
      <c r="D41">
        <v>1.9903793151999999E-2</v>
      </c>
      <c r="E41">
        <v>4.1202365456669074</v>
      </c>
      <c r="F41">
        <v>8.7718033589999998E-3</v>
      </c>
      <c r="G41">
        <v>4.12097874766304</v>
      </c>
      <c r="H41">
        <v>4.6817537130000005E-3</v>
      </c>
      <c r="I41">
        <v>1.6797203070373357E-3</v>
      </c>
      <c r="J41">
        <v>7.422019961325077E-4</v>
      </c>
    </row>
    <row r="42" spans="1:10" x14ac:dyDescent="0.2">
      <c r="A42" s="1" t="s">
        <v>13</v>
      </c>
      <c r="B42">
        <v>2</v>
      </c>
      <c r="C42">
        <v>31.191545571050217</v>
      </c>
      <c r="D42">
        <v>2.0729492520999999E-2</v>
      </c>
      <c r="E42">
        <v>31.193069038305438</v>
      </c>
      <c r="F42">
        <v>9.946578884000001E-3</v>
      </c>
      <c r="G42">
        <v>31.193713582144184</v>
      </c>
      <c r="H42">
        <v>4.8892465329999999E-3</v>
      </c>
      <c r="I42">
        <v>1.5234672552217887E-3</v>
      </c>
      <c r="J42">
        <v>6.4454383874590349E-4</v>
      </c>
    </row>
    <row r="43" spans="1:10" x14ac:dyDescent="0.2">
      <c r="A43" s="1" t="s">
        <v>13</v>
      </c>
      <c r="B43">
        <v>3</v>
      </c>
      <c r="C43">
        <v>46.527927066167308</v>
      </c>
      <c r="D43">
        <v>2.1744376520000001E-2</v>
      </c>
      <c r="E43">
        <v>46.529450533422526</v>
      </c>
      <c r="F43">
        <v>1.1034695643000001E-2</v>
      </c>
      <c r="G43">
        <v>46.530095077261279</v>
      </c>
      <c r="H43">
        <v>4.2557831589999998E-3</v>
      </c>
      <c r="I43">
        <v>1.523467255218236E-3</v>
      </c>
      <c r="J43">
        <v>6.4454383875300891E-4</v>
      </c>
    </row>
    <row r="44" spans="1:10" x14ac:dyDescent="0.2">
      <c r="A44" s="1" t="s">
        <v>13</v>
      </c>
      <c r="B44">
        <v>4</v>
      </c>
      <c r="C44">
        <v>62.142510751913122</v>
      </c>
      <c r="D44">
        <v>1.9593164194999999E-2</v>
      </c>
      <c r="E44">
        <v>62.144014687536867</v>
      </c>
      <c r="F44">
        <v>1.0240730470000001E-2</v>
      </c>
      <c r="G44">
        <v>62.144639699744133</v>
      </c>
      <c r="H44">
        <v>4.5499347450000003E-3</v>
      </c>
      <c r="I44">
        <v>1.5039356237451784E-3</v>
      </c>
      <c r="J44">
        <v>6.2501220726574047E-4</v>
      </c>
    </row>
    <row r="45" spans="1:10" x14ac:dyDescent="0.2">
      <c r="A45" s="1" t="s">
        <v>13</v>
      </c>
      <c r="B45">
        <v>5</v>
      </c>
      <c r="C45">
        <v>87.168198533502618</v>
      </c>
      <c r="D45">
        <v>2.0874127221999998E-2</v>
      </c>
      <c r="E45">
        <v>87.169702469126349</v>
      </c>
      <c r="F45">
        <v>1.0218760642E-2</v>
      </c>
      <c r="G45">
        <v>87.170307949702149</v>
      </c>
      <c r="H45">
        <v>3.9158610980000001E-3</v>
      </c>
      <c r="I45">
        <v>1.5039356237309676E-3</v>
      </c>
      <c r="J45">
        <v>6.0548057579978831E-4</v>
      </c>
    </row>
    <row r="46" spans="1:10" x14ac:dyDescent="0.2">
      <c r="A46" s="1" t="s">
        <v>13</v>
      </c>
      <c r="B46">
        <v>6</v>
      </c>
      <c r="C46">
        <v>96.482128132490857</v>
      </c>
      <c r="D46">
        <v>2.1678467035999998E-2</v>
      </c>
      <c r="E46">
        <v>96.483632068114602</v>
      </c>
      <c r="F46">
        <v>1.0725897505E-2</v>
      </c>
      <c r="G46">
        <v>96.484296143584828</v>
      </c>
      <c r="H46">
        <v>4.704333814E-3</v>
      </c>
      <c r="I46">
        <v>1.5039356237451784E-3</v>
      </c>
      <c r="J46">
        <v>6.640754702260665E-4</v>
      </c>
    </row>
    <row r="47" spans="1:10" x14ac:dyDescent="0.2">
      <c r="A47" t="s">
        <v>14</v>
      </c>
    </row>
    <row r="48" spans="1:10" x14ac:dyDescent="0.2">
      <c r="A48" s="1" t="s">
        <v>15</v>
      </c>
      <c r="B48">
        <v>1</v>
      </c>
      <c r="C48">
        <v>41.936444152528374</v>
      </c>
      <c r="D48">
        <v>2.2684807212999997E-2</v>
      </c>
      <c r="E48">
        <v>41.939041859514838</v>
      </c>
      <c r="F48">
        <v>1.0890671215E-2</v>
      </c>
      <c r="G48">
        <v>41.939823124773923</v>
      </c>
      <c r="H48">
        <v>5.7643780150000001E-3</v>
      </c>
      <c r="I48">
        <v>2.597706986463777E-3</v>
      </c>
      <c r="J48">
        <v>7.812652590857283E-4</v>
      </c>
    </row>
    <row r="49" spans="1:10" x14ac:dyDescent="0.2">
      <c r="A49" s="1" t="s">
        <v>15</v>
      </c>
      <c r="B49">
        <v>2</v>
      </c>
      <c r="C49">
        <v>52.496572666501301</v>
      </c>
      <c r="D49">
        <v>1.7781263658E-2</v>
      </c>
      <c r="E49">
        <v>52.499150841856292</v>
      </c>
      <c r="F49">
        <v>8.8694470390000002E-3</v>
      </c>
      <c r="G49">
        <v>52.499873512220944</v>
      </c>
      <c r="H49">
        <v>7.6104538399999998E-3</v>
      </c>
      <c r="I49">
        <v>2.5781753549907194E-3</v>
      </c>
      <c r="J49">
        <v>7.2267036465234469E-4</v>
      </c>
    </row>
    <row r="50" spans="1:10" x14ac:dyDescent="0.2">
      <c r="A50" s="1" t="s">
        <v>15</v>
      </c>
      <c r="B50">
        <v>3</v>
      </c>
      <c r="C50">
        <v>59.678658295542881</v>
      </c>
      <c r="D50">
        <v>1.9973364274E-2</v>
      </c>
      <c r="E50">
        <v>59.681197407634912</v>
      </c>
      <c r="F50">
        <v>1.0612386727E-2</v>
      </c>
      <c r="G50">
        <v>59.681861483105138</v>
      </c>
      <c r="H50">
        <v>4.4846355340000003E-3</v>
      </c>
      <c r="I50">
        <v>2.5391120920303933E-3</v>
      </c>
      <c r="J50">
        <v>6.640754702260665E-4</v>
      </c>
    </row>
    <row r="51" spans="1:10" x14ac:dyDescent="0.2">
      <c r="A51" s="1" t="s">
        <v>15</v>
      </c>
      <c r="B51">
        <v>4</v>
      </c>
      <c r="C51">
        <v>66.872803443108268</v>
      </c>
      <c r="D51">
        <v>2.0844834117999998E-2</v>
      </c>
      <c r="E51">
        <v>66.875342555200305</v>
      </c>
      <c r="F51">
        <v>1.0437848649000001E-2</v>
      </c>
      <c r="G51">
        <v>66.876026162302011</v>
      </c>
      <c r="H51">
        <v>6.9940781100000004E-3</v>
      </c>
      <c r="I51">
        <v>2.5391120920374988E-3</v>
      </c>
      <c r="J51">
        <v>6.8360710170622951E-4</v>
      </c>
    </row>
    <row r="52" spans="1:10" x14ac:dyDescent="0.2">
      <c r="A52" s="1" t="s">
        <v>15</v>
      </c>
      <c r="B52">
        <v>5</v>
      </c>
      <c r="C52">
        <v>74.556859286825912</v>
      </c>
      <c r="D52">
        <v>1.9940409531999999E-2</v>
      </c>
      <c r="E52">
        <v>74.559378867286469</v>
      </c>
      <c r="F52">
        <v>1.0448833563E-2</v>
      </c>
      <c r="G52">
        <v>74.560199195808508</v>
      </c>
      <c r="H52">
        <v>5.6801603410000009E-3</v>
      </c>
      <c r="I52">
        <v>2.5195804605573358E-3</v>
      </c>
      <c r="J52">
        <v>8.203285220389489E-4</v>
      </c>
    </row>
    <row r="53" spans="1:10" x14ac:dyDescent="0.2">
      <c r="A53" s="1" t="s">
        <v>15</v>
      </c>
      <c r="B53">
        <v>6</v>
      </c>
      <c r="C53">
        <v>82.777025987378664</v>
      </c>
      <c r="D53">
        <v>1.9916608884999999E-2</v>
      </c>
      <c r="E53">
        <v>82.779486972944781</v>
      </c>
      <c r="F53">
        <v>9.8855515840000005E-3</v>
      </c>
      <c r="G53">
        <v>82.780170580046487</v>
      </c>
      <c r="H53">
        <v>5.7247102700000007E-3</v>
      </c>
      <c r="I53">
        <v>2.4609855661168467E-3</v>
      </c>
      <c r="J53">
        <v>6.8360710170622951E-4</v>
      </c>
    </row>
    <row r="54" spans="1:10" x14ac:dyDescent="0.2">
      <c r="A54" t="s">
        <v>16</v>
      </c>
    </row>
    <row r="55" spans="1:10" x14ac:dyDescent="0.2">
      <c r="A55" s="1" t="s">
        <v>17</v>
      </c>
      <c r="B55">
        <v>1</v>
      </c>
      <c r="C55">
        <v>22.759165616896812</v>
      </c>
      <c r="D55">
        <v>1.4847071074E-2</v>
      </c>
      <c r="E55">
        <v>22.761099248413053</v>
      </c>
      <c r="F55">
        <v>7.242459221000001E-3</v>
      </c>
      <c r="G55">
        <v>22.761724260620323</v>
      </c>
      <c r="H55">
        <v>4.0318129680000005E-3</v>
      </c>
      <c r="I55">
        <v>1.9336315162412632E-3</v>
      </c>
      <c r="J55">
        <v>6.2501220726929319E-4</v>
      </c>
    </row>
    <row r="56" spans="1:10" x14ac:dyDescent="0.2">
      <c r="A56" s="1" t="s">
        <v>17</v>
      </c>
      <c r="B56">
        <v>2</v>
      </c>
      <c r="C56">
        <v>35.489771260180866</v>
      </c>
      <c r="D56">
        <v>2.0789909547999998E-2</v>
      </c>
      <c r="E56">
        <v>35.491704891697104</v>
      </c>
      <c r="F56">
        <v>8.1725152730000011E-3</v>
      </c>
      <c r="G56">
        <v>35.49252522021915</v>
      </c>
      <c r="H56">
        <v>5.0320504150000002E-3</v>
      </c>
      <c r="I56">
        <v>1.9336315162377105E-3</v>
      </c>
      <c r="J56">
        <v>8.2032852204605433E-4</v>
      </c>
    </row>
    <row r="57" spans="1:10" x14ac:dyDescent="0.2">
      <c r="A57" s="1" t="s">
        <v>17</v>
      </c>
      <c r="B57">
        <v>3</v>
      </c>
      <c r="C57">
        <v>46.15482711017988</v>
      </c>
      <c r="D57">
        <v>2.0302301421000001E-2</v>
      </c>
      <c r="E57">
        <v>46.156780273327598</v>
      </c>
      <c r="F57">
        <v>7.7660734549999996E-3</v>
      </c>
      <c r="G57">
        <v>46.157698260007031</v>
      </c>
      <c r="H57">
        <v>4.5786175760000004E-3</v>
      </c>
      <c r="I57">
        <v>1.9531631477178735E-3</v>
      </c>
      <c r="J57">
        <v>9.1798667943265855E-4</v>
      </c>
    </row>
    <row r="58" spans="1:10" x14ac:dyDescent="0.2">
      <c r="A58" s="1" t="s">
        <v>17</v>
      </c>
      <c r="B58">
        <v>4</v>
      </c>
      <c r="C58">
        <v>58.867635294339735</v>
      </c>
      <c r="D58">
        <v>1.9903793151999999E-2</v>
      </c>
      <c r="E58">
        <v>58.869529862593019</v>
      </c>
      <c r="F58">
        <v>7.0447307689999999E-3</v>
      </c>
      <c r="G58">
        <v>58.870389254378019</v>
      </c>
      <c r="H58">
        <v>5.6258460440000001E-3</v>
      </c>
      <c r="I58">
        <v>1.8945682532844899E-3</v>
      </c>
      <c r="J58">
        <v>8.5939178499927493E-4</v>
      </c>
    </row>
    <row r="59" spans="1:10" x14ac:dyDescent="0.2">
      <c r="A59" s="1" t="s">
        <v>17</v>
      </c>
      <c r="B59">
        <v>5</v>
      </c>
      <c r="C59">
        <v>72.265381546807561</v>
      </c>
      <c r="D59">
        <v>2.0777093814999998E-2</v>
      </c>
      <c r="E59">
        <v>72.267295646692318</v>
      </c>
      <c r="F59">
        <v>9.8525968420000009E-3</v>
      </c>
      <c r="G59">
        <v>72.268135506845837</v>
      </c>
      <c r="H59">
        <v>4.118471734E-3</v>
      </c>
      <c r="I59">
        <v>1.9140998847575474E-3</v>
      </c>
      <c r="J59">
        <v>8.3986015351911192E-4</v>
      </c>
    </row>
    <row r="60" spans="1:10" x14ac:dyDescent="0.2">
      <c r="A60" s="1" t="s">
        <v>17</v>
      </c>
      <c r="B60">
        <v>6</v>
      </c>
      <c r="C60">
        <v>83.78859031894568</v>
      </c>
      <c r="D60">
        <v>2.2435815828999998E-2</v>
      </c>
      <c r="E60">
        <v>83.790465355567491</v>
      </c>
      <c r="F60">
        <v>1.0530610145000001E-2</v>
      </c>
      <c r="G60">
        <v>83.79130521572101</v>
      </c>
      <c r="H60">
        <v>4.1502059300000003E-3</v>
      </c>
      <c r="I60">
        <v>1.8750366218114323E-3</v>
      </c>
      <c r="J60">
        <v>8.3986015351911192E-4</v>
      </c>
    </row>
    <row r="61" spans="1:10" x14ac:dyDescent="0.2">
      <c r="A61" t="s">
        <v>18</v>
      </c>
    </row>
    <row r="62" spans="1:10" x14ac:dyDescent="0.2">
      <c r="A62" s="1" t="s">
        <v>19</v>
      </c>
      <c r="B62">
        <v>1</v>
      </c>
      <c r="C62">
        <v>4.1136377372448685</v>
      </c>
      <c r="D62">
        <v>1.7422423134000001E-2</v>
      </c>
      <c r="E62">
        <v>4.115141672868611</v>
      </c>
      <c r="F62">
        <v>7.5707860950000004E-3</v>
      </c>
      <c r="G62">
        <v>4.1157862167073578</v>
      </c>
      <c r="H62">
        <v>3.031575521E-3</v>
      </c>
      <c r="I62">
        <v>1.5039356237425139E-3</v>
      </c>
      <c r="J62">
        <v>6.4454383874679166E-4</v>
      </c>
    </row>
    <row r="63" spans="1:10" x14ac:dyDescent="0.2">
      <c r="A63" s="1" t="s">
        <v>19</v>
      </c>
      <c r="B63">
        <v>2</v>
      </c>
      <c r="C63">
        <v>15.275168609357605</v>
      </c>
      <c r="D63">
        <v>1.533040729E-2</v>
      </c>
      <c r="E63">
        <v>15.276496760298052</v>
      </c>
      <c r="F63">
        <v>8.274430864000001E-3</v>
      </c>
      <c r="G63">
        <v>15.276906924559073</v>
      </c>
      <c r="H63">
        <v>3.9292871040000005E-3</v>
      </c>
      <c r="I63">
        <v>1.3281509404468039E-3</v>
      </c>
      <c r="J63">
        <v>4.1016426102125081E-4</v>
      </c>
    </row>
    <row r="64" spans="1:10" x14ac:dyDescent="0.2">
      <c r="A64" s="1" t="s">
        <v>19</v>
      </c>
      <c r="B64">
        <v>3</v>
      </c>
      <c r="C64">
        <v>27.743349217889019</v>
      </c>
      <c r="D64">
        <v>1.7794079391000001E-2</v>
      </c>
      <c r="E64">
        <v>27.744657837197991</v>
      </c>
      <c r="F64">
        <v>8.2225576590000005E-3</v>
      </c>
      <c r="G64">
        <v>27.745048469827534</v>
      </c>
      <c r="H64">
        <v>3.8261509670000004E-3</v>
      </c>
      <c r="I64">
        <v>1.30861930897197E-3</v>
      </c>
      <c r="J64">
        <v>3.9063262954286415E-4</v>
      </c>
    </row>
    <row r="65" spans="1:10" x14ac:dyDescent="0.2">
      <c r="A65" s="1" t="s">
        <v>19</v>
      </c>
      <c r="B65">
        <v>4</v>
      </c>
      <c r="C65">
        <v>38.645752904062583</v>
      </c>
      <c r="D65">
        <v>1.760672558E-2</v>
      </c>
      <c r="E65">
        <v>38.647061523371555</v>
      </c>
      <c r="F65">
        <v>8.4013676480000007E-3</v>
      </c>
      <c r="G65">
        <v>38.647452156001094</v>
      </c>
      <c r="H65">
        <v>4.4138438659999998E-3</v>
      </c>
      <c r="I65">
        <v>1.30861930897197E-3</v>
      </c>
      <c r="J65">
        <v>3.9063262953931144E-4</v>
      </c>
    </row>
    <row r="66" spans="1:10" x14ac:dyDescent="0.2">
      <c r="A66" s="1" t="s">
        <v>19</v>
      </c>
      <c r="B66">
        <v>5</v>
      </c>
      <c r="C66">
        <v>55.457299147758746</v>
      </c>
      <c r="D66">
        <v>1.4782382136000001E-2</v>
      </c>
      <c r="E66">
        <v>55.458607767067718</v>
      </c>
      <c r="F66">
        <v>6.7145730760000003E-3</v>
      </c>
      <c r="G66">
        <v>55.458978868065785</v>
      </c>
      <c r="H66">
        <v>4.0592752530000005E-3</v>
      </c>
      <c r="I66">
        <v>1.30861930897197E-3</v>
      </c>
      <c r="J66">
        <v>3.7110099806625385E-4</v>
      </c>
    </row>
    <row r="67" spans="1:10" x14ac:dyDescent="0.2">
      <c r="A67" s="1" t="s">
        <v>19</v>
      </c>
      <c r="B67">
        <v>6</v>
      </c>
      <c r="C67">
        <v>66.590765712422112</v>
      </c>
      <c r="D67">
        <v>1.4306369196E-2</v>
      </c>
      <c r="E67">
        <v>66.592074331731084</v>
      </c>
      <c r="F67">
        <v>6.9946883830000004E-3</v>
      </c>
      <c r="G67">
        <v>66.59244543272915</v>
      </c>
      <c r="H67">
        <v>4.2795838060000002E-3</v>
      </c>
      <c r="I67">
        <v>1.30861930897197E-3</v>
      </c>
      <c r="J67">
        <v>3.7110099806625385E-4</v>
      </c>
    </row>
    <row r="68" spans="1:10" x14ac:dyDescent="0.2">
      <c r="A68" t="s">
        <v>20</v>
      </c>
    </row>
    <row r="69" spans="1:10" x14ac:dyDescent="0.2">
      <c r="A69" s="1" t="s">
        <v>21</v>
      </c>
      <c r="B69">
        <v>1</v>
      </c>
      <c r="C69">
        <v>4.1067530409226736</v>
      </c>
      <c r="D69">
        <v>1.9729865346999997E-2</v>
      </c>
      <c r="E69">
        <v>4.1083741663352793</v>
      </c>
      <c r="F69">
        <v>5.3927217580000001E-3</v>
      </c>
      <c r="G69">
        <v>4.1088038622277772</v>
      </c>
      <c r="H69">
        <v>3.3916365910000002E-3</v>
      </c>
      <c r="I69">
        <v>1.6211254126057284E-3</v>
      </c>
      <c r="J69">
        <v>4.2969589249786111E-4</v>
      </c>
    </row>
    <row r="70" spans="1:10" x14ac:dyDescent="0.2">
      <c r="A70" s="1" t="s">
        <v>21</v>
      </c>
      <c r="B70">
        <v>2</v>
      </c>
      <c r="C70">
        <v>23.693447098935525</v>
      </c>
      <c r="D70">
        <v>1.8151699369000001E-2</v>
      </c>
      <c r="E70">
        <v>23.694970566190747</v>
      </c>
      <c r="F70">
        <v>6.0646323310000003E-3</v>
      </c>
      <c r="G70">
        <v>23.695380730451767</v>
      </c>
      <c r="H70">
        <v>5.0607332460000003E-3</v>
      </c>
      <c r="I70">
        <v>1.5234672552217887E-3</v>
      </c>
      <c r="J70">
        <v>4.1016426101947445E-4</v>
      </c>
    </row>
    <row r="71" spans="1:10" x14ac:dyDescent="0.2">
      <c r="A71" s="1" t="s">
        <v>21</v>
      </c>
      <c r="B71">
        <v>3</v>
      </c>
      <c r="C71">
        <v>31.289018585765348</v>
      </c>
      <c r="D71">
        <v>2.007833123E-2</v>
      </c>
      <c r="E71">
        <v>31.290522521389089</v>
      </c>
      <c r="F71">
        <v>6.3423065460000002E-3</v>
      </c>
      <c r="G71">
        <v>31.290932685650109</v>
      </c>
      <c r="H71">
        <v>5.2554103330000003E-3</v>
      </c>
      <c r="I71">
        <v>1.5039356237416257E-3</v>
      </c>
      <c r="J71">
        <v>4.1016426101947445E-4</v>
      </c>
    </row>
    <row r="72" spans="1:10" x14ac:dyDescent="0.2">
      <c r="A72" s="1" t="s">
        <v>21</v>
      </c>
      <c r="B72">
        <v>4</v>
      </c>
      <c r="C72">
        <v>44.178555390742005</v>
      </c>
      <c r="D72">
        <v>1.7794079391000001E-2</v>
      </c>
      <c r="E72">
        <v>44.18005932636575</v>
      </c>
      <c r="F72">
        <v>5.2456459650000002E-3</v>
      </c>
      <c r="G72">
        <v>44.180430427363817</v>
      </c>
      <c r="H72">
        <v>4.3534268390000002E-3</v>
      </c>
      <c r="I72">
        <v>1.5039356237451784E-3</v>
      </c>
      <c r="J72">
        <v>3.7110099806625385E-4</v>
      </c>
    </row>
    <row r="73" spans="1:10" x14ac:dyDescent="0.2">
      <c r="A73" s="1" t="s">
        <v>21</v>
      </c>
      <c r="B73">
        <v>5</v>
      </c>
      <c r="C73">
        <v>51.497030985794645</v>
      </c>
      <c r="D73">
        <v>1.8136442544E-2</v>
      </c>
      <c r="E73">
        <v>51.498534921418383</v>
      </c>
      <c r="F73">
        <v>5.4641236989999998E-3</v>
      </c>
      <c r="G73">
        <v>51.498866959153496</v>
      </c>
      <c r="H73">
        <v>4.3082666370000003E-3</v>
      </c>
      <c r="I73">
        <v>1.503935623738073E-3</v>
      </c>
      <c r="J73">
        <v>3.3203773511303325E-4</v>
      </c>
    </row>
    <row r="74" spans="1:10" x14ac:dyDescent="0.2">
      <c r="A74" s="1" t="s">
        <v>21</v>
      </c>
      <c r="B74">
        <v>6</v>
      </c>
      <c r="C74">
        <v>60.986768048696263</v>
      </c>
      <c r="D74">
        <v>1.7702538441000001E-2</v>
      </c>
      <c r="E74">
        <v>60.988271984320008</v>
      </c>
      <c r="F74">
        <v>5.0326606880000003E-3</v>
      </c>
      <c r="G74">
        <v>60.988623553686594</v>
      </c>
      <c r="H74">
        <v>4.5053848160000005E-3</v>
      </c>
      <c r="I74">
        <v>1.5039356237451784E-3</v>
      </c>
      <c r="J74">
        <v>3.5156936658609084E-4</v>
      </c>
    </row>
    <row r="75" spans="1:10" x14ac:dyDescent="0.2">
      <c r="A75" t="s">
        <v>22</v>
      </c>
    </row>
    <row r="76" spans="1:10" x14ac:dyDescent="0.2">
      <c r="A76" s="1" t="s">
        <v>23</v>
      </c>
      <c r="B76">
        <v>1</v>
      </c>
      <c r="C76">
        <v>25.072905881054318</v>
      </c>
      <c r="D76">
        <v>1.8519083714999999E-2</v>
      </c>
      <c r="E76">
        <v>25.075093423779762</v>
      </c>
      <c r="F76">
        <v>4.806249405E-3</v>
      </c>
      <c r="G76">
        <v>25.075816094144415</v>
      </c>
      <c r="H76">
        <v>3.5149117370000004E-3</v>
      </c>
      <c r="I76">
        <v>2.1875427254443025E-3</v>
      </c>
      <c r="J76">
        <v>7.2267036465234469E-4</v>
      </c>
    </row>
    <row r="77" spans="1:10" x14ac:dyDescent="0.2">
      <c r="A77" s="1" t="s">
        <v>23</v>
      </c>
      <c r="B77">
        <v>2</v>
      </c>
      <c r="C77">
        <v>55.283687057928866</v>
      </c>
      <c r="D77">
        <v>1.9396656288999999E-2</v>
      </c>
      <c r="E77">
        <v>55.285659752708064</v>
      </c>
      <c r="F77">
        <v>8.9176586060000004E-3</v>
      </c>
      <c r="G77">
        <v>55.286343359809763</v>
      </c>
      <c r="H77">
        <v>4.7903823070000002E-3</v>
      </c>
      <c r="I77">
        <v>1.9726947791980365E-3</v>
      </c>
      <c r="J77">
        <v>6.8360710169912409E-4</v>
      </c>
    </row>
    <row r="78" spans="1:10" x14ac:dyDescent="0.2">
      <c r="A78" s="1" t="s">
        <v>23</v>
      </c>
      <c r="B78">
        <v>3</v>
      </c>
      <c r="C78">
        <v>65.610567342348489</v>
      </c>
      <c r="D78">
        <v>1.8400080480000001E-2</v>
      </c>
      <c r="E78">
        <v>65.612559568759153</v>
      </c>
      <c r="F78">
        <v>7.1265073510000006E-3</v>
      </c>
      <c r="G78">
        <v>65.613145517703472</v>
      </c>
      <c r="H78">
        <v>4.4126233200000005E-3</v>
      </c>
      <c r="I78">
        <v>1.9922264106639886E-3</v>
      </c>
      <c r="J78">
        <v>5.859489443196253E-4</v>
      </c>
    </row>
    <row r="79" spans="1:10" x14ac:dyDescent="0.2">
      <c r="A79" s="1" t="s">
        <v>23</v>
      </c>
      <c r="B79">
        <v>4</v>
      </c>
      <c r="C79">
        <v>72.730838601906299</v>
      </c>
      <c r="D79">
        <v>1.941923639E-2</v>
      </c>
      <c r="E79">
        <v>72.732830828316963</v>
      </c>
      <c r="F79">
        <v>8.5539358979999994E-3</v>
      </c>
      <c r="G79">
        <v>72.73353396705015</v>
      </c>
      <c r="H79">
        <v>5.4982989870000004E-3</v>
      </c>
      <c r="I79">
        <v>1.9922264106639886E-3</v>
      </c>
      <c r="J79">
        <v>7.0313873318639253E-4</v>
      </c>
    </row>
    <row r="80" spans="1:10" x14ac:dyDescent="0.2">
      <c r="A80" s="1" t="s">
        <v>23</v>
      </c>
      <c r="B80">
        <v>5</v>
      </c>
      <c r="C80">
        <v>80.041378743721552</v>
      </c>
      <c r="D80">
        <v>1.6189061400999998E-2</v>
      </c>
      <c r="E80">
        <v>80.04339050176371</v>
      </c>
      <c r="F80">
        <v>6.9208453499999996E-3</v>
      </c>
      <c r="G80">
        <v>80.044035045602456</v>
      </c>
      <c r="H80">
        <v>4.8507993340000007E-3</v>
      </c>
      <c r="I80">
        <v>2.0117580421583625E-3</v>
      </c>
      <c r="J80">
        <v>6.4454383874590349E-4</v>
      </c>
    </row>
    <row r="81" spans="1:10" x14ac:dyDescent="0.2">
      <c r="A81" s="1" t="s">
        <v>23</v>
      </c>
      <c r="B81">
        <v>6</v>
      </c>
      <c r="C81">
        <v>95.311750066405594</v>
      </c>
      <c r="D81">
        <v>1.9980687549999997E-2</v>
      </c>
      <c r="E81">
        <v>95.313781356079218</v>
      </c>
      <c r="F81">
        <v>8.1029441509999998E-3</v>
      </c>
      <c r="G81">
        <v>95.314425899917964</v>
      </c>
      <c r="H81">
        <v>4.7800076660000001E-3</v>
      </c>
      <c r="I81">
        <v>2.0312896736243147E-3</v>
      </c>
      <c r="J81">
        <v>6.4454383874590349E-4</v>
      </c>
    </row>
    <row r="82" spans="1:10" x14ac:dyDescent="0.2">
      <c r="A82" t="s">
        <v>24</v>
      </c>
    </row>
    <row r="83" spans="1:10" x14ac:dyDescent="0.2">
      <c r="A83" s="1" t="s">
        <v>25</v>
      </c>
      <c r="B83">
        <v>1</v>
      </c>
      <c r="C83">
        <v>3.5412636020195709</v>
      </c>
      <c r="D83">
        <v>1.5966922028999998E-2</v>
      </c>
      <c r="E83">
        <v>3.5432558284302429</v>
      </c>
      <c r="F83">
        <v>3.8322536970000001E-3</v>
      </c>
      <c r="G83">
        <v>3.5438808406375126</v>
      </c>
      <c r="H83">
        <v>3.589365043E-3</v>
      </c>
      <c r="I83">
        <v>1.9922264106719823E-3</v>
      </c>
      <c r="J83">
        <v>6.2501220726973727E-4</v>
      </c>
    </row>
    <row r="84" spans="1:10" x14ac:dyDescent="0.2">
      <c r="A84" s="1" t="s">
        <v>25</v>
      </c>
      <c r="B84">
        <v>2</v>
      </c>
      <c r="C84">
        <v>13.394527692011563</v>
      </c>
      <c r="D84">
        <v>1.5354207937E-2</v>
      </c>
      <c r="E84">
        <v>13.396402728633372</v>
      </c>
      <c r="F84">
        <v>3.7370511090000003E-3</v>
      </c>
      <c r="G84">
        <v>13.397008209209165</v>
      </c>
      <c r="H84">
        <v>3.8292023320000003E-3</v>
      </c>
      <c r="I84">
        <v>1.8750366218096559E-3</v>
      </c>
      <c r="J84">
        <v>6.0548057579268288E-4</v>
      </c>
    </row>
    <row r="85" spans="1:10" x14ac:dyDescent="0.2">
      <c r="A85" s="1" t="s">
        <v>25</v>
      </c>
      <c r="B85">
        <v>3</v>
      </c>
      <c r="C85">
        <v>21.496836509334166</v>
      </c>
      <c r="D85">
        <v>1.6098740997E-2</v>
      </c>
      <c r="E85">
        <v>21.498672482693021</v>
      </c>
      <c r="F85">
        <v>3.9817705820000002E-3</v>
      </c>
      <c r="G85">
        <v>21.499258431637337</v>
      </c>
      <c r="H85">
        <v>3.2823977240000004E-3</v>
      </c>
      <c r="I85">
        <v>1.835973358854659E-3</v>
      </c>
      <c r="J85">
        <v>5.8594894431607258E-4</v>
      </c>
    </row>
    <row r="86" spans="1:10" x14ac:dyDescent="0.2">
      <c r="A86" s="1" t="s">
        <v>25</v>
      </c>
      <c r="B86">
        <v>4</v>
      </c>
      <c r="C86">
        <v>36.010941955518668</v>
      </c>
      <c r="D86">
        <v>1.5450631071E-2</v>
      </c>
      <c r="E86">
        <v>36.012797460508999</v>
      </c>
      <c r="F86">
        <v>4.0116739590000004E-3</v>
      </c>
      <c r="G86">
        <v>36.013402941084792</v>
      </c>
      <c r="H86">
        <v>4.518200549E-3</v>
      </c>
      <c r="I86">
        <v>1.8555049903312693E-3</v>
      </c>
      <c r="J86">
        <v>6.0548057579268288E-4</v>
      </c>
    </row>
    <row r="87" spans="1:10" x14ac:dyDescent="0.2">
      <c r="A87" s="1" t="s">
        <v>25</v>
      </c>
      <c r="B87">
        <v>5</v>
      </c>
      <c r="C87">
        <v>52.254117695398342</v>
      </c>
      <c r="D87">
        <v>1.5852800978000001E-2</v>
      </c>
      <c r="E87">
        <v>52.25593413712572</v>
      </c>
      <c r="F87">
        <v>4.8611739750000008E-3</v>
      </c>
      <c r="G87">
        <v>52.25652008607004</v>
      </c>
      <c r="H87">
        <v>4.6182853210000006E-3</v>
      </c>
      <c r="I87">
        <v>1.8164417273780487E-3</v>
      </c>
      <c r="J87">
        <v>5.859489443196253E-4</v>
      </c>
    </row>
    <row r="88" spans="1:10" x14ac:dyDescent="0.2">
      <c r="A88" t="s">
        <v>26</v>
      </c>
    </row>
    <row r="89" spans="1:10" x14ac:dyDescent="0.2">
      <c r="A89" s="1" t="s">
        <v>27</v>
      </c>
      <c r="B89">
        <v>1</v>
      </c>
      <c r="C89">
        <v>16.486224300755875</v>
      </c>
      <c r="D89">
        <v>1.8960921366999998E-2</v>
      </c>
      <c r="E89">
        <v>16.488587628164613</v>
      </c>
      <c r="F89">
        <v>6.1073514410000009E-3</v>
      </c>
      <c r="G89">
        <v>16.489271235266315</v>
      </c>
      <c r="H89">
        <v>5.7576650120000003E-3</v>
      </c>
      <c r="I89">
        <v>2.3633274087373479E-3</v>
      </c>
      <c r="J89">
        <v>6.836071017026768E-4</v>
      </c>
    </row>
    <row r="90" spans="1:10" x14ac:dyDescent="0.2">
      <c r="A90" s="1" t="s">
        <v>27</v>
      </c>
      <c r="B90">
        <v>2</v>
      </c>
      <c r="C90">
        <v>36.453866649633781</v>
      </c>
      <c r="D90">
        <v>2.2252733928999999E-2</v>
      </c>
      <c r="E90">
        <v>36.456190913779565</v>
      </c>
      <c r="F90">
        <v>6.8738543290000004E-3</v>
      </c>
      <c r="G90">
        <v>36.456991710670131</v>
      </c>
      <c r="H90">
        <v>6.3148442610000003E-3</v>
      </c>
      <c r="I90">
        <v>2.3242641457841273E-3</v>
      </c>
      <c r="J90">
        <v>8.0079689056589132E-4</v>
      </c>
    </row>
    <row r="91" spans="1:10" x14ac:dyDescent="0.2">
      <c r="A91" s="1" t="s">
        <v>27</v>
      </c>
      <c r="B91">
        <v>3</v>
      </c>
      <c r="C91">
        <v>65.84731022678568</v>
      </c>
      <c r="D91">
        <v>1.8097995344999999E-2</v>
      </c>
      <c r="E91">
        <v>65.849536832774078</v>
      </c>
      <c r="F91">
        <v>7.4353054889999999E-3</v>
      </c>
      <c r="G91">
        <v>65.850181376612824</v>
      </c>
      <c r="H91">
        <v>5.2914164400000002E-3</v>
      </c>
      <c r="I91">
        <v>2.2266059883975231E-3</v>
      </c>
      <c r="J91">
        <v>6.4454383874590349E-4</v>
      </c>
    </row>
    <row r="92" spans="1:10" x14ac:dyDescent="0.2">
      <c r="A92" s="1" t="s">
        <v>27</v>
      </c>
      <c r="B92">
        <v>4</v>
      </c>
      <c r="C92">
        <v>76.087066387437247</v>
      </c>
      <c r="D92">
        <v>1.8138273363000001E-2</v>
      </c>
      <c r="E92">
        <v>76.089351588320085</v>
      </c>
      <c r="F92">
        <v>6.3728201960000005E-3</v>
      </c>
      <c r="G92">
        <v>76.089976600527351</v>
      </c>
      <c r="H92">
        <v>6.2739559699999999E-3</v>
      </c>
      <c r="I92">
        <v>2.2852008828380121E-3</v>
      </c>
      <c r="J92">
        <v>6.2501220726574047E-4</v>
      </c>
    </row>
    <row r="93" spans="1:10" x14ac:dyDescent="0.2">
      <c r="A93" s="1" t="s">
        <v>27</v>
      </c>
      <c r="B93">
        <v>5</v>
      </c>
      <c r="C93">
        <v>86.309213260028514</v>
      </c>
      <c r="D93">
        <v>1.6943358828999999E-2</v>
      </c>
      <c r="E93">
        <v>86.311459397648392</v>
      </c>
      <c r="F93">
        <v>7.2064531140000002E-3</v>
      </c>
      <c r="G93">
        <v>86.312064878224177</v>
      </c>
      <c r="H93">
        <v>5.7649882880000001E-3</v>
      </c>
      <c r="I93">
        <v>2.2461376198776861E-3</v>
      </c>
      <c r="J93">
        <v>6.0548057578557746E-4</v>
      </c>
    </row>
    <row r="94" spans="1:10" x14ac:dyDescent="0.2">
      <c r="A94" t="s">
        <v>28</v>
      </c>
    </row>
    <row r="95" spans="1:10" x14ac:dyDescent="0.2">
      <c r="A95" s="1" t="s">
        <v>29</v>
      </c>
      <c r="B95">
        <v>1</v>
      </c>
      <c r="C95">
        <v>5.5011900341686362</v>
      </c>
      <c r="D95">
        <v>1.99501739E-2</v>
      </c>
      <c r="E95">
        <v>5.5036705513662376</v>
      </c>
      <c r="F95">
        <v>5.6868733440000006E-3</v>
      </c>
      <c r="G95">
        <v>5.5045104115197567</v>
      </c>
      <c r="H95">
        <v>3.6369663370000001E-3</v>
      </c>
      <c r="I95">
        <v>2.4805171976014506E-3</v>
      </c>
      <c r="J95">
        <v>8.3986015351911192E-4</v>
      </c>
    </row>
    <row r="96" spans="1:10" x14ac:dyDescent="0.2">
      <c r="A96" s="1" t="s">
        <v>29</v>
      </c>
      <c r="B96">
        <v>2</v>
      </c>
      <c r="C96">
        <v>15.444246238910916</v>
      </c>
      <c r="D96">
        <v>1.9217846299999997E-2</v>
      </c>
      <c r="E96">
        <v>15.446414250004882</v>
      </c>
      <c r="F96">
        <v>3.4197091490000002E-3</v>
      </c>
      <c r="G96">
        <v>15.447136920369537</v>
      </c>
      <c r="H96">
        <v>3.3452558430000002E-3</v>
      </c>
      <c r="I96">
        <v>2.1680110939659158E-3</v>
      </c>
      <c r="J96">
        <v>7.226703646558974E-4</v>
      </c>
    </row>
    <row r="97" spans="1:10" x14ac:dyDescent="0.2">
      <c r="A97" s="1" t="s">
        <v>29</v>
      </c>
      <c r="B97">
        <v>3</v>
      </c>
      <c r="C97">
        <v>23.099511146928652</v>
      </c>
      <c r="D97">
        <v>1.7135594824000001E-2</v>
      </c>
      <c r="E97">
        <v>23.101503373339323</v>
      </c>
      <c r="F97">
        <v>4.8654458860000003E-3</v>
      </c>
      <c r="G97">
        <v>23.102186980441026</v>
      </c>
      <c r="H97">
        <v>4.0714807129999999E-3</v>
      </c>
      <c r="I97">
        <v>1.9922264106710941E-3</v>
      </c>
      <c r="J97">
        <v>6.836071017026768E-4</v>
      </c>
    </row>
    <row r="98" spans="1:10" x14ac:dyDescent="0.2">
      <c r="A98" s="1" t="s">
        <v>29</v>
      </c>
      <c r="B98">
        <v>4</v>
      </c>
      <c r="C98">
        <v>32.261369040705873</v>
      </c>
      <c r="D98">
        <v>2.0756344532999998E-2</v>
      </c>
      <c r="E98">
        <v>32.263400330379504</v>
      </c>
      <c r="F98">
        <v>4.100773817E-3</v>
      </c>
      <c r="G98">
        <v>32.264123000744156</v>
      </c>
      <c r="H98">
        <v>3.4831775410000001E-3</v>
      </c>
      <c r="I98">
        <v>2.0312896736314201E-3</v>
      </c>
      <c r="J98">
        <v>7.2267036465234469E-4</v>
      </c>
    </row>
    <row r="99" spans="1:10" x14ac:dyDescent="0.2">
      <c r="A99" s="1" t="s">
        <v>29</v>
      </c>
      <c r="B99">
        <v>5</v>
      </c>
      <c r="C99">
        <v>39.843969234065121</v>
      </c>
      <c r="D99">
        <v>1.9237985308999998E-2</v>
      </c>
      <c r="E99">
        <v>39.845902865581358</v>
      </c>
      <c r="F99">
        <v>6.3288805399999998E-3</v>
      </c>
      <c r="G99">
        <v>39.846449751262718</v>
      </c>
      <c r="H99">
        <v>3.7376613820000004E-3</v>
      </c>
      <c r="I99">
        <v>1.9336315162377105E-3</v>
      </c>
      <c r="J99">
        <v>5.4688568135929927E-4</v>
      </c>
    </row>
    <row r="100" spans="1:10" x14ac:dyDescent="0.2">
      <c r="A100" s="1" t="s">
        <v>29</v>
      </c>
      <c r="B100">
        <v>6</v>
      </c>
      <c r="C100">
        <v>45.522701117070646</v>
      </c>
      <c r="D100">
        <v>1.9765261180999999E-2</v>
      </c>
      <c r="E100">
        <v>45.524654280218364</v>
      </c>
      <c r="F100">
        <v>5.1162680890000003E-3</v>
      </c>
      <c r="G100">
        <v>45.525240229162677</v>
      </c>
      <c r="H100">
        <v>3.4294735170000003E-3</v>
      </c>
      <c r="I100">
        <v>1.9531631477178735E-3</v>
      </c>
      <c r="J100">
        <v>5.8594894431251987E-4</v>
      </c>
    </row>
    <row r="101" spans="1:10" x14ac:dyDescent="0.2">
      <c r="A101" t="s">
        <v>30</v>
      </c>
    </row>
    <row r="102" spans="1:10" x14ac:dyDescent="0.2">
      <c r="A102" s="1" t="s">
        <v>31</v>
      </c>
      <c r="B102">
        <v>1</v>
      </c>
      <c r="C102">
        <v>5.3658336493095566</v>
      </c>
      <c r="D102">
        <v>1.7000114218E-2</v>
      </c>
      <c r="E102">
        <v>5.3681579134553408</v>
      </c>
      <c r="F102">
        <v>6.0823302480000003E-3</v>
      </c>
      <c r="G102">
        <v>5.3687633940311335</v>
      </c>
      <c r="H102">
        <v>4.8178445920000002E-3</v>
      </c>
      <c r="I102">
        <v>2.3242641457841273E-3</v>
      </c>
      <c r="J102">
        <v>6.0548057579268288E-4</v>
      </c>
    </row>
    <row r="103" spans="1:10" x14ac:dyDescent="0.2">
      <c r="A103" s="1" t="s">
        <v>31</v>
      </c>
      <c r="B103">
        <v>2</v>
      </c>
      <c r="C103">
        <v>28.209431081284791</v>
      </c>
      <c r="D103">
        <v>2.1037680385999999E-2</v>
      </c>
      <c r="E103">
        <v>28.211677218904669</v>
      </c>
      <c r="F103">
        <v>8.4080806510000005E-3</v>
      </c>
      <c r="G103">
        <v>28.212399889269324</v>
      </c>
      <c r="H103">
        <v>4.787941215E-3</v>
      </c>
      <c r="I103">
        <v>2.2461376198776861E-3</v>
      </c>
      <c r="J103">
        <v>7.226703646558974E-4</v>
      </c>
    </row>
    <row r="104" spans="1:10" x14ac:dyDescent="0.2">
      <c r="A104" s="1" t="s">
        <v>31</v>
      </c>
      <c r="B104">
        <v>3</v>
      </c>
      <c r="C104">
        <v>38.636376262188719</v>
      </c>
      <c r="D104">
        <v>1.6007200047E-2</v>
      </c>
      <c r="E104">
        <v>38.638602868177117</v>
      </c>
      <c r="F104">
        <v>5.9169462650000004E-3</v>
      </c>
      <c r="G104">
        <v>38.639227880384382</v>
      </c>
      <c r="H104">
        <v>3.691890907E-3</v>
      </c>
      <c r="I104">
        <v>2.2266059883975231E-3</v>
      </c>
      <c r="J104">
        <v>6.2501220726574047E-4</v>
      </c>
    </row>
    <row r="105" spans="1:10" x14ac:dyDescent="0.2">
      <c r="A105" s="1" t="s">
        <v>31</v>
      </c>
      <c r="B105">
        <v>4</v>
      </c>
      <c r="C105">
        <v>59.174963719412489</v>
      </c>
      <c r="D105">
        <v>1.9099453337999998E-2</v>
      </c>
      <c r="E105">
        <v>59.177229388663847</v>
      </c>
      <c r="F105">
        <v>7.8948410580000003E-3</v>
      </c>
      <c r="G105">
        <v>59.177912995765546</v>
      </c>
      <c r="H105">
        <v>4.0489006120000004E-3</v>
      </c>
      <c r="I105">
        <v>2.2656692513578491E-3</v>
      </c>
      <c r="J105">
        <v>6.8360710169912409E-4</v>
      </c>
    </row>
    <row r="106" spans="1:10" x14ac:dyDescent="0.2">
      <c r="A106" s="1" t="s">
        <v>31</v>
      </c>
      <c r="B106">
        <v>5</v>
      </c>
      <c r="C106">
        <v>84.100406528109929</v>
      </c>
      <c r="D106">
        <v>1.9413743932999997E-2</v>
      </c>
      <c r="E106">
        <v>84.102652665729806</v>
      </c>
      <c r="F106">
        <v>8.2646664960000001E-3</v>
      </c>
      <c r="G106">
        <v>84.103394867725939</v>
      </c>
      <c r="H106">
        <v>4.7574275649999997E-3</v>
      </c>
      <c r="I106">
        <v>2.2461376198776861E-3</v>
      </c>
      <c r="J106">
        <v>7.422019961325077E-4</v>
      </c>
    </row>
    <row r="107" spans="1:10" x14ac:dyDescent="0.2">
      <c r="A107" s="1" t="s">
        <v>31</v>
      </c>
      <c r="B107">
        <v>6</v>
      </c>
      <c r="C107">
        <v>111.39713352691068</v>
      </c>
      <c r="D107">
        <v>2.1027916017999998E-2</v>
      </c>
      <c r="E107">
        <v>111.39941872779352</v>
      </c>
      <c r="F107">
        <v>9.0763295859999996E-3</v>
      </c>
      <c r="G107">
        <v>111.40014139815817</v>
      </c>
      <c r="H107">
        <v>3.3940776830000004E-3</v>
      </c>
      <c r="I107">
        <v>2.2852008828380121E-3</v>
      </c>
      <c r="J107">
        <v>7.2267036465234469E-4</v>
      </c>
    </row>
    <row r="108" spans="1:10" x14ac:dyDescent="0.2">
      <c r="A108" t="s">
        <v>32</v>
      </c>
    </row>
    <row r="109" spans="1:10" x14ac:dyDescent="0.2">
      <c r="A109" s="1" t="s">
        <v>33</v>
      </c>
      <c r="B109">
        <v>1</v>
      </c>
      <c r="C109">
        <v>6.2755982466766929</v>
      </c>
      <c r="D109">
        <v>1.9984349187999999E-2</v>
      </c>
      <c r="E109">
        <v>6.2775904730873648</v>
      </c>
      <c r="F109">
        <v>7.4707013229999997E-3</v>
      </c>
      <c r="G109">
        <v>6.2782350169261116</v>
      </c>
      <c r="H109">
        <v>4.4644965250000002E-3</v>
      </c>
      <c r="I109">
        <v>1.9922264106719823E-3</v>
      </c>
      <c r="J109">
        <v>6.4454383874679166E-4</v>
      </c>
    </row>
    <row r="110" spans="1:10" x14ac:dyDescent="0.2">
      <c r="A110" s="1" t="s">
        <v>33</v>
      </c>
      <c r="B110">
        <v>2</v>
      </c>
      <c r="C110">
        <v>40.471388280669544</v>
      </c>
      <c r="D110">
        <v>1.6333696102E-2</v>
      </c>
      <c r="E110">
        <v>40.473341443817262</v>
      </c>
      <c r="F110">
        <v>5.1748542970000005E-3</v>
      </c>
      <c r="G110">
        <v>40.473985987656008</v>
      </c>
      <c r="H110">
        <v>4.0128945050000005E-3</v>
      </c>
      <c r="I110">
        <v>1.9531631477178735E-3</v>
      </c>
      <c r="J110">
        <v>6.4454383874590349E-4</v>
      </c>
    </row>
    <row r="111" spans="1:10" x14ac:dyDescent="0.2">
      <c r="A111" s="1" t="s">
        <v>33</v>
      </c>
      <c r="B111">
        <v>3</v>
      </c>
      <c r="C111">
        <v>55.988887986804436</v>
      </c>
      <c r="D111">
        <v>1.8165125375000001E-2</v>
      </c>
      <c r="E111">
        <v>55.990684896900333</v>
      </c>
      <c r="F111">
        <v>6.2635813289999998E-3</v>
      </c>
      <c r="G111">
        <v>55.991231782581693</v>
      </c>
      <c r="H111">
        <v>3.478295357E-3</v>
      </c>
      <c r="I111">
        <v>1.7969100958978856E-3</v>
      </c>
      <c r="J111">
        <v>5.4688568135929927E-4</v>
      </c>
    </row>
    <row r="112" spans="1:10" x14ac:dyDescent="0.2">
      <c r="A112" s="1" t="s">
        <v>33</v>
      </c>
      <c r="B112">
        <v>4</v>
      </c>
      <c r="C112">
        <v>77.149409024955574</v>
      </c>
      <c r="D112">
        <v>2.2081247215999997E-2</v>
      </c>
      <c r="E112">
        <v>77.151166871788519</v>
      </c>
      <c r="F112">
        <v>7.8991129689999998E-3</v>
      </c>
      <c r="G112">
        <v>77.151830947258745</v>
      </c>
      <c r="H112">
        <v>3.4068934160000003E-3</v>
      </c>
      <c r="I112">
        <v>1.757846832944665E-3</v>
      </c>
      <c r="J112">
        <v>6.640754702260665E-4</v>
      </c>
    </row>
    <row r="113" spans="1:10" x14ac:dyDescent="0.2">
      <c r="A113" t="s">
        <v>34</v>
      </c>
    </row>
    <row r="114" spans="1:10" x14ac:dyDescent="0.2">
      <c r="A114" s="2" t="s">
        <v>35</v>
      </c>
      <c r="B114">
        <v>1</v>
      </c>
      <c r="C114">
        <v>5.3404314418973025</v>
      </c>
      <c r="D114">
        <v>1.3307352295E-2</v>
      </c>
      <c r="E114">
        <v>5.3425213264653602</v>
      </c>
      <c r="F114">
        <v>5.2999602620000001E-3</v>
      </c>
      <c r="G114">
        <v>5.3432049335670619</v>
      </c>
      <c r="H114">
        <v>2.7667170390000004E-3</v>
      </c>
      <c r="I114">
        <v>2.0898845680576983E-3</v>
      </c>
      <c r="J114">
        <v>6.8360710170178862E-4</v>
      </c>
    </row>
    <row r="115" spans="1:10" x14ac:dyDescent="0.2">
      <c r="A115" s="1" t="s">
        <v>35</v>
      </c>
      <c r="B115">
        <v>2</v>
      </c>
      <c r="C115">
        <v>14.734809357983554</v>
      </c>
      <c r="D115">
        <v>1.9468058229999998E-2</v>
      </c>
      <c r="E115">
        <v>14.736860179288659</v>
      </c>
      <c r="F115">
        <v>7.8191672060000002E-3</v>
      </c>
      <c r="G115">
        <v>14.737680507810699</v>
      </c>
      <c r="H115">
        <v>3.2720230830000003E-3</v>
      </c>
      <c r="I115">
        <v>2.0508213051044777E-3</v>
      </c>
      <c r="J115">
        <v>8.2032852204072526E-4</v>
      </c>
    </row>
    <row r="116" spans="1:10" x14ac:dyDescent="0.2">
      <c r="A116" s="1" t="s">
        <v>35</v>
      </c>
      <c r="B116">
        <v>3</v>
      </c>
      <c r="C116">
        <v>24.064910838744897</v>
      </c>
      <c r="D116">
        <v>1.8838866767000001E-2</v>
      </c>
      <c r="E116">
        <v>24.066922596787048</v>
      </c>
      <c r="F116">
        <v>8.3610896300000005E-3</v>
      </c>
      <c r="G116">
        <v>24.067762456940567</v>
      </c>
      <c r="H116">
        <v>3.7931962250000004E-3</v>
      </c>
      <c r="I116">
        <v>2.0117580421512571E-3</v>
      </c>
      <c r="J116">
        <v>8.3986015351911192E-4</v>
      </c>
    </row>
    <row r="117" spans="1:10" x14ac:dyDescent="0.2">
      <c r="A117" s="1" t="s">
        <v>35</v>
      </c>
      <c r="B117">
        <v>4</v>
      </c>
      <c r="C117">
        <v>34.38576038515987</v>
      </c>
      <c r="D117">
        <v>1.5980348035000001E-2</v>
      </c>
      <c r="E117">
        <v>34.387830738096447</v>
      </c>
      <c r="F117">
        <v>7.5140307059999994E-3</v>
      </c>
      <c r="G117">
        <v>34.388514345198153</v>
      </c>
      <c r="H117">
        <v>3.3776003120000002E-3</v>
      </c>
      <c r="I117">
        <v>2.0703529365775353E-3</v>
      </c>
      <c r="J117">
        <v>6.8360710170622951E-4</v>
      </c>
    </row>
    <row r="118" spans="1:10" x14ac:dyDescent="0.2">
      <c r="A118" s="1" t="s">
        <v>35</v>
      </c>
      <c r="B118">
        <v>5</v>
      </c>
      <c r="C118">
        <v>46.779385969911523</v>
      </c>
      <c r="D118">
        <v>1.8981060375999999E-2</v>
      </c>
      <c r="E118">
        <v>46.781436791216628</v>
      </c>
      <c r="F118">
        <v>8.561869447000001E-3</v>
      </c>
      <c r="G118">
        <v>46.782257119738667</v>
      </c>
      <c r="H118">
        <v>3.2354067030000004E-3</v>
      </c>
      <c r="I118">
        <v>2.0508213051044777E-3</v>
      </c>
      <c r="J118">
        <v>8.203285220389489E-4</v>
      </c>
    </row>
    <row r="119" spans="1:10" x14ac:dyDescent="0.2">
      <c r="A119" s="1" t="s">
        <v>35</v>
      </c>
      <c r="B119">
        <v>6</v>
      </c>
      <c r="C119">
        <v>55.666651300171878</v>
      </c>
      <c r="D119">
        <v>1.3835238440000001E-2</v>
      </c>
      <c r="E119">
        <v>55.668741184739943</v>
      </c>
      <c r="F119">
        <v>7.2638187760000004E-3</v>
      </c>
      <c r="G119">
        <v>55.669444323473115</v>
      </c>
      <c r="H119">
        <v>3.1517993020000004E-3</v>
      </c>
      <c r="I119">
        <v>2.0898845680648037E-3</v>
      </c>
      <c r="J119">
        <v>7.0313873317218167E-4</v>
      </c>
    </row>
    <row r="120" spans="1:10" x14ac:dyDescent="0.2">
      <c r="A120" t="s">
        <v>36</v>
      </c>
    </row>
    <row r="121" spans="1:10" x14ac:dyDescent="0.2">
      <c r="A121" s="1" t="s">
        <v>37</v>
      </c>
      <c r="B121">
        <v>1</v>
      </c>
      <c r="C121">
        <v>5.4526446922146912</v>
      </c>
      <c r="D121">
        <v>1.6525321823999999E-2</v>
      </c>
      <c r="E121">
        <v>5.4552033359382017</v>
      </c>
      <c r="F121">
        <v>4.7922131260000004E-3</v>
      </c>
      <c r="G121">
        <v>5.4558869430399026</v>
      </c>
      <c r="H121">
        <v>3.7028758210000002E-3</v>
      </c>
      <c r="I121">
        <v>2.5586437235105564E-3</v>
      </c>
      <c r="J121">
        <v>6.8360710170090044E-4</v>
      </c>
    </row>
    <row r="122" spans="1:10" x14ac:dyDescent="0.2">
      <c r="A122" s="1" t="s">
        <v>37</v>
      </c>
      <c r="B122">
        <v>2</v>
      </c>
      <c r="C122">
        <v>15.655393164751265</v>
      </c>
      <c r="D122">
        <v>1.5589773315000001E-2</v>
      </c>
      <c r="E122">
        <v>15.657795555422959</v>
      </c>
      <c r="F122">
        <v>5.4085888560000007E-3</v>
      </c>
      <c r="G122">
        <v>15.658440099261705</v>
      </c>
      <c r="H122">
        <v>4.8965698090000006E-3</v>
      </c>
      <c r="I122">
        <v>2.4023906716941212E-3</v>
      </c>
      <c r="J122">
        <v>6.4454383874590349E-4</v>
      </c>
    </row>
    <row r="123" spans="1:10" x14ac:dyDescent="0.2">
      <c r="A123" s="1" t="s">
        <v>37</v>
      </c>
      <c r="B123">
        <v>3</v>
      </c>
      <c r="C123">
        <v>41.980220238504657</v>
      </c>
      <c r="D123">
        <v>2.0435951208E-2</v>
      </c>
      <c r="E123">
        <v>41.982817945491121</v>
      </c>
      <c r="F123">
        <v>7.902164334000001E-3</v>
      </c>
      <c r="G123">
        <v>41.983579679118733</v>
      </c>
      <c r="H123">
        <v>5.0802619820000004E-3</v>
      </c>
      <c r="I123">
        <v>2.597706986463777E-3</v>
      </c>
      <c r="J123">
        <v>7.6173362761267072E-4</v>
      </c>
    </row>
    <row r="124" spans="1:10" x14ac:dyDescent="0.2">
      <c r="A124" s="1" t="s">
        <v>37</v>
      </c>
      <c r="B124">
        <v>4</v>
      </c>
      <c r="C124">
        <v>50.745158097083923</v>
      </c>
      <c r="D124">
        <v>1.6961667018999999E-2</v>
      </c>
      <c r="E124">
        <v>50.747697209175961</v>
      </c>
      <c r="F124">
        <v>6.0005536660000004E-3</v>
      </c>
      <c r="G124">
        <v>50.74836128464618</v>
      </c>
      <c r="H124">
        <v>4.6591736120000001E-3</v>
      </c>
      <c r="I124">
        <v>2.5391120920374988E-3</v>
      </c>
      <c r="J124">
        <v>6.6407547021896107E-4</v>
      </c>
    </row>
    <row r="125" spans="1:10" x14ac:dyDescent="0.2">
      <c r="A125" s="1" t="s">
        <v>37</v>
      </c>
      <c r="B125">
        <v>5</v>
      </c>
      <c r="C125">
        <v>58.795818210824429</v>
      </c>
      <c r="D125">
        <v>1.9343562538E-2</v>
      </c>
      <c r="E125">
        <v>58.798376854547939</v>
      </c>
      <c r="F125">
        <v>7.2815166929999994E-3</v>
      </c>
      <c r="G125">
        <v>58.799060461649646</v>
      </c>
      <c r="H125">
        <v>5.5825166610000004E-3</v>
      </c>
      <c r="I125">
        <v>2.5586437235105564E-3</v>
      </c>
      <c r="J125">
        <v>6.8360710170622951E-4</v>
      </c>
    </row>
    <row r="126" spans="1:10" x14ac:dyDescent="0.2">
      <c r="A126" s="1" t="s">
        <v>37</v>
      </c>
      <c r="B126">
        <v>6</v>
      </c>
      <c r="C126">
        <v>66.673430032235004</v>
      </c>
      <c r="D126">
        <v>1.7065413429E-2</v>
      </c>
      <c r="E126">
        <v>66.676086334115908</v>
      </c>
      <c r="F126">
        <v>6.2434423200000005E-3</v>
      </c>
      <c r="G126">
        <v>66.67675040958612</v>
      </c>
      <c r="H126">
        <v>4.4803636229999999E-3</v>
      </c>
      <c r="I126">
        <v>2.656301880904266E-3</v>
      </c>
      <c r="J126">
        <v>6.6407547021185565E-4</v>
      </c>
    </row>
    <row r="127" spans="1:10" x14ac:dyDescent="0.2">
      <c r="A127" t="s">
        <v>38</v>
      </c>
    </row>
    <row r="128" spans="1:10" x14ac:dyDescent="0.2">
      <c r="A128" s="1" t="s">
        <v>39</v>
      </c>
      <c r="B128">
        <v>1</v>
      </c>
      <c r="C128">
        <v>3.3692520999218734</v>
      </c>
      <c r="D128">
        <v>1.7400453305999999E-2</v>
      </c>
      <c r="E128">
        <v>3.3712833895954994</v>
      </c>
      <c r="F128">
        <v>6.3850256559999999E-3</v>
      </c>
      <c r="G128">
        <v>3.3719865283286778</v>
      </c>
      <c r="H128">
        <v>3.5966883190000003E-3</v>
      </c>
      <c r="I128">
        <v>2.031289673626091E-3</v>
      </c>
      <c r="J128">
        <v>7.0313873317839892E-4</v>
      </c>
    </row>
    <row r="129" spans="1:10" x14ac:dyDescent="0.2">
      <c r="A129" s="1" t="s">
        <v>39</v>
      </c>
      <c r="B129">
        <v>2</v>
      </c>
      <c r="C129">
        <v>33.386472771374436</v>
      </c>
      <c r="D129">
        <v>1.9056734228E-2</v>
      </c>
      <c r="E129">
        <v>33.38836733962772</v>
      </c>
      <c r="F129">
        <v>7.9277957999999999E-3</v>
      </c>
      <c r="G129">
        <v>33.38895328857204</v>
      </c>
      <c r="H129">
        <v>4.6518503360000003E-3</v>
      </c>
      <c r="I129">
        <v>1.8945682532844899E-3</v>
      </c>
      <c r="J129">
        <v>5.859489443196253E-4</v>
      </c>
    </row>
    <row r="130" spans="1:10" x14ac:dyDescent="0.2">
      <c r="A130" s="1" t="s">
        <v>39</v>
      </c>
      <c r="B130">
        <v>3</v>
      </c>
      <c r="C130">
        <v>42.071883927508345</v>
      </c>
      <c r="D130">
        <v>1.9010963752999998E-2</v>
      </c>
      <c r="E130">
        <v>42.073758964130157</v>
      </c>
      <c r="F130">
        <v>7.6055716560000011E-3</v>
      </c>
      <c r="G130">
        <v>42.07438397633743</v>
      </c>
      <c r="H130">
        <v>5.1052831750000001E-3</v>
      </c>
      <c r="I130">
        <v>1.8750366218114323E-3</v>
      </c>
      <c r="J130">
        <v>6.250122072728459E-4</v>
      </c>
    </row>
    <row r="131" spans="1:10" x14ac:dyDescent="0.2">
      <c r="A131" s="1" t="s">
        <v>39</v>
      </c>
      <c r="B131">
        <v>4</v>
      </c>
      <c r="C131">
        <v>58.921577205812611</v>
      </c>
      <c r="D131">
        <v>1.8582552107000001E-2</v>
      </c>
      <c r="E131">
        <v>58.923471774065902</v>
      </c>
      <c r="F131">
        <v>7.8155055679999998E-3</v>
      </c>
      <c r="G131">
        <v>58.924077254641695</v>
      </c>
      <c r="H131">
        <v>4.5487141990000002E-3</v>
      </c>
      <c r="I131">
        <v>1.8945682532915953E-3</v>
      </c>
      <c r="J131">
        <v>6.0548057579268288E-4</v>
      </c>
    </row>
    <row r="132" spans="1:10" x14ac:dyDescent="0.2">
      <c r="A132" s="1" t="s">
        <v>39</v>
      </c>
      <c r="B132">
        <v>5</v>
      </c>
      <c r="C132">
        <v>78.670316854544026</v>
      </c>
      <c r="D132">
        <v>1.7944816821999998E-2</v>
      </c>
      <c r="E132">
        <v>78.672211422797318</v>
      </c>
      <c r="F132">
        <v>7.3718370970000009E-3</v>
      </c>
      <c r="G132">
        <v>78.672797371741623</v>
      </c>
      <c r="H132">
        <v>4.4522910650000008E-3</v>
      </c>
      <c r="I132">
        <v>1.8945682532915953E-3</v>
      </c>
      <c r="J132">
        <v>5.8594894430541444E-4</v>
      </c>
    </row>
    <row r="133" spans="1:10" x14ac:dyDescent="0.2">
      <c r="A133" t="s">
        <v>40</v>
      </c>
    </row>
    <row r="134" spans="1:10" x14ac:dyDescent="0.2">
      <c r="A134" s="1" t="s">
        <v>41</v>
      </c>
      <c r="B134">
        <v>1</v>
      </c>
      <c r="C134">
        <v>2.8225341444246959</v>
      </c>
      <c r="D134">
        <v>1.8267651239E-2</v>
      </c>
      <c r="E134">
        <v>2.8253857626203636</v>
      </c>
      <c r="F134">
        <v>5.8217436770000002E-3</v>
      </c>
      <c r="G134">
        <v>2.8260498380905879</v>
      </c>
      <c r="H134">
        <v>5.2962986240000006E-3</v>
      </c>
      <c r="I134">
        <v>2.8516181956677045E-3</v>
      </c>
      <c r="J134">
        <v>6.6407547022429014E-4</v>
      </c>
    </row>
    <row r="135" spans="1:10" x14ac:dyDescent="0.2">
      <c r="A135" s="1" t="s">
        <v>41</v>
      </c>
      <c r="B135">
        <v>2</v>
      </c>
      <c r="C135">
        <v>18.155856748926734</v>
      </c>
      <c r="D135">
        <v>1.9428390484999999E-2</v>
      </c>
      <c r="E135">
        <v>18.158591177333541</v>
      </c>
      <c r="F135">
        <v>7.3022659749999996E-3</v>
      </c>
      <c r="G135">
        <v>18.159313847698197</v>
      </c>
      <c r="H135">
        <v>5.3207095440000003E-3</v>
      </c>
      <c r="I135">
        <v>2.7344284068071545E-3</v>
      </c>
      <c r="J135">
        <v>7.226703646558974E-4</v>
      </c>
    </row>
    <row r="136" spans="1:10" x14ac:dyDescent="0.2">
      <c r="A136" s="1" t="s">
        <v>41</v>
      </c>
      <c r="B136">
        <v>3</v>
      </c>
      <c r="C136">
        <v>40.146170678415594</v>
      </c>
      <c r="D136">
        <v>1.7327220546E-2</v>
      </c>
      <c r="E136">
        <v>40.148787917033538</v>
      </c>
      <c r="F136">
        <v>7.4725321420000008E-3</v>
      </c>
      <c r="G136">
        <v>40.149412929240803</v>
      </c>
      <c r="H136">
        <v>4.7708535710000001E-3</v>
      </c>
      <c r="I136">
        <v>2.61723861794394E-3</v>
      </c>
      <c r="J136">
        <v>6.2501220726574047E-4</v>
      </c>
    </row>
    <row r="137" spans="1:10" x14ac:dyDescent="0.2">
      <c r="A137" s="1" t="s">
        <v>41</v>
      </c>
      <c r="B137">
        <v>4</v>
      </c>
      <c r="C137">
        <v>49.738362062344969</v>
      </c>
      <c r="D137">
        <v>2.0864973126999999E-2</v>
      </c>
      <c r="E137">
        <v>49.741037895857339</v>
      </c>
      <c r="F137">
        <v>8.0968414210000009E-3</v>
      </c>
      <c r="G137">
        <v>49.741701971327565</v>
      </c>
      <c r="H137">
        <v>5.5452900080000004E-3</v>
      </c>
      <c r="I137">
        <v>2.6758335123702182E-3</v>
      </c>
      <c r="J137">
        <v>6.640754702260665E-4</v>
      </c>
    </row>
    <row r="138" spans="1:10" x14ac:dyDescent="0.2">
      <c r="A138" s="1" t="s">
        <v>41</v>
      </c>
      <c r="B138">
        <v>5</v>
      </c>
      <c r="C138">
        <v>58.776261005029397</v>
      </c>
      <c r="D138">
        <v>2.4004217438999997E-2</v>
      </c>
      <c r="E138">
        <v>58.778995433436201</v>
      </c>
      <c r="F138">
        <v>7.8325932119999997E-3</v>
      </c>
      <c r="G138">
        <v>58.779757167063806</v>
      </c>
      <c r="H138">
        <v>5.8583600570000002E-3</v>
      </c>
      <c r="I138">
        <v>2.7344284068036018E-3</v>
      </c>
      <c r="J138">
        <v>7.6173362760556529E-4</v>
      </c>
    </row>
    <row r="139" spans="1:10" x14ac:dyDescent="0.2">
      <c r="A139" t="s">
        <v>42</v>
      </c>
    </row>
    <row r="140" spans="1:10" x14ac:dyDescent="0.2">
      <c r="A140" s="1" t="s">
        <v>43</v>
      </c>
      <c r="B140">
        <v>1</v>
      </c>
      <c r="C140">
        <v>3.4246803601906288</v>
      </c>
      <c r="D140">
        <v>1.5135119930000001E-2</v>
      </c>
      <c r="E140">
        <v>3.4269850927049359</v>
      </c>
      <c r="F140">
        <v>4.7745152090000005E-3</v>
      </c>
      <c r="G140">
        <v>3.427551510017774</v>
      </c>
      <c r="H140">
        <v>4.2246592360000003E-3</v>
      </c>
      <c r="I140">
        <v>2.3047325143070729E-3</v>
      </c>
      <c r="J140">
        <v>5.6641731283813002E-4</v>
      </c>
    </row>
    <row r="141" spans="1:10" x14ac:dyDescent="0.2">
      <c r="A141" s="1" t="s">
        <v>43</v>
      </c>
      <c r="B141">
        <v>2</v>
      </c>
      <c r="C141">
        <v>11.584229466151683</v>
      </c>
      <c r="D141">
        <v>1.7705589806E-2</v>
      </c>
      <c r="E141">
        <v>11.586397477245649</v>
      </c>
      <c r="F141">
        <v>5.9859071140000008E-3</v>
      </c>
      <c r="G141">
        <v>11.587061552715873</v>
      </c>
      <c r="H141">
        <v>3.8841269020000002E-3</v>
      </c>
      <c r="I141">
        <v>2.1680110939659158E-3</v>
      </c>
      <c r="J141">
        <v>6.6407547022429014E-4</v>
      </c>
    </row>
    <row r="142" spans="1:10" x14ac:dyDescent="0.2">
      <c r="A142" s="1" t="s">
        <v>43</v>
      </c>
      <c r="B142">
        <v>3</v>
      </c>
      <c r="C142">
        <v>18.449724793240101</v>
      </c>
      <c r="D142">
        <v>2.1690062223E-2</v>
      </c>
      <c r="E142">
        <v>18.451912335965545</v>
      </c>
      <c r="F142">
        <v>7.7941460130000004E-3</v>
      </c>
      <c r="G142">
        <v>18.452654537961678</v>
      </c>
      <c r="H142">
        <v>5.8302874990000001E-3</v>
      </c>
      <c r="I142">
        <v>2.1875427254443025E-3</v>
      </c>
      <c r="J142">
        <v>7.422019961325077E-4</v>
      </c>
    </row>
    <row r="143" spans="1:10" x14ac:dyDescent="0.2">
      <c r="A143" s="1" t="s">
        <v>43</v>
      </c>
      <c r="B143">
        <v>4</v>
      </c>
      <c r="C143">
        <v>26.220235931932262</v>
      </c>
      <c r="D143">
        <v>2.0987027727E-2</v>
      </c>
      <c r="E143">
        <v>26.222345348131796</v>
      </c>
      <c r="F143">
        <v>7.2796858740000001E-3</v>
      </c>
      <c r="G143">
        <v>26.223068018496452</v>
      </c>
      <c r="H143">
        <v>5.085754439E-3</v>
      </c>
      <c r="I143">
        <v>2.1094161995343086E-3</v>
      </c>
      <c r="J143">
        <v>7.226703646558974E-4</v>
      </c>
    </row>
    <row r="144" spans="1:10" x14ac:dyDescent="0.2">
      <c r="A144" s="1" t="s">
        <v>43</v>
      </c>
      <c r="B144">
        <v>5</v>
      </c>
      <c r="C144">
        <v>34.042885980755486</v>
      </c>
      <c r="D144">
        <v>1.6329424190999999E-2</v>
      </c>
      <c r="E144">
        <v>34.044995396955024</v>
      </c>
      <c r="F144">
        <v>6.0945357080000005E-3</v>
      </c>
      <c r="G144">
        <v>34.045600877530816</v>
      </c>
      <c r="H144">
        <v>5.2786007069999998E-3</v>
      </c>
      <c r="I144">
        <v>2.1094161995378613E-3</v>
      </c>
      <c r="J144">
        <v>6.0548057579268288E-4</v>
      </c>
    </row>
    <row r="145" spans="1:10" x14ac:dyDescent="0.2">
      <c r="A145" s="1" t="s">
        <v>43</v>
      </c>
      <c r="B145">
        <v>6</v>
      </c>
      <c r="C145">
        <v>48.172694390960764</v>
      </c>
      <c r="D145">
        <v>1.5609302051000001E-2</v>
      </c>
      <c r="E145">
        <v>48.174784275528822</v>
      </c>
      <c r="F145">
        <v>5.699078804E-3</v>
      </c>
      <c r="G145">
        <v>48.175331161210181</v>
      </c>
      <c r="H145">
        <v>4.6426962410000003E-3</v>
      </c>
      <c r="I145">
        <v>2.0898845680576983E-3</v>
      </c>
      <c r="J145">
        <v>5.4688568135929927E-4</v>
      </c>
    </row>
    <row r="146" spans="1:10" x14ac:dyDescent="0.2">
      <c r="A146" t="s">
        <v>44</v>
      </c>
    </row>
    <row r="147" spans="1:10" x14ac:dyDescent="0.2">
      <c r="A147" s="1" t="s">
        <v>45</v>
      </c>
      <c r="B147">
        <v>1</v>
      </c>
      <c r="C147">
        <v>25.130098663718041</v>
      </c>
      <c r="D147">
        <v>2.1450835206999998E-2</v>
      </c>
      <c r="E147">
        <v>25.132813560493368</v>
      </c>
      <c r="F147">
        <v>6.9879753800000007E-3</v>
      </c>
      <c r="G147">
        <v>25.133594825752457</v>
      </c>
      <c r="H147">
        <v>5.2755493420000004E-3</v>
      </c>
      <c r="I147">
        <v>2.7148967753269915E-3</v>
      </c>
      <c r="J147">
        <v>7.8126525908928102E-4</v>
      </c>
    </row>
    <row r="148" spans="1:10" x14ac:dyDescent="0.2">
      <c r="A148" s="1" t="s">
        <v>45</v>
      </c>
      <c r="B148">
        <v>2</v>
      </c>
      <c r="C148">
        <v>50.279683158399578</v>
      </c>
      <c r="D148">
        <v>2.0780755453E-2</v>
      </c>
      <c r="E148">
        <v>50.282319928648995</v>
      </c>
      <c r="F148">
        <v>7.0917217899999999E-3</v>
      </c>
      <c r="G148">
        <v>50.283081662276608</v>
      </c>
      <c r="H148">
        <v>4.8318808709999998E-3</v>
      </c>
      <c r="I148">
        <v>2.6367702494169976E-3</v>
      </c>
      <c r="J148">
        <v>7.6173362761267072E-4</v>
      </c>
    </row>
    <row r="149" spans="1:10" x14ac:dyDescent="0.2">
      <c r="A149" s="1" t="s">
        <v>45</v>
      </c>
      <c r="B149">
        <v>3</v>
      </c>
      <c r="C149">
        <v>60.229975462327388</v>
      </c>
      <c r="D149">
        <v>1.8885857788000001E-2</v>
      </c>
      <c r="E149">
        <v>60.232573169313852</v>
      </c>
      <c r="F149">
        <v>7.7367803510000003E-3</v>
      </c>
      <c r="G149">
        <v>60.233334902941465</v>
      </c>
      <c r="H149">
        <v>5.4928065299999999E-3</v>
      </c>
      <c r="I149">
        <v>2.597706986463777E-3</v>
      </c>
      <c r="J149">
        <v>7.6173362761267072E-4</v>
      </c>
    </row>
    <row r="150" spans="1:10" x14ac:dyDescent="0.2">
      <c r="A150" s="1" t="s">
        <v>45</v>
      </c>
      <c r="B150">
        <v>4</v>
      </c>
      <c r="C150">
        <v>65.17541377896444</v>
      </c>
      <c r="D150">
        <v>1.5315760738000001E-2</v>
      </c>
      <c r="E150">
        <v>65.177991954319424</v>
      </c>
      <c r="F150">
        <v>6.1494602780000004E-3</v>
      </c>
      <c r="G150">
        <v>65.178675561421116</v>
      </c>
      <c r="H150">
        <v>4.0476800660000003E-3</v>
      </c>
      <c r="I150">
        <v>2.5781753549836139E-3</v>
      </c>
      <c r="J150">
        <v>6.8360710169201866E-4</v>
      </c>
    </row>
    <row r="151" spans="1:10" x14ac:dyDescent="0.2">
      <c r="A151" s="1" t="s">
        <v>45</v>
      </c>
      <c r="B151">
        <v>5</v>
      </c>
      <c r="C151">
        <v>76.075201279915618</v>
      </c>
      <c r="D151">
        <v>2.0591570822999998E-2</v>
      </c>
      <c r="E151">
        <v>76.077838050165042</v>
      </c>
      <c r="F151">
        <v>7.5012149730000009E-3</v>
      </c>
      <c r="G151">
        <v>76.078677910318561</v>
      </c>
      <c r="H151">
        <v>4.8489685150000005E-3</v>
      </c>
      <c r="I151">
        <v>2.636770249424103E-3</v>
      </c>
      <c r="J151">
        <v>8.3986015351911192E-4</v>
      </c>
    </row>
    <row r="152" spans="1:10" x14ac:dyDescent="0.2">
      <c r="A15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147C-FD84-3244-B746-4257493C8C8D}">
  <dimension ref="A1:X152"/>
  <sheetViews>
    <sheetView tabSelected="1" zoomScale="125" zoomScaleNormal="125" workbookViewId="0">
      <selection activeCell="E76" sqref="E76"/>
    </sheetView>
  </sheetViews>
  <sheetFormatPr baseColWidth="10" defaultRowHeight="15" x14ac:dyDescent="0.2"/>
  <cols>
    <col min="1" max="1" width="20.5" customWidth="1"/>
    <col min="2" max="3" width="14.6640625" customWidth="1"/>
    <col min="7" max="7" width="11.1640625" bestFit="1" customWidth="1"/>
    <col min="9" max="9" width="18.83203125" bestFit="1" customWidth="1"/>
    <col min="19" max="19" width="18.83203125" bestFit="1" customWidth="1"/>
    <col min="20" max="20" width="12.1640625" bestFit="1" customWidth="1"/>
    <col min="21" max="21" width="7" bestFit="1" customWidth="1"/>
    <col min="22" max="22" width="7" customWidth="1"/>
    <col min="23" max="23" width="8" bestFit="1" customWidth="1"/>
    <col min="24" max="24" width="12.1640625" bestFit="1" customWidth="1"/>
  </cols>
  <sheetData>
    <row r="1" spans="1:24" x14ac:dyDescent="0.2">
      <c r="A1" s="4" t="s">
        <v>0</v>
      </c>
      <c r="B1" s="4" t="s">
        <v>49</v>
      </c>
      <c r="C1" s="4" t="s">
        <v>51</v>
      </c>
      <c r="D1" s="5" t="s">
        <v>56</v>
      </c>
      <c r="E1" s="5" t="s">
        <v>58</v>
      </c>
      <c r="F1" s="5" t="s">
        <v>59</v>
      </c>
      <c r="G1" s="5" t="s">
        <v>57</v>
      </c>
      <c r="I1" s="5" t="s">
        <v>62</v>
      </c>
      <c r="J1" s="5" t="s">
        <v>56</v>
      </c>
      <c r="K1" s="5" t="s">
        <v>60</v>
      </c>
      <c r="L1" s="5" t="s">
        <v>61</v>
      </c>
      <c r="S1" t="s">
        <v>62</v>
      </c>
      <c r="T1" t="s">
        <v>56</v>
      </c>
      <c r="U1" t="s">
        <v>60</v>
      </c>
      <c r="V1" s="10" t="s">
        <v>66</v>
      </c>
      <c r="W1" s="10" t="s">
        <v>67</v>
      </c>
      <c r="X1" t="s">
        <v>61</v>
      </c>
    </row>
    <row r="2" spans="1:24" x14ac:dyDescent="0.2">
      <c r="A2" s="4" t="s">
        <v>1</v>
      </c>
      <c r="B2" s="4">
        <v>1.9093960880999999E-2</v>
      </c>
      <c r="C2" s="4">
        <v>7.5140307059999994E-3</v>
      </c>
      <c r="D2" s="4">
        <f>B2/C2</f>
        <v>2.5411076462268585</v>
      </c>
      <c r="E2" s="4">
        <f>AVERAGE(D2:D6)</f>
        <v>2.1523322493313732</v>
      </c>
      <c r="F2">
        <f>_xlfn.STDEV.S(D2:D6)</f>
        <v>0.25742783914789918</v>
      </c>
      <c r="G2" s="6">
        <v>5.7142857142856933E-2</v>
      </c>
      <c r="I2" s="4" t="str">
        <f>A2</f>
        <v>A_M1_MOD#2.mat</v>
      </c>
      <c r="J2" s="4">
        <f>E2</f>
        <v>2.1523322493313732</v>
      </c>
      <c r="K2" s="6">
        <f>G2</f>
        <v>5.7142857142856933E-2</v>
      </c>
      <c r="L2" s="4">
        <f>F2</f>
        <v>0.25742783914789918</v>
      </c>
      <c r="S2" t="s">
        <v>1</v>
      </c>
      <c r="T2">
        <v>2.1523322493313732</v>
      </c>
      <c r="U2" s="3">
        <v>5.7142857142856933E-2</v>
      </c>
      <c r="V2" s="11">
        <v>9.4E-2</v>
      </c>
      <c r="W2" s="3">
        <f>U2/V2</f>
        <v>0.60790273556230778</v>
      </c>
      <c r="X2">
        <v>0.25742783914789918</v>
      </c>
    </row>
    <row r="3" spans="1:24" x14ac:dyDescent="0.2">
      <c r="A3" s="4" t="s">
        <v>1</v>
      </c>
      <c r="B3" s="4">
        <v>2.1647953386E-2</v>
      </c>
      <c r="C3" s="4">
        <v>9.6890436779999995E-3</v>
      </c>
      <c r="D3" s="4">
        <f t="shared" ref="D3:D66" si="0">B3/C3</f>
        <v>2.2342714209405385</v>
      </c>
      <c r="E3" s="4"/>
      <c r="G3" s="6">
        <v>5.7142857142856933E-2</v>
      </c>
      <c r="I3" s="8" t="str">
        <f>A8</f>
        <v>A_M1_MOD.mat</v>
      </c>
      <c r="J3" s="8">
        <f>E8</f>
        <v>2.7359689601926278</v>
      </c>
      <c r="K3" s="9">
        <f>G8</f>
        <v>5.7142857142856933E-2</v>
      </c>
      <c r="L3" s="8">
        <f>F8</f>
        <v>0.41323107303667633</v>
      </c>
      <c r="S3" t="s">
        <v>7</v>
      </c>
      <c r="T3">
        <v>2.04169089639701</v>
      </c>
      <c r="U3" s="3">
        <v>4.5409015025041716E-2</v>
      </c>
      <c r="V3" s="11">
        <v>8.0500000000000002E-2</v>
      </c>
      <c r="W3" s="3">
        <f t="shared" ref="W3:W15" si="1">U3/V3</f>
        <v>0.56408714316822006</v>
      </c>
      <c r="X3">
        <v>0.17031999081679813</v>
      </c>
    </row>
    <row r="4" spans="1:24" x14ac:dyDescent="0.2">
      <c r="A4" s="4" t="s">
        <v>1</v>
      </c>
      <c r="B4" s="4">
        <v>2.2023271280999998E-2</v>
      </c>
      <c r="C4" s="4">
        <v>1.0700876312E-2</v>
      </c>
      <c r="D4" s="4">
        <f t="shared" si="0"/>
        <v>2.0580810990500864</v>
      </c>
      <c r="E4" s="4"/>
      <c r="G4" s="6">
        <v>5.7142857142856933E-2</v>
      </c>
      <c r="I4" s="8" t="str">
        <f>A14</f>
        <v>A_M1_MOD_56#2.mat</v>
      </c>
      <c r="J4" s="8">
        <f>E14</f>
        <v>1.9600199471705746</v>
      </c>
      <c r="K4" s="9">
        <f>G14</f>
        <v>4.5409015025041716E-2</v>
      </c>
      <c r="L4" s="8">
        <f>F14</f>
        <v>0.29558814862213123</v>
      </c>
      <c r="S4" t="s">
        <v>9</v>
      </c>
      <c r="T4">
        <v>2.1072494854759722</v>
      </c>
      <c r="U4" s="3">
        <v>6.9455103607060725E-2</v>
      </c>
      <c r="V4" s="11">
        <v>9.4E-2</v>
      </c>
      <c r="W4" s="3">
        <f t="shared" si="1"/>
        <v>0.73888408092617797</v>
      </c>
      <c r="X4">
        <v>8.1773224294963379E-2</v>
      </c>
    </row>
    <row r="5" spans="1:24" x14ac:dyDescent="0.2">
      <c r="A5" s="4" t="s">
        <v>1</v>
      </c>
      <c r="B5" s="4">
        <v>2.1239070475999999E-2</v>
      </c>
      <c r="C5" s="4">
        <v>1.0204724363E-2</v>
      </c>
      <c r="D5" s="4">
        <f t="shared" si="0"/>
        <v>2.0812978107481293</v>
      </c>
      <c r="E5" s="4"/>
      <c r="G5" s="6">
        <v>5.7142857142856933E-2</v>
      </c>
      <c r="I5" s="4" t="str">
        <f>A21</f>
        <v>A_M1_MOD_56.mat</v>
      </c>
      <c r="J5" s="4">
        <f>E21</f>
        <v>2.04169089639701</v>
      </c>
      <c r="K5" s="6">
        <f>G21</f>
        <v>4.5409015025041716E-2</v>
      </c>
      <c r="L5" s="4">
        <f>F21</f>
        <v>0.17031999081679813</v>
      </c>
      <c r="S5" t="s">
        <v>15</v>
      </c>
      <c r="T5">
        <v>1.98166056362473</v>
      </c>
      <c r="U5" s="3">
        <v>7.8056951423785534E-2</v>
      </c>
      <c r="V5" s="11">
        <v>8.0500000000000002E-2</v>
      </c>
      <c r="W5" s="3">
        <f t="shared" si="1"/>
        <v>0.96965157048180783</v>
      </c>
      <c r="X5">
        <v>8.0775749635162472E-2</v>
      </c>
    </row>
    <row r="6" spans="1:24" x14ac:dyDescent="0.2">
      <c r="A6" s="4" t="s">
        <v>1</v>
      </c>
      <c r="B6" s="4">
        <v>2.2524915686999998E-2</v>
      </c>
      <c r="C6" s="4">
        <v>1.2196045162000001E-2</v>
      </c>
      <c r="D6" s="4">
        <f t="shared" si="0"/>
        <v>1.8469032696912537</v>
      </c>
      <c r="E6" s="4"/>
      <c r="G6" s="6">
        <v>5.7142857142856933E-2</v>
      </c>
      <c r="I6" s="4" t="str">
        <f>A27</f>
        <v>A_M2_MOD#2.mat</v>
      </c>
      <c r="J6" s="4">
        <f>E27</f>
        <v>2.1072494854759722</v>
      </c>
      <c r="K6" s="6">
        <f>G27</f>
        <v>6.9455103607060725E-2</v>
      </c>
      <c r="L6" s="4">
        <f>F27</f>
        <v>8.1773224294963379E-2</v>
      </c>
      <c r="S6" t="s">
        <v>19</v>
      </c>
      <c r="T6">
        <v>2.1101041475104605</v>
      </c>
      <c r="U6" s="3">
        <v>9.3951093951094009E-2</v>
      </c>
      <c r="V6" s="11">
        <v>9.4E-2</v>
      </c>
      <c r="W6" s="3">
        <f t="shared" si="1"/>
        <v>0.99947972288397879</v>
      </c>
      <c r="X6">
        <v>0.15391805245325235</v>
      </c>
    </row>
    <row r="7" spans="1:24" x14ac:dyDescent="0.2">
      <c r="A7" s="4" t="s">
        <v>2</v>
      </c>
      <c r="B7" s="4"/>
      <c r="C7" s="4"/>
      <c r="D7" s="4"/>
      <c r="E7" s="4"/>
      <c r="G7" s="4"/>
      <c r="I7" s="8" t="str">
        <f>A34</f>
        <v>A_M2_MOD.mat</v>
      </c>
      <c r="J7" s="8">
        <f>E34</f>
        <v>2.624788961279259</v>
      </c>
      <c r="K7" s="9">
        <f>G34</f>
        <v>6.9455103607060725E-2</v>
      </c>
      <c r="L7" s="8">
        <f>F34</f>
        <v>0.21977595661956928</v>
      </c>
      <c r="S7" t="s">
        <v>21</v>
      </c>
      <c r="T7">
        <v>3.3410512935202923</v>
      </c>
      <c r="U7" s="3">
        <v>9.9105071262843708E-2</v>
      </c>
      <c r="V7" s="11">
        <v>8.0500000000000002E-2</v>
      </c>
      <c r="W7" s="3">
        <f t="shared" si="1"/>
        <v>1.2311188976750771</v>
      </c>
      <c r="X7">
        <v>0.23954548627158423</v>
      </c>
    </row>
    <row r="8" spans="1:24" x14ac:dyDescent="0.2">
      <c r="A8" s="4" t="s">
        <v>3</v>
      </c>
      <c r="B8" s="4">
        <v>1.9929424618E-2</v>
      </c>
      <c r="C8" s="4">
        <v>6.1360342720000001E-3</v>
      </c>
      <c r="D8" s="4">
        <f t="shared" si="0"/>
        <v>3.2479324160463228</v>
      </c>
      <c r="E8" s="4">
        <f>AVERAGE(D8:D12)</f>
        <v>2.7359689601926278</v>
      </c>
      <c r="F8">
        <f>_xlfn.STDEV.S(D8:D12)</f>
        <v>0.41323107303667633</v>
      </c>
      <c r="G8" s="6">
        <v>5.7142857142856933E-2</v>
      </c>
      <c r="I8" s="8" t="str">
        <f>A41</f>
        <v>A_M2_MOD_56#2.mat</v>
      </c>
      <c r="J8" s="8">
        <f>E41</f>
        <v>2.0501352369676615</v>
      </c>
      <c r="K8" s="9">
        <f>G41</f>
        <v>7.8056951423785534E-2</v>
      </c>
      <c r="L8" s="8">
        <f>F41</f>
        <v>0.12251402172401202</v>
      </c>
      <c r="S8" t="s">
        <v>25</v>
      </c>
      <c r="T8">
        <v>3.8861468513426241</v>
      </c>
      <c r="U8" s="3">
        <v>0.10994263862332682</v>
      </c>
      <c r="V8" s="11">
        <v>9.4E-2</v>
      </c>
      <c r="W8" s="3">
        <f t="shared" si="1"/>
        <v>1.16960253854603</v>
      </c>
      <c r="X8">
        <v>0.36898479943161372</v>
      </c>
    </row>
    <row r="9" spans="1:24" x14ac:dyDescent="0.2">
      <c r="A9" s="4" t="s">
        <v>3</v>
      </c>
      <c r="B9" s="4">
        <v>1.8442189317E-2</v>
      </c>
      <c r="C9" s="4">
        <v>7.0697519619999996E-3</v>
      </c>
      <c r="D9" s="4">
        <f t="shared" si="0"/>
        <v>2.6086048585759425</v>
      </c>
      <c r="E9" s="4"/>
      <c r="G9" s="6">
        <v>5.7142857142856933E-2</v>
      </c>
      <c r="I9" s="4" t="str">
        <f>A48</f>
        <v>A_M2_MOD_56.mat</v>
      </c>
      <c r="J9" s="4">
        <f>E48</f>
        <v>1.98166056362473</v>
      </c>
      <c r="K9" s="6">
        <f>G48</f>
        <v>7.8056951423785534E-2</v>
      </c>
      <c r="L9" s="4">
        <f>F48</f>
        <v>8.0775749635162472E-2</v>
      </c>
      <c r="S9" t="s">
        <v>31</v>
      </c>
      <c r="T9">
        <v>2.5145694984763485</v>
      </c>
      <c r="U9" s="3">
        <v>0.11525518788558609</v>
      </c>
      <c r="V9" s="11">
        <v>8.0500000000000002E-2</v>
      </c>
      <c r="W9" s="3">
        <f t="shared" si="1"/>
        <v>1.4317414644172184</v>
      </c>
      <c r="X9">
        <v>0.19534583849540088</v>
      </c>
    </row>
    <row r="10" spans="1:24" x14ac:dyDescent="0.2">
      <c r="A10" s="4" t="s">
        <v>3</v>
      </c>
      <c r="B10" s="4">
        <v>1.8215778033999999E-2</v>
      </c>
      <c r="C10" s="4">
        <v>8.4135731080000001E-3</v>
      </c>
      <c r="D10" s="4">
        <f t="shared" si="0"/>
        <v>2.1650466217117228</v>
      </c>
      <c r="E10" s="4"/>
      <c r="G10" s="6">
        <v>5.7142857142856933E-2</v>
      </c>
      <c r="I10" s="8" t="str">
        <f>A55</f>
        <v>A_M3_MOD#2.mat</v>
      </c>
      <c r="J10" s="8">
        <f>E55</f>
        <v>2.3787978562562846</v>
      </c>
      <c r="K10" s="9">
        <f>G55</f>
        <v>9.3951093951094009E-2</v>
      </c>
      <c r="L10" s="8">
        <f>F55</f>
        <v>0.32395303182205298</v>
      </c>
      <c r="S10" t="s">
        <v>35</v>
      </c>
      <c r="T10">
        <v>2.2503547032552462</v>
      </c>
      <c r="U10" s="3">
        <v>7.6316350458324425E-2</v>
      </c>
      <c r="V10" s="11">
        <v>0.112</v>
      </c>
      <c r="W10" s="3">
        <f t="shared" si="1"/>
        <v>0.6813959862350395</v>
      </c>
      <c r="X10">
        <v>0.2285079749496905</v>
      </c>
    </row>
    <row r="11" spans="1:24" x14ac:dyDescent="0.2">
      <c r="A11" s="4" t="s">
        <v>3</v>
      </c>
      <c r="B11" s="4">
        <v>2.1204895187999999E-2</v>
      </c>
      <c r="C11" s="4">
        <v>7.9900436460000005E-3</v>
      </c>
      <c r="D11" s="4">
        <f t="shared" si="0"/>
        <v>2.6539148129204095</v>
      </c>
      <c r="E11" s="4"/>
      <c r="G11" s="6">
        <v>5.7142857142856933E-2</v>
      </c>
      <c r="I11" s="4" t="str">
        <f>A62</f>
        <v>A_M3_MOD.mat</v>
      </c>
      <c r="J11" s="4">
        <f>E62</f>
        <v>2.1101041475104605</v>
      </c>
      <c r="K11" s="6">
        <f>G62</f>
        <v>9.3951093951094009E-2</v>
      </c>
      <c r="L11" s="4">
        <f>F62</f>
        <v>0.15391805245325235</v>
      </c>
      <c r="S11" t="s">
        <v>37</v>
      </c>
      <c r="T11">
        <v>2.8555746377458924</v>
      </c>
      <c r="U11" s="3">
        <v>0.14385679414157856</v>
      </c>
      <c r="V11" s="11">
        <v>0.112</v>
      </c>
      <c r="W11" s="3">
        <f t="shared" si="1"/>
        <v>1.2844356619783801</v>
      </c>
      <c r="X11">
        <v>0.3098799313875289</v>
      </c>
    </row>
    <row r="12" spans="1:24" x14ac:dyDescent="0.2">
      <c r="A12" s="4" t="s">
        <v>3</v>
      </c>
      <c r="B12" s="4">
        <v>2.3141291416999998E-2</v>
      </c>
      <c r="C12" s="4">
        <v>7.7026050630000006E-3</v>
      </c>
      <c r="D12" s="4">
        <f t="shared" si="0"/>
        <v>3.0043460917087392</v>
      </c>
      <c r="E12" s="4"/>
      <c r="G12" s="6">
        <v>5.7142857142856933E-2</v>
      </c>
      <c r="I12" s="4" t="str">
        <f>A69</f>
        <v>A_M3_MOD_56#2.mat</v>
      </c>
      <c r="J12" s="4">
        <f>E69</f>
        <v>3.3410512935202923</v>
      </c>
      <c r="K12" s="6">
        <f>G69</f>
        <v>9.9105071262843708E-2</v>
      </c>
      <c r="L12" s="4">
        <f>F69</f>
        <v>0.23954548627158423</v>
      </c>
      <c r="S12" t="s">
        <v>39</v>
      </c>
      <c r="T12">
        <v>2.4880971669127279</v>
      </c>
      <c r="U12" s="3">
        <v>9.6030729833546741E-2</v>
      </c>
      <c r="V12" s="11">
        <v>0.112</v>
      </c>
      <c r="W12" s="3">
        <f t="shared" si="1"/>
        <v>0.85741723065666731</v>
      </c>
      <c r="X12">
        <v>0.14013911131018722</v>
      </c>
    </row>
    <row r="13" spans="1:24" x14ac:dyDescent="0.2">
      <c r="A13" s="4" t="s">
        <v>2</v>
      </c>
      <c r="B13" s="4"/>
      <c r="C13" s="4"/>
      <c r="D13" s="4"/>
      <c r="E13" s="4"/>
      <c r="G13" s="4"/>
      <c r="I13" s="8" t="str">
        <f>A76</f>
        <v>A_M3_MOD_56.mat</v>
      </c>
      <c r="J13" s="8">
        <f>E76</f>
        <v>2.6142284860714322</v>
      </c>
      <c r="K13" s="9">
        <f>G76</f>
        <v>9.9105071262843708E-2</v>
      </c>
      <c r="L13" s="8">
        <f>F76</f>
        <v>0.62366275295711449</v>
      </c>
      <c r="S13" t="s">
        <v>41</v>
      </c>
      <c r="T13">
        <v>2.7517605314138778</v>
      </c>
      <c r="U13" s="3">
        <v>0.13374411018484977</v>
      </c>
      <c r="V13" s="11">
        <v>9.4E-2</v>
      </c>
      <c r="W13" s="3">
        <f t="shared" si="1"/>
        <v>1.4228096828175507</v>
      </c>
      <c r="X13">
        <v>0.34398318651988935</v>
      </c>
    </row>
    <row r="14" spans="1:24" x14ac:dyDescent="0.2">
      <c r="A14" s="4" t="s">
        <v>5</v>
      </c>
      <c r="B14" s="4">
        <v>1.8762582641999998E-2</v>
      </c>
      <c r="C14" s="4">
        <v>9.4315084719999998E-3</v>
      </c>
      <c r="D14" s="4">
        <f t="shared" si="0"/>
        <v>1.9893511942126578</v>
      </c>
      <c r="E14" s="4">
        <f>AVERAGE(D14:D19)</f>
        <v>1.9600199471705746</v>
      </c>
      <c r="F14">
        <f>_xlfn.STDEV.S(D14:D19)</f>
        <v>0.29558814862213123</v>
      </c>
      <c r="G14" s="6">
        <v>4.5409015025041716E-2</v>
      </c>
      <c r="I14" s="4" t="str">
        <f>A83</f>
        <v>A_M4_MOD#2.mat</v>
      </c>
      <c r="J14" s="4">
        <f>E83</f>
        <v>3.8861468513426241</v>
      </c>
      <c r="K14" s="6">
        <f>G83</f>
        <v>0.10994263862332682</v>
      </c>
      <c r="L14" s="4">
        <f>F83</f>
        <v>0.36898479943161372</v>
      </c>
      <c r="S14" t="s">
        <v>43</v>
      </c>
      <c r="T14">
        <v>2.8686591440287219</v>
      </c>
      <c r="U14" s="3">
        <v>0.11954206602768888</v>
      </c>
      <c r="V14" s="11">
        <v>0.112</v>
      </c>
      <c r="W14" s="3">
        <f t="shared" si="1"/>
        <v>1.0673398752472221</v>
      </c>
      <c r="X14">
        <v>0.17831931846228954</v>
      </c>
    </row>
    <row r="15" spans="1:24" x14ac:dyDescent="0.2">
      <c r="A15" s="4" t="s">
        <v>5</v>
      </c>
      <c r="B15" s="4">
        <v>1.8375059286999999E-2</v>
      </c>
      <c r="C15" s="4">
        <v>7.9729560020000007E-3</v>
      </c>
      <c r="D15" s="4">
        <f t="shared" si="0"/>
        <v>2.3046733585875367</v>
      </c>
      <c r="E15" s="4"/>
      <c r="G15" s="6">
        <v>4.5409015025041716E-2</v>
      </c>
      <c r="I15" s="8" t="str">
        <f>A89</f>
        <v>A_M4_MOD.mat</v>
      </c>
      <c r="J15" s="8">
        <f>E89</f>
        <v>2.7946597405858986</v>
      </c>
      <c r="K15" s="9">
        <f>G89</f>
        <v>0.10994263862332682</v>
      </c>
      <c r="L15" s="8">
        <f>F89</f>
        <v>0.39414356024794867</v>
      </c>
      <c r="S15" t="s">
        <v>45</v>
      </c>
      <c r="T15">
        <v>2.7353389242681727</v>
      </c>
      <c r="U15" s="3">
        <v>0.13162271323354713</v>
      </c>
      <c r="V15" s="11">
        <v>0.112</v>
      </c>
      <c r="W15" s="3">
        <f t="shared" si="1"/>
        <v>1.1752027967280994</v>
      </c>
      <c r="X15">
        <v>0.27220946554560765</v>
      </c>
    </row>
    <row r="16" spans="1:24" x14ac:dyDescent="0.2">
      <c r="A16" s="4" t="s">
        <v>5</v>
      </c>
      <c r="B16" s="4">
        <v>1.8790655199999999E-2</v>
      </c>
      <c r="C16" s="4">
        <v>9.9136241419999997E-3</v>
      </c>
      <c r="D16" s="4">
        <f t="shared" si="0"/>
        <v>1.8954375242441988</v>
      </c>
      <c r="E16" s="4"/>
      <c r="G16" s="6">
        <v>4.5409015025041716E-2</v>
      </c>
      <c r="I16" s="8" t="str">
        <f>A95</f>
        <v>A_M4_MOD_56#2.mat</v>
      </c>
      <c r="J16" s="8">
        <f>E95</f>
        <v>4.102372780547455</v>
      </c>
      <c r="K16" s="9">
        <f>G95</f>
        <v>0.11525518788558609</v>
      </c>
      <c r="L16" s="8">
        <f>F95</f>
        <v>1.009848779930955</v>
      </c>
    </row>
    <row r="17" spans="1:12" x14ac:dyDescent="0.2">
      <c r="A17" s="4" t="s">
        <v>5</v>
      </c>
      <c r="B17" s="4">
        <v>1.9686535963999999E-2</v>
      </c>
      <c r="C17" s="4">
        <v>8.597875554E-3</v>
      </c>
      <c r="D17" s="4">
        <f t="shared" si="0"/>
        <v>2.2896977096675015</v>
      </c>
      <c r="E17" s="4"/>
      <c r="G17" s="6">
        <v>4.5409015025041716E-2</v>
      </c>
      <c r="I17" s="4" t="str">
        <f>A102</f>
        <v>A_M4_MOD_56.mat</v>
      </c>
      <c r="J17" s="4">
        <f>E102</f>
        <v>2.5145694984763485</v>
      </c>
      <c r="K17" s="6">
        <f>G102</f>
        <v>0.11525518788558609</v>
      </c>
      <c r="L17" s="4">
        <f>F102</f>
        <v>0.19534583849540088</v>
      </c>
    </row>
    <row r="18" spans="1:12" x14ac:dyDescent="0.2">
      <c r="A18" s="4" t="s">
        <v>5</v>
      </c>
      <c r="B18" s="4">
        <v>1.7271075430000001E-2</v>
      </c>
      <c r="C18" s="4">
        <v>1.0583093623000001E-2</v>
      </c>
      <c r="D18" s="4">
        <f t="shared" si="0"/>
        <v>1.6319496023795121</v>
      </c>
      <c r="E18" s="4"/>
      <c r="G18" s="6">
        <v>4.5409015025041716E-2</v>
      </c>
      <c r="I18" s="8" t="str">
        <f>A109</f>
        <v>A_M5_EST#2.mat</v>
      </c>
      <c r="J18" s="8">
        <f>E109</f>
        <v>2.8817287605327087</v>
      </c>
      <c r="K18" s="9">
        <f>G109</f>
        <v>7.6316350458324425E-2</v>
      </c>
      <c r="L18" s="8">
        <f>F109</f>
        <v>0.20488644524131774</v>
      </c>
    </row>
    <row r="19" spans="1:12" x14ac:dyDescent="0.2">
      <c r="A19" s="4" t="s">
        <v>5</v>
      </c>
      <c r="B19" s="4">
        <v>1.7918575082999998E-2</v>
      </c>
      <c r="C19" s="4">
        <v>1.0866260295000001E-2</v>
      </c>
      <c r="D19" s="4">
        <f t="shared" si="0"/>
        <v>1.6490102939320392</v>
      </c>
      <c r="E19" s="4"/>
      <c r="G19" s="6">
        <v>4.5409015025041716E-2</v>
      </c>
      <c r="I19" s="4" t="str">
        <f>A114</f>
        <v>A_M5_EST.mat</v>
      </c>
      <c r="J19" s="4">
        <f>E114</f>
        <v>2.2503547032552462</v>
      </c>
      <c r="K19" s="6">
        <f>G114</f>
        <v>7.6316350458324425E-2</v>
      </c>
      <c r="L19" s="4">
        <f>F114</f>
        <v>0.2285079749496905</v>
      </c>
    </row>
    <row r="20" spans="1:12" x14ac:dyDescent="0.2">
      <c r="A20" s="4" t="s">
        <v>2</v>
      </c>
      <c r="B20" s="4"/>
      <c r="C20" s="4"/>
      <c r="D20" s="4"/>
      <c r="E20" s="4"/>
      <c r="G20" s="4"/>
      <c r="I20" s="4" t="str">
        <f>A121</f>
        <v>A_M5_EST_2.mat</v>
      </c>
      <c r="J20" s="4">
        <f>E121</f>
        <v>2.8555746377458924</v>
      </c>
      <c r="K20" s="6">
        <f>G121</f>
        <v>0.14385679414157856</v>
      </c>
      <c r="L20" s="4">
        <f>F121</f>
        <v>0.3098799313875289</v>
      </c>
    </row>
    <row r="21" spans="1:12" x14ac:dyDescent="0.2">
      <c r="A21" s="4" t="s">
        <v>7</v>
      </c>
      <c r="B21" s="4">
        <v>1.5672160170000001E-2</v>
      </c>
      <c r="C21" s="4">
        <v>7.6733119589999996E-3</v>
      </c>
      <c r="D21" s="4">
        <f t="shared" si="0"/>
        <v>2.0424244776883054</v>
      </c>
      <c r="E21" s="4">
        <f>AVERAGE(D21:D25)</f>
        <v>2.04169089639701</v>
      </c>
      <c r="F21">
        <f>_xlfn.STDEV.S(D21:D25)</f>
        <v>0.17031999081679813</v>
      </c>
      <c r="G21" s="6">
        <v>4.5409015025041716E-2</v>
      </c>
      <c r="I21" s="4" t="str">
        <f>A128</f>
        <v>A_M6_EST.mat</v>
      </c>
      <c r="J21" s="4">
        <f>E128</f>
        <v>2.4880971669127279</v>
      </c>
      <c r="K21" s="6">
        <f>G128</f>
        <v>9.6030729833546741E-2</v>
      </c>
      <c r="L21" s="4">
        <f>F128</f>
        <v>0.14013911131018722</v>
      </c>
    </row>
    <row r="22" spans="1:12" x14ac:dyDescent="0.2">
      <c r="A22" s="4" t="s">
        <v>7</v>
      </c>
      <c r="B22" s="4">
        <v>1.8281077244999999E-2</v>
      </c>
      <c r="C22" s="4">
        <v>7.8850766899999994E-3</v>
      </c>
      <c r="D22" s="4">
        <f t="shared" si="0"/>
        <v>2.3184400055594132</v>
      </c>
      <c r="E22" s="4"/>
      <c r="G22" s="6">
        <v>4.5409015025041716E-2</v>
      </c>
      <c r="I22" s="4" t="str">
        <f>A134</f>
        <v>A_M6_MOD_2.mat</v>
      </c>
      <c r="J22" s="4">
        <f>E134</f>
        <v>2.7517605314138778</v>
      </c>
      <c r="K22" s="6">
        <f>G134</f>
        <v>0.13374411018484977</v>
      </c>
      <c r="L22" s="4">
        <f>F134</f>
        <v>0.34398318651988935</v>
      </c>
    </row>
    <row r="23" spans="1:12" x14ac:dyDescent="0.2">
      <c r="A23" s="4" t="s">
        <v>7</v>
      </c>
      <c r="B23" s="4">
        <v>1.8401911298999998E-2</v>
      </c>
      <c r="C23" s="4">
        <v>9.8184215539999994E-3</v>
      </c>
      <c r="D23" s="4">
        <f t="shared" si="0"/>
        <v>1.8742229795076488</v>
      </c>
      <c r="E23" s="4"/>
      <c r="G23" s="6">
        <v>4.5409015025041702E-2</v>
      </c>
      <c r="I23" s="4" t="str">
        <f>A140</f>
        <v>A_M7_EST.mat</v>
      </c>
      <c r="J23" s="4">
        <f>E140</f>
        <v>2.8686591440287219</v>
      </c>
      <c r="K23" s="6">
        <f>G140</f>
        <v>0.11954206602768888</v>
      </c>
      <c r="L23" s="4">
        <f>F140</f>
        <v>0.17831931846228954</v>
      </c>
    </row>
    <row r="24" spans="1:12" x14ac:dyDescent="0.2">
      <c r="A24" s="4" t="s">
        <v>7</v>
      </c>
      <c r="B24" s="4">
        <v>1.8478805697E-2</v>
      </c>
      <c r="C24" s="4">
        <v>9.5499014340000004E-3</v>
      </c>
      <c r="D24" s="4">
        <f t="shared" si="0"/>
        <v>1.9349734470777784</v>
      </c>
      <c r="E24" s="4"/>
      <c r="G24" s="6">
        <v>4.5409015025041702E-2</v>
      </c>
      <c r="I24" s="4" t="str">
        <f>A147</f>
        <v>A_M8_EST.mat</v>
      </c>
      <c r="J24" s="4">
        <f>E147</f>
        <v>2.7353389242681727</v>
      </c>
      <c r="K24" s="6">
        <f>G147</f>
        <v>0.13162271323354713</v>
      </c>
      <c r="L24" s="4">
        <f>F147</f>
        <v>0.27220946554560765</v>
      </c>
    </row>
    <row r="25" spans="1:12" x14ac:dyDescent="0.2">
      <c r="A25" s="4" t="s">
        <v>7</v>
      </c>
      <c r="B25" s="4">
        <v>2.0037442938999998E-2</v>
      </c>
      <c r="C25" s="4">
        <v>9.8300167409999997E-3</v>
      </c>
      <c r="D25" s="4">
        <f t="shared" si="0"/>
        <v>2.0383935721519033</v>
      </c>
      <c r="E25" s="4"/>
      <c r="G25" s="6">
        <v>4.5409015025041702E-2</v>
      </c>
    </row>
    <row r="26" spans="1:12" x14ac:dyDescent="0.2">
      <c r="A26" s="4" t="s">
        <v>2</v>
      </c>
      <c r="B26" s="4"/>
      <c r="C26" s="4"/>
      <c r="D26" s="4"/>
      <c r="E26" s="4"/>
      <c r="G26" s="4"/>
    </row>
    <row r="27" spans="1:12" x14ac:dyDescent="0.2">
      <c r="A27" s="4" t="s">
        <v>9</v>
      </c>
      <c r="B27" s="4">
        <v>1.7030017594999999E-2</v>
      </c>
      <c r="C27" s="4">
        <v>8.2933493270000002E-3</v>
      </c>
      <c r="D27" s="4">
        <f t="shared" si="0"/>
        <v>2.0534547531425837</v>
      </c>
      <c r="E27" s="4">
        <f>AVERAGE(D27:D32)</f>
        <v>2.1072494854759722</v>
      </c>
      <c r="F27">
        <f>_xlfn.STDEV.S(D27:D32)</f>
        <v>8.1773224294963379E-2</v>
      </c>
      <c r="G27" s="6">
        <v>6.9455103607060725E-2</v>
      </c>
    </row>
    <row r="28" spans="1:12" x14ac:dyDescent="0.2">
      <c r="A28" s="4" t="s">
        <v>9</v>
      </c>
      <c r="B28" s="4">
        <v>2.4224525992E-2</v>
      </c>
      <c r="C28" s="4">
        <v>1.1142713964E-2</v>
      </c>
      <c r="D28" s="4">
        <f t="shared" si="0"/>
        <v>2.1740238572276791</v>
      </c>
      <c r="E28" s="4"/>
      <c r="G28" s="6">
        <v>6.9455103607060725E-2</v>
      </c>
    </row>
    <row r="29" spans="1:12" x14ac:dyDescent="0.2">
      <c r="A29" s="4" t="s">
        <v>9</v>
      </c>
      <c r="B29" s="4">
        <v>2.089609705E-2</v>
      </c>
      <c r="C29" s="4">
        <v>9.3466805249999996E-3</v>
      </c>
      <c r="D29" s="4">
        <f t="shared" si="0"/>
        <v>2.2356704066334823</v>
      </c>
      <c r="E29" s="4"/>
      <c r="G29" s="6">
        <v>6.9455103607060725E-2</v>
      </c>
    </row>
    <row r="30" spans="1:12" x14ac:dyDescent="0.2">
      <c r="A30" s="4" t="s">
        <v>9</v>
      </c>
      <c r="B30" s="4">
        <v>8.1243037060000009E-3</v>
      </c>
      <c r="C30" s="4">
        <v>3.9787192169999999E-3</v>
      </c>
      <c r="D30" s="4">
        <f t="shared" si="0"/>
        <v>2.0419394440520029</v>
      </c>
      <c r="E30" s="4"/>
      <c r="G30" s="6">
        <v>6.9455103607060725E-2</v>
      </c>
    </row>
    <row r="31" spans="1:12" x14ac:dyDescent="0.2">
      <c r="A31" s="4" t="s">
        <v>9</v>
      </c>
      <c r="B31" s="4">
        <v>1.9551665630999998E-2</v>
      </c>
      <c r="C31" s="4">
        <v>9.2923662280000006E-3</v>
      </c>
      <c r="D31" s="4">
        <f t="shared" si="0"/>
        <v>2.1040567226124178</v>
      </c>
      <c r="E31" s="4"/>
      <c r="G31" s="6">
        <v>6.9455103607060725E-2</v>
      </c>
    </row>
    <row r="32" spans="1:12" x14ac:dyDescent="0.2">
      <c r="A32" s="4" t="s">
        <v>9</v>
      </c>
      <c r="B32" s="4">
        <v>2.2603640903999998E-2</v>
      </c>
      <c r="C32" s="4">
        <v>1.1110979768E-2</v>
      </c>
      <c r="D32" s="4">
        <f t="shared" si="0"/>
        <v>2.034351729187668</v>
      </c>
      <c r="E32" s="4"/>
      <c r="G32" s="6">
        <v>6.9455103607060725E-2</v>
      </c>
    </row>
    <row r="33" spans="1:7" x14ac:dyDescent="0.2">
      <c r="A33" s="4" t="s">
        <v>2</v>
      </c>
      <c r="B33" s="4"/>
      <c r="C33" s="4"/>
      <c r="D33" s="4"/>
      <c r="E33" s="4"/>
      <c r="G33" s="4"/>
    </row>
    <row r="34" spans="1:7" x14ac:dyDescent="0.2">
      <c r="A34" s="4" t="s">
        <v>11</v>
      </c>
      <c r="B34" s="4">
        <v>1.453094966E-2</v>
      </c>
      <c r="C34" s="4">
        <v>4.8819232570000001E-3</v>
      </c>
      <c r="D34" s="4">
        <f t="shared" si="0"/>
        <v>2.9764805579777676</v>
      </c>
      <c r="E34" s="7">
        <f>AVERAGE(D34:D39)</f>
        <v>2.624788961279259</v>
      </c>
      <c r="F34">
        <f>_xlfn.STDEV.S(D34:D39)</f>
        <v>0.21977595661956928</v>
      </c>
      <c r="G34" s="6">
        <v>6.9455103607060725E-2</v>
      </c>
    </row>
    <row r="35" spans="1:7" x14ac:dyDescent="0.2">
      <c r="A35" s="4" t="s">
        <v>11</v>
      </c>
      <c r="B35" s="4">
        <v>1.8025372857999999E-2</v>
      </c>
      <c r="C35" s="4">
        <v>7.5829915549999998E-3</v>
      </c>
      <c r="D35" s="4">
        <f t="shared" si="0"/>
        <v>2.3770793791949565</v>
      </c>
      <c r="E35" s="4"/>
      <c r="G35" s="6">
        <v>6.9455103607060725E-2</v>
      </c>
    </row>
    <row r="36" spans="1:7" x14ac:dyDescent="0.2">
      <c r="A36" s="4" t="s">
        <v>11</v>
      </c>
      <c r="B36" s="4">
        <v>2.0780145179999997E-2</v>
      </c>
      <c r="C36" s="4">
        <v>8.1639714510000003E-3</v>
      </c>
      <c r="D36" s="4">
        <f t="shared" si="0"/>
        <v>2.5453476049888257</v>
      </c>
      <c r="E36" s="4"/>
      <c r="G36" s="6">
        <v>6.9455103607060725E-2</v>
      </c>
    </row>
    <row r="37" spans="1:7" x14ac:dyDescent="0.2">
      <c r="A37" s="4" t="s">
        <v>11</v>
      </c>
      <c r="B37" s="4">
        <v>2.0366990358999998E-2</v>
      </c>
      <c r="C37" s="4">
        <v>7.4157767529999998E-3</v>
      </c>
      <c r="D37" s="4">
        <f t="shared" si="0"/>
        <v>2.7464406005427113</v>
      </c>
      <c r="E37" s="4"/>
      <c r="G37" s="6">
        <v>6.9455103607060725E-2</v>
      </c>
    </row>
    <row r="38" spans="1:7" x14ac:dyDescent="0.2">
      <c r="A38" s="4" t="s">
        <v>11</v>
      </c>
      <c r="B38" s="4">
        <v>1.7737324002E-2</v>
      </c>
      <c r="C38" s="4">
        <v>7.2674804140000007E-3</v>
      </c>
      <c r="D38" s="4">
        <f t="shared" si="0"/>
        <v>2.4406428351469649</v>
      </c>
      <c r="E38" s="4"/>
      <c r="G38" s="6">
        <v>6.9455103607060725E-2</v>
      </c>
    </row>
    <row r="39" spans="1:7" x14ac:dyDescent="0.2">
      <c r="A39" s="4" t="s">
        <v>11</v>
      </c>
      <c r="B39" s="4">
        <v>1.6132306012000001E-2</v>
      </c>
      <c r="C39" s="4">
        <v>6.0585296009999998E-3</v>
      </c>
      <c r="D39" s="4">
        <f t="shared" si="0"/>
        <v>2.6627427898243261</v>
      </c>
      <c r="E39" s="4"/>
      <c r="G39" s="6">
        <v>6.9455103607060725E-2</v>
      </c>
    </row>
    <row r="40" spans="1:7" x14ac:dyDescent="0.2">
      <c r="A40" s="4" t="s">
        <v>2</v>
      </c>
      <c r="B40" s="4"/>
      <c r="C40" s="4"/>
      <c r="D40" s="4"/>
      <c r="E40" s="4"/>
      <c r="G40" s="4"/>
    </row>
    <row r="41" spans="1:7" x14ac:dyDescent="0.2">
      <c r="A41" s="4" t="s">
        <v>13</v>
      </c>
      <c r="B41" s="4">
        <v>1.9903793151999999E-2</v>
      </c>
      <c r="C41" s="4">
        <v>8.7718033589999998E-3</v>
      </c>
      <c r="D41" s="4">
        <f t="shared" si="0"/>
        <v>2.2690651326079276</v>
      </c>
      <c r="E41" s="4">
        <f>AVERAGE(D41:D46)</f>
        <v>2.0501352369676615</v>
      </c>
      <c r="F41">
        <f>_xlfn.STDEV.S(D41:D46)</f>
        <v>0.12251402172401202</v>
      </c>
      <c r="G41" s="6">
        <v>7.8056951423785534E-2</v>
      </c>
    </row>
    <row r="42" spans="1:7" x14ac:dyDescent="0.2">
      <c r="A42" s="4" t="s">
        <v>13</v>
      </c>
      <c r="B42" s="4">
        <v>2.0729492520999999E-2</v>
      </c>
      <c r="C42" s="4">
        <v>9.946578884000001E-3</v>
      </c>
      <c r="D42" s="4">
        <f t="shared" si="0"/>
        <v>2.0840826542224802</v>
      </c>
      <c r="E42" s="4"/>
      <c r="G42" s="6">
        <v>7.8056951423785534E-2</v>
      </c>
    </row>
    <row r="43" spans="1:7" x14ac:dyDescent="0.2">
      <c r="A43" s="4" t="s">
        <v>13</v>
      </c>
      <c r="B43" s="4">
        <v>2.1744376520000001E-2</v>
      </c>
      <c r="C43" s="4">
        <v>1.1034695643000001E-2</v>
      </c>
      <c r="D43" s="4">
        <f t="shared" si="0"/>
        <v>1.9705461050748438</v>
      </c>
      <c r="E43" s="4"/>
      <c r="G43" s="6">
        <v>7.8056951423785534E-2</v>
      </c>
    </row>
    <row r="44" spans="1:7" x14ac:dyDescent="0.2">
      <c r="A44" s="4" t="s">
        <v>13</v>
      </c>
      <c r="B44" s="4">
        <v>1.9593164194999999E-2</v>
      </c>
      <c r="C44" s="4">
        <v>1.0240730470000001E-2</v>
      </c>
      <c r="D44" s="4">
        <f t="shared" si="0"/>
        <v>1.9132584587005537</v>
      </c>
      <c r="E44" s="4"/>
      <c r="G44" s="6">
        <v>7.8056951423785534E-2</v>
      </c>
    </row>
    <row r="45" spans="1:7" x14ac:dyDescent="0.2">
      <c r="A45" s="4" t="s">
        <v>13</v>
      </c>
      <c r="B45" s="4">
        <v>2.0874127221999998E-2</v>
      </c>
      <c r="C45" s="4">
        <v>1.0218760642E-2</v>
      </c>
      <c r="D45" s="4">
        <f t="shared" si="0"/>
        <v>2.0427259188560996</v>
      </c>
      <c r="E45" s="4"/>
      <c r="G45" s="6">
        <v>7.8056951423785534E-2</v>
      </c>
    </row>
    <row r="46" spans="1:7" x14ac:dyDescent="0.2">
      <c r="A46" s="4" t="s">
        <v>13</v>
      </c>
      <c r="B46" s="4">
        <v>2.1678467035999998E-2</v>
      </c>
      <c r="C46" s="4">
        <v>1.0725897505E-2</v>
      </c>
      <c r="D46" s="4">
        <f t="shared" si="0"/>
        <v>2.0211331523440657</v>
      </c>
      <c r="E46" s="4"/>
      <c r="G46" s="6">
        <v>7.8056951423785506E-2</v>
      </c>
    </row>
    <row r="47" spans="1:7" x14ac:dyDescent="0.2">
      <c r="A47" s="4" t="s">
        <v>2</v>
      </c>
      <c r="B47" s="4"/>
      <c r="C47" s="4"/>
      <c r="D47" s="4"/>
      <c r="E47" s="4"/>
      <c r="G47" s="4"/>
    </row>
    <row r="48" spans="1:7" x14ac:dyDescent="0.2">
      <c r="A48" s="4" t="s">
        <v>15</v>
      </c>
      <c r="B48" s="4">
        <v>2.2684807212999997E-2</v>
      </c>
      <c r="C48" s="4">
        <v>1.0890671215E-2</v>
      </c>
      <c r="D48" s="4">
        <f t="shared" si="0"/>
        <v>2.0829576768193712</v>
      </c>
      <c r="E48" s="4">
        <f>AVERAGE(D48:D53)</f>
        <v>1.98166056362473</v>
      </c>
      <c r="F48">
        <f>_xlfn.STDEV.S(D48:D52)</f>
        <v>8.0775749635162472E-2</v>
      </c>
      <c r="G48" s="6">
        <v>7.8056951423785534E-2</v>
      </c>
    </row>
    <row r="49" spans="1:7" x14ac:dyDescent="0.2">
      <c r="A49" s="4" t="s">
        <v>15</v>
      </c>
      <c r="B49" s="4">
        <v>1.7781263658E-2</v>
      </c>
      <c r="C49" s="4">
        <v>8.8694470390000002E-3</v>
      </c>
      <c r="D49" s="4">
        <f t="shared" si="0"/>
        <v>2.00477702610024</v>
      </c>
      <c r="E49" s="4"/>
      <c r="G49" s="6">
        <v>7.8056951423785534E-2</v>
      </c>
    </row>
    <row r="50" spans="1:7" x14ac:dyDescent="0.2">
      <c r="A50" s="4" t="s">
        <v>15</v>
      </c>
      <c r="B50" s="4">
        <v>1.9973364274E-2</v>
      </c>
      <c r="C50" s="4">
        <v>1.0612386727E-2</v>
      </c>
      <c r="D50" s="4">
        <f t="shared" si="0"/>
        <v>1.8820803263024548</v>
      </c>
      <c r="E50" s="4"/>
      <c r="G50" s="6">
        <v>7.8056951423785534E-2</v>
      </c>
    </row>
    <row r="51" spans="1:7" x14ac:dyDescent="0.2">
      <c r="A51" s="4" t="s">
        <v>15</v>
      </c>
      <c r="B51" s="4">
        <v>2.0844834117999998E-2</v>
      </c>
      <c r="C51" s="4">
        <v>1.0437848649000001E-2</v>
      </c>
      <c r="D51" s="4">
        <f t="shared" si="0"/>
        <v>1.9970431473919714</v>
      </c>
      <c r="E51" s="4"/>
      <c r="G51" s="6">
        <v>7.8056951423785534E-2</v>
      </c>
    </row>
    <row r="52" spans="1:7" x14ac:dyDescent="0.2">
      <c r="A52" s="4" t="s">
        <v>15</v>
      </c>
      <c r="B52" s="4">
        <v>1.9940409531999999E-2</v>
      </c>
      <c r="C52" s="4">
        <v>1.0448833563E-2</v>
      </c>
      <c r="D52" s="4">
        <f t="shared" si="0"/>
        <v>1.9083861764829222</v>
      </c>
      <c r="E52" s="4"/>
      <c r="G52" s="6">
        <v>7.8056951423785534E-2</v>
      </c>
    </row>
    <row r="53" spans="1:7" x14ac:dyDescent="0.2">
      <c r="A53" s="4" t="s">
        <v>15</v>
      </c>
      <c r="B53" s="4">
        <v>1.9916608884999999E-2</v>
      </c>
      <c r="C53" s="4">
        <v>9.8855515840000005E-3</v>
      </c>
      <c r="D53" s="4">
        <f t="shared" si="0"/>
        <v>2.0147190286514212</v>
      </c>
      <c r="E53" s="4"/>
      <c r="G53" s="6">
        <v>7.8056951423785506E-2</v>
      </c>
    </row>
    <row r="54" spans="1:7" x14ac:dyDescent="0.2">
      <c r="A54" s="4" t="s">
        <v>2</v>
      </c>
      <c r="B54" s="4"/>
      <c r="C54" s="4"/>
      <c r="D54" s="4"/>
      <c r="E54" s="4"/>
      <c r="G54" s="4"/>
    </row>
    <row r="55" spans="1:7" x14ac:dyDescent="0.2">
      <c r="A55" s="4" t="s">
        <v>17</v>
      </c>
      <c r="B55" s="4">
        <v>1.4847071074E-2</v>
      </c>
      <c r="C55" s="4">
        <v>7.242459221000001E-3</v>
      </c>
      <c r="D55" s="4">
        <f t="shared" si="0"/>
        <v>2.0500040968059459</v>
      </c>
      <c r="E55" s="4">
        <f>AVERAGE(D55:D60)</f>
        <v>2.3787978562562846</v>
      </c>
      <c r="F55">
        <f>_xlfn.STDEV.S(D55:D60)</f>
        <v>0.32395303182205298</v>
      </c>
      <c r="G55" s="6">
        <v>9.3951093951094009E-2</v>
      </c>
    </row>
    <row r="56" spans="1:7" x14ac:dyDescent="0.2">
      <c r="A56" s="4" t="s">
        <v>17</v>
      </c>
      <c r="B56" s="4">
        <v>2.0789909547999998E-2</v>
      </c>
      <c r="C56" s="4">
        <v>8.1725152730000011E-3</v>
      </c>
      <c r="D56" s="4">
        <f t="shared" si="0"/>
        <v>2.5438813943468288</v>
      </c>
      <c r="E56" s="4"/>
      <c r="G56" s="6">
        <v>9.3951093951094009E-2</v>
      </c>
    </row>
    <row r="57" spans="1:7" x14ac:dyDescent="0.2">
      <c r="A57" s="4" t="s">
        <v>17</v>
      </c>
      <c r="B57" s="4">
        <v>2.0302301421000001E-2</v>
      </c>
      <c r="C57" s="4">
        <v>7.7660734549999996E-3</v>
      </c>
      <c r="D57" s="4">
        <f t="shared" si="0"/>
        <v>2.6142298986277104</v>
      </c>
      <c r="E57" s="4"/>
      <c r="G57" s="6">
        <v>9.3951093951094009E-2</v>
      </c>
    </row>
    <row r="58" spans="1:7" x14ac:dyDescent="0.2">
      <c r="A58" s="4" t="s">
        <v>17</v>
      </c>
      <c r="B58" s="4">
        <v>1.9903793151999999E-2</v>
      </c>
      <c r="C58" s="4">
        <v>7.0447307689999999E-3</v>
      </c>
      <c r="D58" s="4">
        <f t="shared" si="0"/>
        <v>2.8253447583242908</v>
      </c>
      <c r="E58" s="4"/>
      <c r="G58" s="6">
        <v>9.3951093951094009E-2</v>
      </c>
    </row>
    <row r="59" spans="1:7" x14ac:dyDescent="0.2">
      <c r="A59" s="4" t="s">
        <v>17</v>
      </c>
      <c r="B59" s="4">
        <v>2.0777093814999998E-2</v>
      </c>
      <c r="C59" s="4">
        <v>9.8525968420000009E-3</v>
      </c>
      <c r="D59" s="4">
        <f t="shared" si="0"/>
        <v>2.1087936660952837</v>
      </c>
      <c r="E59" s="4"/>
      <c r="G59" s="6">
        <v>9.3951093951094009E-2</v>
      </c>
    </row>
    <row r="60" spans="1:7" x14ac:dyDescent="0.2">
      <c r="A60" s="4" t="s">
        <v>17</v>
      </c>
      <c r="B60" s="4">
        <v>2.2435815828999998E-2</v>
      </c>
      <c r="C60" s="4">
        <v>1.0530610145000001E-2</v>
      </c>
      <c r="D60" s="4">
        <f t="shared" si="0"/>
        <v>2.1305333233376476</v>
      </c>
      <c r="E60" s="4"/>
      <c r="G60" s="6">
        <v>9.3951093951094009E-2</v>
      </c>
    </row>
    <row r="61" spans="1:7" x14ac:dyDescent="0.2">
      <c r="A61" s="4" t="s">
        <v>2</v>
      </c>
      <c r="B61" s="4"/>
      <c r="C61" s="4"/>
      <c r="D61" s="4"/>
      <c r="E61" s="4"/>
      <c r="G61" s="4"/>
    </row>
    <row r="62" spans="1:7" x14ac:dyDescent="0.2">
      <c r="A62" s="4" t="s">
        <v>19</v>
      </c>
      <c r="B62" s="4">
        <v>1.7422423134000001E-2</v>
      </c>
      <c r="C62" s="4">
        <v>7.5707860950000004E-3</v>
      </c>
      <c r="D62" s="4">
        <f t="shared" si="0"/>
        <v>2.3012700286838577</v>
      </c>
      <c r="E62" s="4">
        <f>AVERAGE(D62:D67)</f>
        <v>2.1101041475104605</v>
      </c>
      <c r="F62">
        <f>_xlfn.STDEV.S(D62:D67)</f>
        <v>0.15391805245325235</v>
      </c>
      <c r="G62" s="6">
        <v>9.3951093951094009E-2</v>
      </c>
    </row>
    <row r="63" spans="1:7" x14ac:dyDescent="0.2">
      <c r="A63" s="4" t="s">
        <v>19</v>
      </c>
      <c r="B63" s="4">
        <v>1.533040729E-2</v>
      </c>
      <c r="C63" s="4">
        <v>8.274430864000001E-3</v>
      </c>
      <c r="D63" s="4">
        <f t="shared" si="0"/>
        <v>1.8527446227992315</v>
      </c>
      <c r="E63" s="4"/>
      <c r="G63" s="6">
        <v>9.3951093951094009E-2</v>
      </c>
    </row>
    <row r="64" spans="1:7" x14ac:dyDescent="0.2">
      <c r="A64" s="4" t="s">
        <v>19</v>
      </c>
      <c r="B64" s="4">
        <v>1.7794079391000001E-2</v>
      </c>
      <c r="C64" s="4">
        <v>8.2225576590000005E-3</v>
      </c>
      <c r="D64" s="4">
        <f t="shared" si="0"/>
        <v>2.1640565051585248</v>
      </c>
      <c r="E64" s="4"/>
      <c r="G64" s="6">
        <v>9.3951093951094009E-2</v>
      </c>
    </row>
    <row r="65" spans="1:7" x14ac:dyDescent="0.2">
      <c r="A65" s="4" t="s">
        <v>19</v>
      </c>
      <c r="B65" s="4">
        <v>1.760672558E-2</v>
      </c>
      <c r="C65" s="4">
        <v>8.4013676480000007E-3</v>
      </c>
      <c r="D65" s="4">
        <f t="shared" si="0"/>
        <v>2.0956975480285513</v>
      </c>
      <c r="E65" s="4"/>
      <c r="G65" s="6">
        <v>9.3951093951094009E-2</v>
      </c>
    </row>
    <row r="66" spans="1:7" x14ac:dyDescent="0.2">
      <c r="A66" s="4" t="s">
        <v>19</v>
      </c>
      <c r="B66" s="4">
        <v>1.4782382136000001E-2</v>
      </c>
      <c r="C66" s="4">
        <v>6.7145730760000003E-3</v>
      </c>
      <c r="D66" s="4">
        <f t="shared" si="0"/>
        <v>2.2015371593522293</v>
      </c>
      <c r="E66" s="4"/>
      <c r="G66" s="6">
        <v>9.3951093951094009E-2</v>
      </c>
    </row>
    <row r="67" spans="1:7" x14ac:dyDescent="0.2">
      <c r="A67" s="4" t="s">
        <v>19</v>
      </c>
      <c r="B67" s="4">
        <v>1.4306369196E-2</v>
      </c>
      <c r="C67" s="4">
        <v>6.9946883830000004E-3</v>
      </c>
      <c r="D67" s="4">
        <f t="shared" ref="D67:D130" si="2">B67/C67</f>
        <v>2.0453190210403687</v>
      </c>
      <c r="E67" s="4"/>
      <c r="G67" s="6">
        <v>9.3951093951094009E-2</v>
      </c>
    </row>
    <row r="68" spans="1:7" x14ac:dyDescent="0.2">
      <c r="A68" s="4" t="s">
        <v>2</v>
      </c>
      <c r="B68" s="4"/>
      <c r="C68" s="4"/>
      <c r="D68" s="4"/>
      <c r="E68" s="4"/>
      <c r="G68" s="4"/>
    </row>
    <row r="69" spans="1:7" x14ac:dyDescent="0.2">
      <c r="A69" s="4" t="s">
        <v>21</v>
      </c>
      <c r="B69" s="4">
        <v>1.9729865346999997E-2</v>
      </c>
      <c r="C69" s="4">
        <v>5.3927217580000001E-3</v>
      </c>
      <c r="D69" s="4">
        <f t="shared" si="2"/>
        <v>3.6586099250774655</v>
      </c>
      <c r="E69" s="4">
        <f>AVERAGE(D69:D74)</f>
        <v>3.3410512935202923</v>
      </c>
      <c r="F69">
        <f>_xlfn.STDEV.S(D69:D74)</f>
        <v>0.23954548627158423</v>
      </c>
      <c r="G69" s="6">
        <v>9.9105071262843708E-2</v>
      </c>
    </row>
    <row r="70" spans="1:7" x14ac:dyDescent="0.2">
      <c r="A70" s="4" t="s">
        <v>21</v>
      </c>
      <c r="B70" s="4">
        <v>1.8151699369000001E-2</v>
      </c>
      <c r="C70" s="4">
        <v>6.0646323310000003E-3</v>
      </c>
      <c r="D70" s="4">
        <f t="shared" si="2"/>
        <v>2.993042014470638</v>
      </c>
      <c r="E70" s="4"/>
      <c r="G70" s="6">
        <v>9.9105071262843708E-2</v>
      </c>
    </row>
    <row r="71" spans="1:7" x14ac:dyDescent="0.2">
      <c r="A71" s="4" t="s">
        <v>21</v>
      </c>
      <c r="B71" s="4">
        <v>2.007833123E-2</v>
      </c>
      <c r="C71" s="4">
        <v>6.3423065460000002E-3</v>
      </c>
      <c r="D71" s="4">
        <f t="shared" si="2"/>
        <v>3.1657774792773314</v>
      </c>
      <c r="E71" s="4"/>
      <c r="G71" s="6">
        <v>9.9105071262843708E-2</v>
      </c>
    </row>
    <row r="72" spans="1:7" x14ac:dyDescent="0.2">
      <c r="A72" s="4" t="s">
        <v>21</v>
      </c>
      <c r="B72" s="4">
        <v>1.7794079391000001E-2</v>
      </c>
      <c r="C72" s="4">
        <v>5.2456459650000002E-3</v>
      </c>
      <c r="D72" s="4">
        <f t="shared" si="2"/>
        <v>3.3921617108218243</v>
      </c>
      <c r="E72" s="4"/>
      <c r="G72" s="6">
        <v>9.9105071262843708E-2</v>
      </c>
    </row>
    <row r="73" spans="1:7" x14ac:dyDescent="0.2">
      <c r="A73" s="4" t="s">
        <v>21</v>
      </c>
      <c r="B73" s="4">
        <v>1.8136442544E-2</v>
      </c>
      <c r="C73" s="4">
        <v>5.4641236989999998E-3</v>
      </c>
      <c r="D73" s="4">
        <f t="shared" si="2"/>
        <v>3.3191859377779438</v>
      </c>
      <c r="E73" s="4"/>
      <c r="G73" s="6">
        <v>9.9105071262843708E-2</v>
      </c>
    </row>
    <row r="74" spans="1:7" x14ac:dyDescent="0.2">
      <c r="A74" s="4" t="s">
        <v>21</v>
      </c>
      <c r="B74" s="4">
        <v>1.7702538441000001E-2</v>
      </c>
      <c r="C74" s="4">
        <v>5.0326606880000003E-3</v>
      </c>
      <c r="D74" s="4">
        <f t="shared" si="2"/>
        <v>3.5175306936965507</v>
      </c>
      <c r="E74" s="4"/>
      <c r="G74" s="6">
        <v>9.9105071262843708E-2</v>
      </c>
    </row>
    <row r="75" spans="1:7" x14ac:dyDescent="0.2">
      <c r="A75" s="4" t="s">
        <v>2</v>
      </c>
      <c r="B75" s="4"/>
      <c r="C75" s="4"/>
      <c r="D75" s="4"/>
      <c r="E75" s="4"/>
      <c r="G75" s="4"/>
    </row>
    <row r="76" spans="1:7" x14ac:dyDescent="0.2">
      <c r="A76" s="4" t="s">
        <v>23</v>
      </c>
      <c r="B76" s="4">
        <v>1.8519083714999999E-2</v>
      </c>
      <c r="C76" s="4">
        <v>4.806249405E-3</v>
      </c>
      <c r="D76" s="4">
        <f t="shared" si="2"/>
        <v>3.8531258273310516</v>
      </c>
      <c r="E76" s="4">
        <f>AVERAGE(D76:D81)</f>
        <v>2.6142284860714322</v>
      </c>
      <c r="F76">
        <f>_xlfn.STDEV.S(D76:D81)</f>
        <v>0.62366275295711449</v>
      </c>
      <c r="G76" s="6">
        <v>9.9105071262843708E-2</v>
      </c>
    </row>
    <row r="77" spans="1:7" x14ac:dyDescent="0.2">
      <c r="A77" s="4" t="s">
        <v>23</v>
      </c>
      <c r="B77" s="4">
        <v>1.9396656288999999E-2</v>
      </c>
      <c r="C77" s="4">
        <v>8.9176586060000004E-3</v>
      </c>
      <c r="D77" s="4">
        <f t="shared" si="2"/>
        <v>2.1750839705782741</v>
      </c>
      <c r="E77" s="4"/>
      <c r="G77" s="6">
        <v>9.9105071262843708E-2</v>
      </c>
    </row>
    <row r="78" spans="1:7" x14ac:dyDescent="0.2">
      <c r="A78" s="4" t="s">
        <v>23</v>
      </c>
      <c r="B78" s="4">
        <v>1.8400080480000001E-2</v>
      </c>
      <c r="C78" s="4">
        <v>7.1265073510000006E-3</v>
      </c>
      <c r="D78" s="4">
        <f t="shared" si="2"/>
        <v>2.5819212096116169</v>
      </c>
      <c r="E78" s="4"/>
      <c r="G78" s="6">
        <v>9.9105071262843708E-2</v>
      </c>
    </row>
    <row r="79" spans="1:7" x14ac:dyDescent="0.2">
      <c r="A79" s="4" t="s">
        <v>23</v>
      </c>
      <c r="B79" s="4">
        <v>1.941923639E-2</v>
      </c>
      <c r="C79" s="4">
        <v>8.5539358979999994E-3</v>
      </c>
      <c r="D79" s="4">
        <f t="shared" si="2"/>
        <v>2.2702106517469254</v>
      </c>
      <c r="E79" s="4"/>
      <c r="G79" s="6">
        <v>9.9105071262843708E-2</v>
      </c>
    </row>
    <row r="80" spans="1:7" x14ac:dyDescent="0.2">
      <c r="A80" s="4" t="s">
        <v>23</v>
      </c>
      <c r="B80" s="4">
        <v>1.6189061400999998E-2</v>
      </c>
      <c r="C80" s="4">
        <v>6.9208453499999996E-3</v>
      </c>
      <c r="D80" s="4">
        <f t="shared" si="2"/>
        <v>2.3391739855883356</v>
      </c>
      <c r="E80" s="4"/>
      <c r="G80" s="6">
        <v>9.9105071262843708E-2</v>
      </c>
    </row>
    <row r="81" spans="1:7" x14ac:dyDescent="0.2">
      <c r="A81" s="4" t="s">
        <v>23</v>
      </c>
      <c r="B81" s="4">
        <v>1.9980687549999997E-2</v>
      </c>
      <c r="C81" s="4">
        <v>8.1029441509999998E-3</v>
      </c>
      <c r="D81" s="4">
        <f t="shared" si="2"/>
        <v>2.465855271572388</v>
      </c>
      <c r="E81" s="4"/>
      <c r="G81" s="6">
        <v>9.9105071262843708E-2</v>
      </c>
    </row>
    <row r="82" spans="1:7" x14ac:dyDescent="0.2">
      <c r="A82" s="4" t="s">
        <v>2</v>
      </c>
      <c r="B82" s="4"/>
      <c r="C82" s="4"/>
      <c r="D82" s="4"/>
      <c r="E82" s="4"/>
      <c r="G82" s="4"/>
    </row>
    <row r="83" spans="1:7" x14ac:dyDescent="0.2">
      <c r="A83" s="4" t="s">
        <v>25</v>
      </c>
      <c r="B83" s="4">
        <v>1.5966922028999998E-2</v>
      </c>
      <c r="C83" s="4">
        <v>3.8322536970000001E-3</v>
      </c>
      <c r="D83" s="4">
        <f t="shared" si="2"/>
        <v>4.1664574663987848</v>
      </c>
      <c r="E83" s="4">
        <f>AVERAGE(D83:D87)</f>
        <v>3.8861468513426241</v>
      </c>
      <c r="F83">
        <f>_xlfn.STDEV.S(D83:D87)</f>
        <v>0.36898479943161372</v>
      </c>
      <c r="G83" s="6">
        <v>0.10994263862332682</v>
      </c>
    </row>
    <row r="84" spans="1:7" x14ac:dyDescent="0.2">
      <c r="A84" s="4" t="s">
        <v>25</v>
      </c>
      <c r="B84" s="4">
        <v>1.5354207937E-2</v>
      </c>
      <c r="C84" s="4">
        <v>3.7370511090000003E-3</v>
      </c>
      <c r="D84" s="4">
        <f t="shared" si="2"/>
        <v>4.1086427477596477</v>
      </c>
      <c r="E84" s="4"/>
      <c r="G84" s="6">
        <v>0.10994263862332682</v>
      </c>
    </row>
    <row r="85" spans="1:7" x14ac:dyDescent="0.2">
      <c r="A85" s="4" t="s">
        <v>25</v>
      </c>
      <c r="B85" s="4">
        <v>1.6098740997E-2</v>
      </c>
      <c r="C85" s="4">
        <v>3.9817705820000002E-3</v>
      </c>
      <c r="D85" s="4">
        <f t="shared" si="2"/>
        <v>4.043111139997869</v>
      </c>
      <c r="E85" s="4"/>
      <c r="G85" s="6">
        <v>0.10994263862332682</v>
      </c>
    </row>
    <row r="86" spans="1:7" x14ac:dyDescent="0.2">
      <c r="A86" s="4" t="s">
        <v>25</v>
      </c>
      <c r="B86" s="4">
        <v>1.5450631071E-2</v>
      </c>
      <c r="C86" s="4">
        <v>4.0116739590000004E-3</v>
      </c>
      <c r="D86" s="4">
        <f t="shared" si="2"/>
        <v>3.8514174454125918</v>
      </c>
      <c r="E86" s="4"/>
      <c r="G86" s="6">
        <v>0.10994263862332682</v>
      </c>
    </row>
    <row r="87" spans="1:7" x14ac:dyDescent="0.2">
      <c r="A87" s="4" t="s">
        <v>25</v>
      </c>
      <c r="B87" s="4">
        <v>1.5852800978000001E-2</v>
      </c>
      <c r="C87" s="4">
        <v>4.8611739750000008E-3</v>
      </c>
      <c r="D87" s="4">
        <f t="shared" si="2"/>
        <v>3.2611054571442279</v>
      </c>
      <c r="E87" s="4"/>
      <c r="G87" s="6">
        <v>0.10994263862332682</v>
      </c>
    </row>
    <row r="88" spans="1:7" x14ac:dyDescent="0.2">
      <c r="A88" s="4" t="s">
        <v>2</v>
      </c>
      <c r="B88" s="4"/>
      <c r="C88" s="4"/>
      <c r="D88" s="4"/>
      <c r="E88" s="4"/>
      <c r="G88" s="4"/>
    </row>
    <row r="89" spans="1:7" x14ac:dyDescent="0.2">
      <c r="A89" s="4" t="s">
        <v>27</v>
      </c>
      <c r="B89" s="4">
        <v>1.8960921366999998E-2</v>
      </c>
      <c r="C89" s="4">
        <v>6.1073514410000009E-3</v>
      </c>
      <c r="D89" s="4">
        <f t="shared" si="2"/>
        <v>3.104606235644332</v>
      </c>
      <c r="E89" s="4">
        <f>AVERAGE(D89:D93)</f>
        <v>2.7946597405858986</v>
      </c>
      <c r="F89">
        <f>_xlfn.STDEV.S(D89:D93)</f>
        <v>0.39414356024794867</v>
      </c>
      <c r="G89" s="6">
        <v>0.10994263862332682</v>
      </c>
    </row>
    <row r="90" spans="1:7" x14ac:dyDescent="0.2">
      <c r="A90" s="4" t="s">
        <v>27</v>
      </c>
      <c r="B90" s="4">
        <v>2.2252733928999999E-2</v>
      </c>
      <c r="C90" s="4">
        <v>6.8738543290000004E-3</v>
      </c>
      <c r="D90" s="4">
        <f t="shared" si="2"/>
        <v>3.2373007724528398</v>
      </c>
      <c r="E90" s="4"/>
      <c r="G90" s="6">
        <v>0.10994263862332682</v>
      </c>
    </row>
    <row r="91" spans="1:7" x14ac:dyDescent="0.2">
      <c r="A91" s="4" t="s">
        <v>27</v>
      </c>
      <c r="B91" s="4">
        <v>1.8097995344999999E-2</v>
      </c>
      <c r="C91" s="4">
        <v>7.4353054889999999E-3</v>
      </c>
      <c r="D91" s="4">
        <f t="shared" si="2"/>
        <v>2.4340621070344297</v>
      </c>
      <c r="E91" s="4"/>
      <c r="G91" s="6">
        <v>0.10994263862332682</v>
      </c>
    </row>
    <row r="92" spans="1:7" x14ac:dyDescent="0.2">
      <c r="A92" s="4" t="s">
        <v>27</v>
      </c>
      <c r="B92" s="4">
        <v>1.8138273363000001E-2</v>
      </c>
      <c r="C92" s="4">
        <v>6.3728201960000005E-3</v>
      </c>
      <c r="D92" s="4">
        <f t="shared" si="2"/>
        <v>2.8461925497889884</v>
      </c>
      <c r="E92" s="4"/>
      <c r="G92" s="6">
        <v>0.10994263862332682</v>
      </c>
    </row>
    <row r="93" spans="1:7" x14ac:dyDescent="0.2">
      <c r="A93" s="4" t="s">
        <v>27</v>
      </c>
      <c r="B93" s="4">
        <v>1.6943358828999999E-2</v>
      </c>
      <c r="C93" s="4">
        <v>7.2064531140000002E-3</v>
      </c>
      <c r="D93" s="4">
        <f t="shared" si="2"/>
        <v>2.3511370380089036</v>
      </c>
      <c r="E93" s="4"/>
      <c r="G93" s="6">
        <v>0.10994263862332682</v>
      </c>
    </row>
    <row r="94" spans="1:7" x14ac:dyDescent="0.2">
      <c r="A94" s="4" t="s">
        <v>2</v>
      </c>
      <c r="B94" s="4"/>
      <c r="C94" s="4"/>
      <c r="D94" s="4"/>
      <c r="E94" s="4"/>
      <c r="G94" s="4"/>
    </row>
    <row r="95" spans="1:7" x14ac:dyDescent="0.2">
      <c r="A95" s="4" t="s">
        <v>29</v>
      </c>
      <c r="B95" s="4">
        <v>1.99501739E-2</v>
      </c>
      <c r="C95" s="4">
        <v>5.6868733440000006E-3</v>
      </c>
      <c r="D95" s="4">
        <f t="shared" si="2"/>
        <v>3.508109411483316</v>
      </c>
      <c r="E95" s="4">
        <f>AVERAGE(D95:D100)</f>
        <v>4.102372780547455</v>
      </c>
      <c r="F95">
        <f>_xlfn.STDEV.S(D95:D100)</f>
        <v>1.009848779930955</v>
      </c>
      <c r="G95" s="6">
        <v>0.11525518788558609</v>
      </c>
    </row>
    <row r="96" spans="1:7" x14ac:dyDescent="0.2">
      <c r="A96" s="4" t="s">
        <v>29</v>
      </c>
      <c r="B96" s="4">
        <v>1.9217846299999997E-2</v>
      </c>
      <c r="C96" s="4">
        <v>3.4197091490000002E-3</v>
      </c>
      <c r="D96" s="4">
        <f t="shared" si="2"/>
        <v>5.6197312293706991</v>
      </c>
      <c r="E96" s="4"/>
      <c r="G96" s="6">
        <v>0.11525518788558609</v>
      </c>
    </row>
    <row r="97" spans="1:7" x14ac:dyDescent="0.2">
      <c r="A97" s="4" t="s">
        <v>29</v>
      </c>
      <c r="B97" s="4">
        <v>1.7135594824000001E-2</v>
      </c>
      <c r="C97" s="4">
        <v>4.8654458860000003E-3</v>
      </c>
      <c r="D97" s="4">
        <f t="shared" si="2"/>
        <v>3.5218960862983892</v>
      </c>
      <c r="E97" s="4"/>
      <c r="G97" s="6">
        <v>0.11525518788558609</v>
      </c>
    </row>
    <row r="98" spans="1:7" x14ac:dyDescent="0.2">
      <c r="A98" s="4" t="s">
        <v>29</v>
      </c>
      <c r="B98" s="4">
        <v>2.0756344532999998E-2</v>
      </c>
      <c r="C98" s="4">
        <v>4.100773817E-3</v>
      </c>
      <c r="D98" s="4">
        <f t="shared" si="2"/>
        <v>5.061567757517702</v>
      </c>
      <c r="E98" s="4"/>
      <c r="G98" s="6">
        <v>0.11525518788558609</v>
      </c>
    </row>
    <row r="99" spans="1:7" x14ac:dyDescent="0.2">
      <c r="A99" s="4" t="s">
        <v>29</v>
      </c>
      <c r="B99" s="4">
        <v>1.9237985308999998E-2</v>
      </c>
      <c r="C99" s="4">
        <v>6.3288805399999998E-3</v>
      </c>
      <c r="D99" s="4">
        <f t="shared" si="2"/>
        <v>3.0397137672944603</v>
      </c>
      <c r="E99" s="4"/>
      <c r="G99" s="6">
        <v>0.11525518788558609</v>
      </c>
    </row>
    <row r="100" spans="1:7" x14ac:dyDescent="0.2">
      <c r="A100" s="4" t="s">
        <v>29</v>
      </c>
      <c r="B100" s="4">
        <v>1.9765261180999999E-2</v>
      </c>
      <c r="C100" s="4">
        <v>5.1162680890000003E-3</v>
      </c>
      <c r="D100" s="4">
        <f t="shared" si="2"/>
        <v>3.8632184313201647</v>
      </c>
      <c r="E100" s="4"/>
      <c r="G100" s="6">
        <v>0.11525518788558609</v>
      </c>
    </row>
    <row r="101" spans="1:7" x14ac:dyDescent="0.2">
      <c r="A101" s="4" t="s">
        <v>2</v>
      </c>
      <c r="B101" s="4"/>
      <c r="C101" s="4"/>
      <c r="D101" s="4"/>
      <c r="E101" s="4"/>
      <c r="G101" s="4"/>
    </row>
    <row r="102" spans="1:7" x14ac:dyDescent="0.2">
      <c r="A102" s="4" t="s">
        <v>31</v>
      </c>
      <c r="B102" s="4">
        <v>1.7000114218E-2</v>
      </c>
      <c r="C102" s="4">
        <v>6.0823302480000003E-3</v>
      </c>
      <c r="D102" s="4">
        <f t="shared" si="2"/>
        <v>2.7950001931562332</v>
      </c>
      <c r="E102" s="4">
        <f>AVERAGE(D102:D107)</f>
        <v>2.5145694984763485</v>
      </c>
      <c r="F102">
        <f>_xlfn.STDEV.S(D102:D107)</f>
        <v>0.19534583849540088</v>
      </c>
      <c r="G102" s="6">
        <v>0.11525518788558609</v>
      </c>
    </row>
    <row r="103" spans="1:7" x14ac:dyDescent="0.2">
      <c r="A103" s="4" t="s">
        <v>31</v>
      </c>
      <c r="B103" s="4">
        <v>2.1037680385999999E-2</v>
      </c>
      <c r="C103" s="4">
        <v>8.4080806510000005E-3</v>
      </c>
      <c r="D103" s="4">
        <f t="shared" si="2"/>
        <v>2.50207880480998</v>
      </c>
      <c r="E103" s="4"/>
      <c r="G103" s="6">
        <v>0.11525518788558609</v>
      </c>
    </row>
    <row r="104" spans="1:7" x14ac:dyDescent="0.2">
      <c r="A104" s="4" t="s">
        <v>31</v>
      </c>
      <c r="B104" s="4">
        <v>1.6007200047E-2</v>
      </c>
      <c r="C104" s="4">
        <v>5.9169462650000004E-3</v>
      </c>
      <c r="D104" s="4">
        <f t="shared" si="2"/>
        <v>2.7053144189741936</v>
      </c>
      <c r="E104" s="4"/>
      <c r="G104" s="6">
        <v>0.11525518788558609</v>
      </c>
    </row>
    <row r="105" spans="1:7" x14ac:dyDescent="0.2">
      <c r="A105" s="4" t="s">
        <v>31</v>
      </c>
      <c r="B105" s="4">
        <v>1.9099453337999998E-2</v>
      </c>
      <c r="C105" s="4">
        <v>7.8948410580000003E-3</v>
      </c>
      <c r="D105" s="4">
        <f t="shared" si="2"/>
        <v>2.4192321539704893</v>
      </c>
      <c r="E105" s="4"/>
      <c r="G105" s="6">
        <v>0.11525518788558609</v>
      </c>
    </row>
    <row r="106" spans="1:7" x14ac:dyDescent="0.2">
      <c r="A106" s="4" t="s">
        <v>31</v>
      </c>
      <c r="B106" s="4">
        <v>1.9413743932999997E-2</v>
      </c>
      <c r="C106" s="4">
        <v>8.2646664960000001E-3</v>
      </c>
      <c r="D106" s="4">
        <f t="shared" si="2"/>
        <v>2.3490051222751718</v>
      </c>
      <c r="E106" s="4"/>
      <c r="G106" s="6">
        <v>0.11525518788558609</v>
      </c>
    </row>
    <row r="107" spans="1:7" x14ac:dyDescent="0.2">
      <c r="A107" s="4" t="s">
        <v>31</v>
      </c>
      <c r="B107" s="4">
        <v>2.1027916017999998E-2</v>
      </c>
      <c r="C107" s="4">
        <v>9.0763295859999996E-3</v>
      </c>
      <c r="D107" s="4">
        <f t="shared" si="2"/>
        <v>2.3167862976720244</v>
      </c>
      <c r="E107" s="4"/>
      <c r="G107" s="6">
        <v>0.11525518788558609</v>
      </c>
    </row>
    <row r="108" spans="1:7" x14ac:dyDescent="0.2">
      <c r="A108" s="4" t="s">
        <v>2</v>
      </c>
      <c r="B108" s="4"/>
      <c r="C108" s="4"/>
      <c r="D108" s="4"/>
      <c r="E108" s="4"/>
      <c r="G108" s="4"/>
    </row>
    <row r="109" spans="1:7" x14ac:dyDescent="0.2">
      <c r="A109" s="4" t="s">
        <v>33</v>
      </c>
      <c r="B109" s="4">
        <v>1.9984349187999999E-2</v>
      </c>
      <c r="C109" s="4">
        <v>7.4707013229999997E-3</v>
      </c>
      <c r="D109" s="4">
        <f t="shared" si="2"/>
        <v>2.6750298698830743</v>
      </c>
      <c r="E109" s="4">
        <f>AVERAGE(D109:D112)</f>
        <v>2.8817287605327087</v>
      </c>
      <c r="F109">
        <f>_xlfn.STDEV.S(D109:D112)</f>
        <v>0.20488644524131774</v>
      </c>
      <c r="G109" s="6">
        <v>7.6316350458324425E-2</v>
      </c>
    </row>
    <row r="110" spans="1:7" x14ac:dyDescent="0.2">
      <c r="A110" s="4" t="s">
        <v>33</v>
      </c>
      <c r="B110" s="4">
        <v>1.6333696102E-2</v>
      </c>
      <c r="C110" s="4">
        <v>5.1748542970000005E-3</v>
      </c>
      <c r="D110" s="4">
        <f t="shared" si="2"/>
        <v>3.1563586459756121</v>
      </c>
      <c r="E110" s="4"/>
      <c r="G110" s="6">
        <v>7.6316350458324425E-2</v>
      </c>
    </row>
    <row r="111" spans="1:7" x14ac:dyDescent="0.2">
      <c r="A111" s="4" t="s">
        <v>33</v>
      </c>
      <c r="B111" s="4">
        <v>1.8165125375000001E-2</v>
      </c>
      <c r="C111" s="4">
        <v>6.2635813289999998E-3</v>
      </c>
      <c r="D111" s="4">
        <f t="shared" si="2"/>
        <v>2.9001180667833877</v>
      </c>
      <c r="E111" s="4"/>
      <c r="G111" s="6">
        <v>7.6316350458324425E-2</v>
      </c>
    </row>
    <row r="112" spans="1:7" x14ac:dyDescent="0.2">
      <c r="A112" s="4" t="s">
        <v>33</v>
      </c>
      <c r="B112" s="4">
        <v>2.2081247215999997E-2</v>
      </c>
      <c r="C112" s="4">
        <v>7.8991129689999998E-3</v>
      </c>
      <c r="D112" s="4">
        <f t="shared" si="2"/>
        <v>2.7954084594887627</v>
      </c>
      <c r="E112" s="4"/>
      <c r="G112" s="6">
        <v>7.6316350458324425E-2</v>
      </c>
    </row>
    <row r="113" spans="1:7" x14ac:dyDescent="0.2">
      <c r="A113" s="4" t="s">
        <v>2</v>
      </c>
      <c r="B113" s="4"/>
      <c r="C113" s="4"/>
      <c r="D113" s="4"/>
      <c r="E113" s="4"/>
      <c r="G113" s="6"/>
    </row>
    <row r="114" spans="1:7" x14ac:dyDescent="0.2">
      <c r="A114" s="5" t="s">
        <v>35</v>
      </c>
      <c r="B114" s="4">
        <v>1.3307352295E-2</v>
      </c>
      <c r="C114" s="4">
        <v>5.2999602620000001E-3</v>
      </c>
      <c r="D114" s="4">
        <f t="shared" si="2"/>
        <v>2.5108400133510282</v>
      </c>
      <c r="E114" s="4">
        <f>AVERAGE(D114:D119)</f>
        <v>2.2503547032552462</v>
      </c>
      <c r="F114">
        <f>_xlfn.STDEV.S(D114:D119)</f>
        <v>0.2285079749496905</v>
      </c>
      <c r="G114" s="6">
        <v>7.6316350458324425E-2</v>
      </c>
    </row>
    <row r="115" spans="1:7" x14ac:dyDescent="0.2">
      <c r="A115" s="4" t="s">
        <v>35</v>
      </c>
      <c r="B115" s="4">
        <v>1.9468058229999998E-2</v>
      </c>
      <c r="C115" s="4">
        <v>7.8191672060000002E-3</v>
      </c>
      <c r="D115" s="4">
        <f t="shared" si="2"/>
        <v>2.489786663605464</v>
      </c>
      <c r="E115" s="4"/>
      <c r="G115" s="6">
        <v>7.6316350458324425E-2</v>
      </c>
    </row>
    <row r="116" spans="1:7" x14ac:dyDescent="0.2">
      <c r="A116" s="4" t="s">
        <v>35</v>
      </c>
      <c r="B116" s="4">
        <v>1.8838866767000001E-2</v>
      </c>
      <c r="C116" s="4">
        <v>8.3610896300000005E-3</v>
      </c>
      <c r="D116" s="4">
        <f t="shared" si="2"/>
        <v>2.2531592891200711</v>
      </c>
      <c r="E116" s="4"/>
      <c r="G116" s="6">
        <v>7.6316350458324425E-2</v>
      </c>
    </row>
    <row r="117" spans="1:7" x14ac:dyDescent="0.2">
      <c r="A117" s="4" t="s">
        <v>35</v>
      </c>
      <c r="B117" s="4">
        <v>1.5980348035000001E-2</v>
      </c>
      <c r="C117" s="4">
        <v>7.5140307059999994E-3</v>
      </c>
      <c r="D117" s="4">
        <f t="shared" si="2"/>
        <v>2.1267344598737927</v>
      </c>
      <c r="E117" s="4"/>
      <c r="G117" s="6">
        <v>7.6316350458324425E-2</v>
      </c>
    </row>
    <row r="118" spans="1:7" x14ac:dyDescent="0.2">
      <c r="A118" s="4" t="s">
        <v>35</v>
      </c>
      <c r="B118" s="4">
        <v>1.8981060375999999E-2</v>
      </c>
      <c r="C118" s="4">
        <v>8.561869447000001E-3</v>
      </c>
      <c r="D118" s="4">
        <f t="shared" si="2"/>
        <v>2.2169294327012641</v>
      </c>
      <c r="E118" s="4"/>
      <c r="G118" s="6">
        <v>7.6316350458324425E-2</v>
      </c>
    </row>
    <row r="119" spans="1:7" x14ac:dyDescent="0.2">
      <c r="A119" s="4" t="s">
        <v>35</v>
      </c>
      <c r="B119" s="4">
        <v>1.3835238440000001E-2</v>
      </c>
      <c r="C119" s="4">
        <v>7.2638187760000004E-3</v>
      </c>
      <c r="D119" s="4">
        <f t="shared" si="2"/>
        <v>1.9046783608798559</v>
      </c>
      <c r="E119" s="4"/>
      <c r="G119" s="6">
        <v>7.6316350458324425E-2</v>
      </c>
    </row>
    <row r="120" spans="1:7" x14ac:dyDescent="0.2">
      <c r="A120" s="4" t="s">
        <v>2</v>
      </c>
      <c r="B120" s="4"/>
      <c r="C120" s="4"/>
      <c r="D120" s="4"/>
      <c r="E120" s="4"/>
      <c r="G120" s="4"/>
    </row>
    <row r="121" spans="1:7" x14ac:dyDescent="0.2">
      <c r="A121" s="4" t="s">
        <v>37</v>
      </c>
      <c r="B121" s="4">
        <v>1.6525321823999999E-2</v>
      </c>
      <c r="C121" s="4">
        <v>4.7922131260000004E-3</v>
      </c>
      <c r="D121" s="4">
        <f t="shared" si="2"/>
        <v>3.4483695506659311</v>
      </c>
      <c r="E121" s="4">
        <f>AVERAGE(D121:D126)</f>
        <v>2.8555746377458924</v>
      </c>
      <c r="F121">
        <f>_xlfn.STDEV.S(D121:D126)</f>
        <v>0.3098799313875289</v>
      </c>
      <c r="G121" s="6">
        <v>0.14385679414157856</v>
      </c>
    </row>
    <row r="122" spans="1:7" x14ac:dyDescent="0.2">
      <c r="A122" s="4" t="s">
        <v>37</v>
      </c>
      <c r="B122" s="4">
        <v>1.5589773315000001E-2</v>
      </c>
      <c r="C122" s="4">
        <v>5.4085888560000007E-3</v>
      </c>
      <c r="D122" s="4">
        <f t="shared" si="2"/>
        <v>2.882410501161599</v>
      </c>
      <c r="E122" s="4"/>
      <c r="G122" s="6">
        <v>0.14385679414157856</v>
      </c>
    </row>
    <row r="123" spans="1:7" x14ac:dyDescent="0.2">
      <c r="A123" s="4" t="s">
        <v>37</v>
      </c>
      <c r="B123" s="4">
        <v>2.0435951208E-2</v>
      </c>
      <c r="C123" s="4">
        <v>7.902164334000001E-3</v>
      </c>
      <c r="D123" s="4">
        <f t="shared" si="2"/>
        <v>2.5861207568250499</v>
      </c>
      <c r="E123" s="4"/>
      <c r="G123" s="6">
        <v>0.14385679414157856</v>
      </c>
    </row>
    <row r="124" spans="1:7" x14ac:dyDescent="0.2">
      <c r="A124" s="4" t="s">
        <v>37</v>
      </c>
      <c r="B124" s="4">
        <v>1.6961667018999999E-2</v>
      </c>
      <c r="C124" s="4">
        <v>6.0005536660000004E-3</v>
      </c>
      <c r="D124" s="4">
        <f t="shared" si="2"/>
        <v>2.8266836633938035</v>
      </c>
      <c r="E124" s="4"/>
      <c r="G124" s="6">
        <v>0.14385679414157856</v>
      </c>
    </row>
    <row r="125" spans="1:7" x14ac:dyDescent="0.2">
      <c r="A125" s="4" t="s">
        <v>37</v>
      </c>
      <c r="B125" s="4">
        <v>1.9343562538E-2</v>
      </c>
      <c r="C125" s="4">
        <v>7.2815166929999994E-3</v>
      </c>
      <c r="D125" s="4">
        <f t="shared" si="2"/>
        <v>2.6565293129926775</v>
      </c>
      <c r="E125" s="4"/>
      <c r="G125" s="6">
        <v>0.14385679414157856</v>
      </c>
    </row>
    <row r="126" spans="1:7" x14ac:dyDescent="0.2">
      <c r="A126" s="4" t="s">
        <v>37</v>
      </c>
      <c r="B126" s="4">
        <v>1.7065413429E-2</v>
      </c>
      <c r="C126" s="4">
        <v>6.2434423200000005E-3</v>
      </c>
      <c r="D126" s="4">
        <f t="shared" si="2"/>
        <v>2.733334041436295</v>
      </c>
      <c r="E126" s="4"/>
      <c r="G126" s="6">
        <v>0.14385679414157856</v>
      </c>
    </row>
    <row r="127" spans="1:7" x14ac:dyDescent="0.2">
      <c r="A127" s="4" t="s">
        <v>2</v>
      </c>
      <c r="B127" s="4"/>
      <c r="C127" s="4"/>
      <c r="D127" s="4"/>
      <c r="E127" s="4"/>
      <c r="G127" s="4"/>
    </row>
    <row r="128" spans="1:7" x14ac:dyDescent="0.2">
      <c r="A128" s="4" t="s">
        <v>39</v>
      </c>
      <c r="B128" s="4">
        <v>1.7400453305999999E-2</v>
      </c>
      <c r="C128" s="4">
        <v>6.3850256559999999E-3</v>
      </c>
      <c r="D128" s="4">
        <f t="shared" si="2"/>
        <v>2.7251970850968807</v>
      </c>
      <c r="E128" s="4">
        <f>AVERAGE(D128:D132)</f>
        <v>2.4880971669127279</v>
      </c>
      <c r="F128">
        <f>_xlfn.STDEV.S(D128:D132)</f>
        <v>0.14013911131018722</v>
      </c>
      <c r="G128" s="6">
        <v>9.6030729833546741E-2</v>
      </c>
    </row>
    <row r="129" spans="1:7" x14ac:dyDescent="0.2">
      <c r="A129" s="4" t="s">
        <v>39</v>
      </c>
      <c r="B129" s="4">
        <v>1.9056734228E-2</v>
      </c>
      <c r="C129" s="4">
        <v>7.9277957999999999E-3</v>
      </c>
      <c r="D129" s="4">
        <f t="shared" si="2"/>
        <v>2.4037872201501456</v>
      </c>
      <c r="E129" s="4"/>
      <c r="G129" s="6">
        <v>9.6030729833546741E-2</v>
      </c>
    </row>
    <row r="130" spans="1:7" x14ac:dyDescent="0.2">
      <c r="A130" s="4" t="s">
        <v>39</v>
      </c>
      <c r="B130" s="4">
        <v>1.9010963752999998E-2</v>
      </c>
      <c r="C130" s="4">
        <v>7.6055716560000011E-3</v>
      </c>
      <c r="D130" s="4">
        <f t="shared" si="2"/>
        <v>2.499610103338167</v>
      </c>
      <c r="E130" s="4"/>
      <c r="G130" s="6">
        <v>9.6030729833546741E-2</v>
      </c>
    </row>
    <row r="131" spans="1:7" x14ac:dyDescent="0.2">
      <c r="A131" s="4" t="s">
        <v>39</v>
      </c>
      <c r="B131" s="4">
        <v>1.8582552107000001E-2</v>
      </c>
      <c r="C131" s="4">
        <v>7.8155055679999998E-3</v>
      </c>
      <c r="D131" s="4">
        <f t="shared" ref="D131:D151" si="3">B131/C131</f>
        <v>2.3776519567825356</v>
      </c>
      <c r="E131" s="4"/>
      <c r="G131" s="6">
        <v>9.6030729833546741E-2</v>
      </c>
    </row>
    <row r="132" spans="1:7" x14ac:dyDescent="0.2">
      <c r="A132" s="4" t="s">
        <v>39</v>
      </c>
      <c r="B132" s="4">
        <v>1.7944816821999998E-2</v>
      </c>
      <c r="C132" s="4">
        <v>7.3718370970000009E-3</v>
      </c>
      <c r="D132" s="4">
        <f t="shared" si="3"/>
        <v>2.4342394691959095</v>
      </c>
      <c r="E132" s="4"/>
      <c r="G132" s="6">
        <v>9.6030729833546741E-2</v>
      </c>
    </row>
    <row r="133" spans="1:7" x14ac:dyDescent="0.2">
      <c r="A133" s="4" t="s">
        <v>2</v>
      </c>
      <c r="B133" s="4"/>
      <c r="C133" s="4"/>
      <c r="D133" s="4"/>
      <c r="E133" s="4"/>
      <c r="G133" s="4"/>
    </row>
    <row r="134" spans="1:7" x14ac:dyDescent="0.2">
      <c r="A134" s="4" t="s">
        <v>41</v>
      </c>
      <c r="B134" s="4">
        <v>1.8267651239E-2</v>
      </c>
      <c r="C134" s="4">
        <v>5.8217436770000002E-3</v>
      </c>
      <c r="D134" s="4">
        <f t="shared" si="3"/>
        <v>3.1378315935086811</v>
      </c>
      <c r="E134" s="4">
        <f>AVERAGE(D134:D138)</f>
        <v>2.7517605314138778</v>
      </c>
      <c r="F134">
        <f>_xlfn.STDEV.S(D134:D138)</f>
        <v>0.34398318651988935</v>
      </c>
      <c r="G134" s="6">
        <v>0.13374411018484977</v>
      </c>
    </row>
    <row r="135" spans="1:7" x14ac:dyDescent="0.2">
      <c r="A135" s="4" t="s">
        <v>41</v>
      </c>
      <c r="B135" s="4">
        <v>1.9428390484999999E-2</v>
      </c>
      <c r="C135" s="4">
        <v>7.3022659749999996E-3</v>
      </c>
      <c r="D135" s="4">
        <f t="shared" si="3"/>
        <v>2.6605974846047702</v>
      </c>
      <c r="E135" s="4"/>
      <c r="G135" s="6">
        <v>0.13374411018484977</v>
      </c>
    </row>
    <row r="136" spans="1:7" x14ac:dyDescent="0.2">
      <c r="A136" s="4" t="s">
        <v>41</v>
      </c>
      <c r="B136" s="4">
        <v>1.7327220546E-2</v>
      </c>
      <c r="C136" s="4">
        <v>7.4725321420000008E-3</v>
      </c>
      <c r="D136" s="4">
        <f t="shared" si="3"/>
        <v>2.3187883593850183</v>
      </c>
      <c r="E136" s="4"/>
      <c r="G136" s="6">
        <v>0.13374411018484977</v>
      </c>
    </row>
    <row r="137" spans="1:7" x14ac:dyDescent="0.2">
      <c r="A137" s="4" t="s">
        <v>41</v>
      </c>
      <c r="B137" s="4">
        <v>2.0864973126999999E-2</v>
      </c>
      <c r="C137" s="4">
        <v>8.0968414210000009E-3</v>
      </c>
      <c r="D137" s="4">
        <f t="shared" si="3"/>
        <v>2.5769274760506633</v>
      </c>
      <c r="E137" s="4"/>
      <c r="G137" s="6">
        <v>0.13374411018484977</v>
      </c>
    </row>
    <row r="138" spans="1:7" x14ac:dyDescent="0.2">
      <c r="A138" s="4" t="s">
        <v>41</v>
      </c>
      <c r="B138" s="4">
        <v>2.4004217438999997E-2</v>
      </c>
      <c r="C138" s="4">
        <v>7.8325932119999997E-3</v>
      </c>
      <c r="D138" s="4">
        <f t="shared" si="3"/>
        <v>3.0646577435202564</v>
      </c>
      <c r="E138" s="4"/>
      <c r="G138" s="6">
        <v>0.13374411018484977</v>
      </c>
    </row>
    <row r="139" spans="1:7" x14ac:dyDescent="0.2">
      <c r="A139" s="4" t="s">
        <v>2</v>
      </c>
      <c r="B139" s="4"/>
      <c r="C139" s="4"/>
      <c r="D139" s="4"/>
      <c r="E139" s="4"/>
      <c r="G139" s="4"/>
    </row>
    <row r="140" spans="1:7" x14ac:dyDescent="0.2">
      <c r="A140" s="4" t="s">
        <v>43</v>
      </c>
      <c r="B140" s="4">
        <v>1.5135119930000001E-2</v>
      </c>
      <c r="C140" s="4">
        <v>4.7745152090000005E-3</v>
      </c>
      <c r="D140" s="4">
        <f t="shared" si="3"/>
        <v>3.1699804624080317</v>
      </c>
      <c r="E140" s="4">
        <f>AVERAGE(D140:D145)</f>
        <v>2.8686591440287219</v>
      </c>
      <c r="F140">
        <f>_xlfn.STDEV.S(D140:D145)</f>
        <v>0.17831931846228954</v>
      </c>
      <c r="G140" s="6">
        <v>0.11954206602768888</v>
      </c>
    </row>
    <row r="141" spans="1:7" x14ac:dyDescent="0.2">
      <c r="A141" s="4" t="s">
        <v>43</v>
      </c>
      <c r="B141" s="4">
        <v>1.7705589806E-2</v>
      </c>
      <c r="C141" s="4">
        <v>5.9859071140000008E-3</v>
      </c>
      <c r="D141" s="4">
        <f t="shared" si="3"/>
        <v>2.9578791432612928</v>
      </c>
      <c r="E141" s="4"/>
      <c r="G141" s="6">
        <v>0.11954206602768888</v>
      </c>
    </row>
    <row r="142" spans="1:7" x14ac:dyDescent="0.2">
      <c r="A142" s="4" t="s">
        <v>43</v>
      </c>
      <c r="B142" s="4">
        <v>2.1690062223E-2</v>
      </c>
      <c r="C142" s="4">
        <v>7.7941460130000004E-3</v>
      </c>
      <c r="D142" s="4">
        <f t="shared" si="3"/>
        <v>2.782865779884383</v>
      </c>
      <c r="E142" s="4"/>
      <c r="G142" s="6">
        <v>0.11954206602768888</v>
      </c>
    </row>
    <row r="143" spans="1:7" x14ac:dyDescent="0.2">
      <c r="A143" s="4" t="s">
        <v>43</v>
      </c>
      <c r="B143" s="4">
        <v>2.0987027727E-2</v>
      </c>
      <c r="C143" s="4">
        <v>7.2796858740000001E-3</v>
      </c>
      <c r="D143" s="4">
        <f t="shared" si="3"/>
        <v>2.882957876239812</v>
      </c>
      <c r="E143" s="4"/>
      <c r="G143" s="6">
        <v>0.11954206602768888</v>
      </c>
    </row>
    <row r="144" spans="1:7" x14ac:dyDescent="0.2">
      <c r="A144" s="4" t="s">
        <v>43</v>
      </c>
      <c r="B144" s="4">
        <v>1.6329424190999999E-2</v>
      </c>
      <c r="C144" s="4">
        <v>6.0945357080000005E-3</v>
      </c>
      <c r="D144" s="4">
        <f t="shared" si="3"/>
        <v>2.6793549128878116</v>
      </c>
      <c r="E144" s="4"/>
      <c r="G144" s="6">
        <v>0.11954206602768888</v>
      </c>
    </row>
    <row r="145" spans="1:7" x14ac:dyDescent="0.2">
      <c r="A145" s="4" t="s">
        <v>43</v>
      </c>
      <c r="B145" s="4">
        <v>1.5609302051000001E-2</v>
      </c>
      <c r="C145" s="4">
        <v>5.699078804E-3</v>
      </c>
      <c r="D145" s="4">
        <f t="shared" si="3"/>
        <v>2.7389166894909991</v>
      </c>
      <c r="E145" s="4"/>
      <c r="G145" s="6">
        <v>0.11954206602768888</v>
      </c>
    </row>
    <row r="146" spans="1:7" x14ac:dyDescent="0.2">
      <c r="A146" s="4" t="s">
        <v>2</v>
      </c>
      <c r="B146" s="4"/>
      <c r="C146" s="4"/>
      <c r="D146" s="4"/>
      <c r="E146" s="4"/>
      <c r="G146" s="6"/>
    </row>
    <row r="147" spans="1:7" x14ac:dyDescent="0.2">
      <c r="A147" s="4" t="s">
        <v>45</v>
      </c>
      <c r="B147" s="4">
        <v>2.1450835206999998E-2</v>
      </c>
      <c r="C147" s="4">
        <v>6.9879753800000007E-3</v>
      </c>
      <c r="D147" s="4">
        <f t="shared" si="3"/>
        <v>3.0696781314361181</v>
      </c>
      <c r="E147" s="4">
        <f>AVERAGE(D147:D151)</f>
        <v>2.7353389242681727</v>
      </c>
      <c r="F147">
        <f>_xlfn.STDEV.S(D147:D151)</f>
        <v>0.27220946554560765</v>
      </c>
      <c r="G147" s="6">
        <v>0.13162271323354713</v>
      </c>
    </row>
    <row r="148" spans="1:7" x14ac:dyDescent="0.2">
      <c r="A148" s="4" t="s">
        <v>45</v>
      </c>
      <c r="B148" s="4">
        <v>2.0780755453E-2</v>
      </c>
      <c r="C148" s="4">
        <v>7.0917217899999999E-3</v>
      </c>
      <c r="D148" s="4">
        <f t="shared" si="3"/>
        <v>2.9302835148303243</v>
      </c>
      <c r="E148" s="4"/>
      <c r="G148" s="6">
        <v>0.13162271323354713</v>
      </c>
    </row>
    <row r="149" spans="1:7" x14ac:dyDescent="0.2">
      <c r="A149" s="4" t="s">
        <v>45</v>
      </c>
      <c r="B149" s="4">
        <v>1.8885857788000001E-2</v>
      </c>
      <c r="C149" s="4">
        <v>7.7367803510000003E-3</v>
      </c>
      <c r="D149" s="4">
        <f t="shared" si="3"/>
        <v>2.4410487219737278</v>
      </c>
      <c r="E149" s="4"/>
      <c r="G149" s="6">
        <v>0.13162271323354713</v>
      </c>
    </row>
    <row r="150" spans="1:7" x14ac:dyDescent="0.2">
      <c r="A150" s="4" t="s">
        <v>45</v>
      </c>
      <c r="B150" s="4">
        <v>1.5315760738000001E-2</v>
      </c>
      <c r="C150" s="4">
        <v>6.1494602780000004E-3</v>
      </c>
      <c r="D150" s="4">
        <f t="shared" si="3"/>
        <v>2.4905861727073666</v>
      </c>
      <c r="E150" s="4"/>
      <c r="G150" s="6">
        <v>0.13162271323354713</v>
      </c>
    </row>
    <row r="151" spans="1:7" x14ac:dyDescent="0.2">
      <c r="A151" s="4" t="s">
        <v>45</v>
      </c>
      <c r="B151" s="4">
        <v>2.0591570822999998E-2</v>
      </c>
      <c r="C151" s="4">
        <v>7.5012149730000009E-3</v>
      </c>
      <c r="D151" s="4">
        <f t="shared" si="3"/>
        <v>2.7450980803933289</v>
      </c>
      <c r="E151" s="4"/>
      <c r="G151" s="6">
        <v>0.13162271323354713</v>
      </c>
    </row>
    <row r="152" spans="1:7" x14ac:dyDescent="0.2">
      <c r="A152" s="4" t="s">
        <v>2</v>
      </c>
      <c r="B152" s="4"/>
      <c r="C152" s="4"/>
      <c r="D152" s="4"/>
      <c r="E152" s="4"/>
      <c r="G152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C8B3-6FB2-2248-A135-A1B2F70069EB}">
  <dimension ref="A1:V152"/>
  <sheetViews>
    <sheetView topLeftCell="R1" zoomScale="177" zoomScaleNormal="125" workbookViewId="0">
      <selection activeCell="X18" sqref="X18"/>
    </sheetView>
  </sheetViews>
  <sheetFormatPr baseColWidth="10" defaultRowHeight="15" x14ac:dyDescent="0.2"/>
  <cols>
    <col min="1" max="1" width="20.5" customWidth="1"/>
    <col min="2" max="3" width="14.6640625" customWidth="1"/>
    <col min="7" max="7" width="11.1640625" bestFit="1" customWidth="1"/>
    <col min="9" max="9" width="18.83203125" bestFit="1" customWidth="1"/>
    <col min="19" max="19" width="18.83203125" bestFit="1" customWidth="1"/>
    <col min="20" max="20" width="12.1640625" bestFit="1" customWidth="1"/>
    <col min="21" max="21" width="7" bestFit="1" customWidth="1"/>
    <col min="22" max="22" width="12.1640625" bestFit="1" customWidth="1"/>
  </cols>
  <sheetData>
    <row r="1" spans="1:22" x14ac:dyDescent="0.2">
      <c r="A1" s="4" t="s">
        <v>0</v>
      </c>
      <c r="B1" s="4" t="s">
        <v>51</v>
      </c>
      <c r="C1" s="4" t="s">
        <v>53</v>
      </c>
      <c r="D1" s="5" t="s">
        <v>63</v>
      </c>
      <c r="E1" s="5" t="s">
        <v>64</v>
      </c>
      <c r="F1" s="5" t="s">
        <v>65</v>
      </c>
      <c r="G1" s="5" t="s">
        <v>57</v>
      </c>
      <c r="I1" s="5" t="s">
        <v>62</v>
      </c>
      <c r="J1" s="5" t="s">
        <v>56</v>
      </c>
      <c r="K1" s="5" t="s">
        <v>60</v>
      </c>
      <c r="L1" s="5" t="s">
        <v>61</v>
      </c>
      <c r="S1" t="s">
        <v>62</v>
      </c>
      <c r="T1" t="s">
        <v>56</v>
      </c>
      <c r="U1" t="s">
        <v>60</v>
      </c>
      <c r="V1" t="s">
        <v>61</v>
      </c>
    </row>
    <row r="2" spans="1:22" x14ac:dyDescent="0.2">
      <c r="A2" s="4" t="s">
        <v>1</v>
      </c>
      <c r="B2" s="4">
        <v>7.5140307059999994E-3</v>
      </c>
      <c r="C2" s="4">
        <v>2.9302702030000001E-3</v>
      </c>
      <c r="D2" s="4">
        <f>B2/C2</f>
        <v>2.5642791228969815</v>
      </c>
      <c r="E2" s="4">
        <f>AVERAGE(D2:D6)</f>
        <v>2.8144097759507858</v>
      </c>
      <c r="F2">
        <f>_xlfn.STDEV.S(D2:D6)</f>
        <v>0.20015899383880603</v>
      </c>
      <c r="G2" s="6">
        <v>5.7142857142856898E-2</v>
      </c>
      <c r="I2" s="4" t="str">
        <f>A2</f>
        <v>A_M1_MOD#2.mat</v>
      </c>
      <c r="J2" s="4">
        <f>E2</f>
        <v>2.8144097759507858</v>
      </c>
      <c r="K2" s="6">
        <f>G2</f>
        <v>5.7142857142856898E-2</v>
      </c>
      <c r="L2" s="4">
        <f>F2</f>
        <v>0.20015899383880603</v>
      </c>
      <c r="S2" s="10" t="s">
        <v>1</v>
      </c>
      <c r="T2">
        <v>2.8144097759507858</v>
      </c>
      <c r="U2" s="3">
        <v>5.7142857142856898E-2</v>
      </c>
      <c r="V2">
        <v>0.20015899383880603</v>
      </c>
    </row>
    <row r="3" spans="1:22" x14ac:dyDescent="0.2">
      <c r="A3" s="4" t="s">
        <v>1</v>
      </c>
      <c r="B3" s="4">
        <v>9.6890436779999995E-3</v>
      </c>
      <c r="C3" s="4">
        <v>3.4306940630000004E-3</v>
      </c>
      <c r="D3" s="4">
        <f>B3/C3</f>
        <v>2.8242225917187529</v>
      </c>
      <c r="E3" s="4"/>
      <c r="G3" s="6">
        <v>5.7142857142856933E-2</v>
      </c>
      <c r="I3" s="8" t="str">
        <f>A8</f>
        <v>A_M1_MOD.mat</v>
      </c>
      <c r="J3" s="8">
        <f>E8</f>
        <v>2.032834410415389</v>
      </c>
      <c r="K3" s="9">
        <f>G8</f>
        <v>5.7142857142856933E-2</v>
      </c>
      <c r="L3" s="8">
        <f>F8</f>
        <v>0.28275093622163683</v>
      </c>
      <c r="S3" t="s">
        <v>5</v>
      </c>
      <c r="T3">
        <v>2.1230210785895873</v>
      </c>
      <c r="U3" s="3">
        <v>4.5409015025041716E-2</v>
      </c>
      <c r="V3">
        <v>0.26486148656225655</v>
      </c>
    </row>
    <row r="4" spans="1:22" x14ac:dyDescent="0.2">
      <c r="A4" s="4" t="s">
        <v>1</v>
      </c>
      <c r="B4" s="4">
        <v>1.0700876312E-2</v>
      </c>
      <c r="C4" s="4">
        <v>3.5454253870000002E-3</v>
      </c>
      <c r="D4" s="4">
        <f>B4/C4</f>
        <v>3.0182207052606067</v>
      </c>
      <c r="E4" s="4"/>
      <c r="G4" s="6">
        <v>5.7142857142856933E-2</v>
      </c>
      <c r="I4" s="4" t="str">
        <f>A14</f>
        <v>A_M1_MOD_56#2.mat</v>
      </c>
      <c r="J4" s="4">
        <f>E14</f>
        <v>2.1230210785895873</v>
      </c>
      <c r="K4" s="6">
        <f>G14</f>
        <v>4.5409015025041716E-2</v>
      </c>
      <c r="L4" s="4">
        <f>F14</f>
        <v>0.26486148656225655</v>
      </c>
      <c r="S4" t="s">
        <v>11</v>
      </c>
      <c r="T4">
        <v>1.6068215625259696</v>
      </c>
      <c r="U4" s="3">
        <v>6.9455103607060725E-2</v>
      </c>
      <c r="V4">
        <v>0.33892641855758449</v>
      </c>
    </row>
    <row r="5" spans="1:22" x14ac:dyDescent="0.2">
      <c r="A5" s="4" t="s">
        <v>1</v>
      </c>
      <c r="B5" s="4">
        <v>1.0204724363E-2</v>
      </c>
      <c r="C5" s="4">
        <v>3.8273715130000001E-3</v>
      </c>
      <c r="D5" s="4">
        <f>B5/C5</f>
        <v>2.6662487109857942</v>
      </c>
      <c r="E5" s="4"/>
      <c r="G5" s="6">
        <v>5.7142857142856933E-2</v>
      </c>
      <c r="I5" s="8" t="str">
        <f>A21</f>
        <v>A_M1_MOD_56.mat</v>
      </c>
      <c r="J5" s="8">
        <f>E21</f>
        <v>1.8199610096381189</v>
      </c>
      <c r="K5" s="9">
        <f>G21</f>
        <v>4.5409015025041716E-2</v>
      </c>
      <c r="L5" s="8">
        <f>F21</f>
        <v>0.3298327350233981</v>
      </c>
      <c r="S5" t="s">
        <v>13</v>
      </c>
      <c r="T5">
        <v>2.2735320079695116</v>
      </c>
      <c r="U5" s="3">
        <v>7.8056951423785534E-2</v>
      </c>
      <c r="V5">
        <v>0.2941415015530035</v>
      </c>
    </row>
    <row r="6" spans="1:22" x14ac:dyDescent="0.2">
      <c r="A6" s="4" t="s">
        <v>1</v>
      </c>
      <c r="B6" s="4">
        <v>1.2196045162000001E-2</v>
      </c>
      <c r="C6" s="4">
        <v>4.0665985290000003E-3</v>
      </c>
      <c r="D6" s="4">
        <f>B6/C6</f>
        <v>2.9990777488917937</v>
      </c>
      <c r="E6" s="4"/>
      <c r="G6" s="6">
        <v>5.7142857142856933E-2</v>
      </c>
      <c r="I6" s="8" t="str">
        <f>A27</f>
        <v>A_M2_MOD#2.mat</v>
      </c>
      <c r="J6" s="8">
        <f>E27</f>
        <v>2.3516755418167286</v>
      </c>
      <c r="K6" s="9">
        <f>G27</f>
        <v>6.9455103607060725E-2</v>
      </c>
      <c r="L6" s="8">
        <f>F27</f>
        <v>0.67338834509458878</v>
      </c>
      <c r="S6" t="s">
        <v>19</v>
      </c>
      <c r="T6">
        <v>1.9906938987210741</v>
      </c>
      <c r="U6" s="3">
        <v>9.3951093951094009E-2</v>
      </c>
      <c r="V6">
        <v>0.32948664931101079</v>
      </c>
    </row>
    <row r="7" spans="1:22" x14ac:dyDescent="0.2">
      <c r="A7" s="4" t="s">
        <v>2</v>
      </c>
      <c r="B7" s="4"/>
      <c r="C7" s="4"/>
      <c r="D7" s="4"/>
      <c r="E7" s="4"/>
      <c r="G7" s="4"/>
      <c r="I7" s="4" t="str">
        <f>A34</f>
        <v>A_M2_MOD.mat</v>
      </c>
      <c r="J7" s="4">
        <f>E34</f>
        <v>1.6068215625259696</v>
      </c>
      <c r="K7" s="6">
        <f>G34</f>
        <v>6.9455103607060725E-2</v>
      </c>
      <c r="L7" s="4">
        <f>F34</f>
        <v>0.33892641855758449</v>
      </c>
      <c r="S7" t="s">
        <v>21</v>
      </c>
      <c r="T7">
        <v>1.2642429550260805</v>
      </c>
      <c r="U7" s="3">
        <v>9.9105071262843708E-2</v>
      </c>
      <c r="V7">
        <v>0.16671054343621111</v>
      </c>
    </row>
    <row r="8" spans="1:22" x14ac:dyDescent="0.2">
      <c r="A8" s="4" t="s">
        <v>3</v>
      </c>
      <c r="B8" s="4">
        <v>6.1360342720000001E-3</v>
      </c>
      <c r="C8" s="4">
        <v>3.2158779670000003E-3</v>
      </c>
      <c r="D8" s="4">
        <f>B8/C8</f>
        <v>1.9080432575381987</v>
      </c>
      <c r="E8" s="4">
        <f>AVERAGE(D8:D12)</f>
        <v>2.032834410415389</v>
      </c>
      <c r="F8">
        <f>_xlfn.STDEV.S(D8:D12)</f>
        <v>0.28275093622163683</v>
      </c>
      <c r="G8" s="6">
        <v>5.7142857142856933E-2</v>
      </c>
      <c r="I8" s="4" t="str">
        <f>A41</f>
        <v>A_M2_MOD_56#2.mat</v>
      </c>
      <c r="J8" s="4">
        <f>E41</f>
        <v>2.2735320079695116</v>
      </c>
      <c r="K8" s="6">
        <f>G41</f>
        <v>7.8056951423785534E-2</v>
      </c>
      <c r="L8" s="4">
        <f>F41</f>
        <v>0.2941415015530035</v>
      </c>
      <c r="S8" t="s">
        <v>25</v>
      </c>
      <c r="T8">
        <v>1.0394312107383874</v>
      </c>
      <c r="U8" s="3">
        <v>0.10994263862332682</v>
      </c>
      <c r="V8">
        <v>0.12053649089467761</v>
      </c>
    </row>
    <row r="9" spans="1:22" x14ac:dyDescent="0.2">
      <c r="A9" s="4" t="s">
        <v>3</v>
      </c>
      <c r="B9" s="4">
        <v>7.0697519619999996E-3</v>
      </c>
      <c r="C9" s="4">
        <v>3.3190141040000004E-3</v>
      </c>
      <c r="D9" s="4">
        <f>B9/C9</f>
        <v>2.1300759022023121</v>
      </c>
      <c r="E9" s="4"/>
      <c r="G9" s="6">
        <v>5.7142857142856933E-2</v>
      </c>
      <c r="I9" s="8" t="str">
        <f>A48</f>
        <v>A_M2_MOD_56.mat</v>
      </c>
      <c r="J9" s="8">
        <f>E48</f>
        <v>1.7466432099005986</v>
      </c>
      <c r="K9" s="9">
        <f>G48</f>
        <v>7.8056951423785534E-2</v>
      </c>
      <c r="L9" s="8">
        <f>F48</f>
        <v>0.45150935973930828</v>
      </c>
      <c r="S9" t="s">
        <v>29</v>
      </c>
      <c r="T9">
        <v>1.3572212289150063</v>
      </c>
      <c r="U9" s="3">
        <v>0.11525518788558609</v>
      </c>
      <c r="V9">
        <v>0.26250522092176837</v>
      </c>
    </row>
    <row r="10" spans="1:22" x14ac:dyDescent="0.2">
      <c r="A10" s="4" t="s">
        <v>3</v>
      </c>
      <c r="B10" s="4">
        <v>8.4135731080000001E-3</v>
      </c>
      <c r="C10" s="4">
        <v>3.9762781250000006E-3</v>
      </c>
      <c r="D10" s="4">
        <f t="shared" ref="D10:D66" si="0">B10/C10</f>
        <v>2.1159418037439215</v>
      </c>
      <c r="E10" s="4"/>
      <c r="G10" s="6">
        <v>5.7142857142856933E-2</v>
      </c>
      <c r="I10" s="8" t="str">
        <f>A55</f>
        <v>A_M3_MOD#2.mat</v>
      </c>
      <c r="J10" s="8">
        <f>E55</f>
        <v>1.883075833161892</v>
      </c>
      <c r="K10" s="9">
        <f>G55</f>
        <v>9.3951093951094009E-2</v>
      </c>
      <c r="L10" s="8">
        <f>F55</f>
        <v>0.4888626807407363</v>
      </c>
      <c r="S10" t="s">
        <v>35</v>
      </c>
      <c r="T10">
        <v>2.2808630130936987</v>
      </c>
      <c r="U10" s="3">
        <v>7.6316350458324425E-2</v>
      </c>
      <c r="V10">
        <v>0.24016543881092745</v>
      </c>
    </row>
    <row r="11" spans="1:22" x14ac:dyDescent="0.2">
      <c r="A11" s="4" t="s">
        <v>3</v>
      </c>
      <c r="B11" s="4">
        <v>7.9900436460000005E-3</v>
      </c>
      <c r="C11" s="4">
        <v>4.9118266340000003E-3</v>
      </c>
      <c r="D11" s="4">
        <f t="shared" si="0"/>
        <v>1.6266949632734127</v>
      </c>
      <c r="E11" s="4"/>
      <c r="G11" s="6">
        <v>5.7142857142856933E-2</v>
      </c>
      <c r="I11" s="4" t="str">
        <f>A62</f>
        <v>A_M3_MOD.mat</v>
      </c>
      <c r="J11" s="4">
        <f>E62</f>
        <v>1.9906938987210741</v>
      </c>
      <c r="K11" s="6">
        <f>G62</f>
        <v>9.3951093951094009E-2</v>
      </c>
      <c r="L11" s="4">
        <f>F62</f>
        <v>0.32948664931101079</v>
      </c>
      <c r="S11" t="s">
        <v>37</v>
      </c>
      <c r="T11">
        <v>1.3233289920511666</v>
      </c>
      <c r="U11" s="3">
        <v>0.14385679414157856</v>
      </c>
      <c r="V11">
        <v>0.14773902209624343</v>
      </c>
    </row>
    <row r="12" spans="1:22" x14ac:dyDescent="0.2">
      <c r="A12" s="4" t="s">
        <v>3</v>
      </c>
      <c r="B12" s="4">
        <v>7.7026050630000006E-3</v>
      </c>
      <c r="C12" s="4">
        <v>3.2317499999999998E-3</v>
      </c>
      <c r="D12" s="4">
        <f t="shared" si="0"/>
        <v>2.3834161253191</v>
      </c>
      <c r="E12" s="4"/>
      <c r="G12" s="6">
        <v>5.7142857142856933E-2</v>
      </c>
      <c r="I12" s="4" t="str">
        <f>A69</f>
        <v>A_M3_MOD_56#2.mat</v>
      </c>
      <c r="J12" s="4">
        <f>E69</f>
        <v>1.2642429550260805</v>
      </c>
      <c r="K12" s="6">
        <f>G69</f>
        <v>9.9105071262843708E-2</v>
      </c>
      <c r="L12" s="4">
        <f>F69</f>
        <v>0.16671054343621111</v>
      </c>
      <c r="S12" t="s">
        <v>39</v>
      </c>
      <c r="T12">
        <v>1.6686280054187854</v>
      </c>
      <c r="U12" s="3">
        <v>9.6030729833546741E-2</v>
      </c>
      <c r="V12">
        <v>0.1086922738978835</v>
      </c>
    </row>
    <row r="13" spans="1:22" x14ac:dyDescent="0.2">
      <c r="A13" s="4" t="s">
        <v>2</v>
      </c>
      <c r="B13" s="4"/>
      <c r="C13" s="4"/>
      <c r="D13" s="4"/>
      <c r="E13" s="4"/>
      <c r="G13" s="4"/>
      <c r="I13" s="8" t="str">
        <f>A76</f>
        <v>A_M3_MOD_56.mat</v>
      </c>
      <c r="J13" s="8">
        <f>E76</f>
        <v>1.5869417759321982</v>
      </c>
      <c r="K13" s="9">
        <f>G76</f>
        <v>9.9105071262843708E-2</v>
      </c>
      <c r="L13" s="8">
        <f>F76</f>
        <v>0.18042581462320856</v>
      </c>
      <c r="S13" t="s">
        <v>41</v>
      </c>
      <c r="T13">
        <v>1.3670090304293736</v>
      </c>
      <c r="U13" s="3">
        <v>0.13374411018484977</v>
      </c>
      <c r="V13">
        <v>0.17394700949225483</v>
      </c>
    </row>
    <row r="14" spans="1:22" x14ac:dyDescent="0.2">
      <c r="A14" s="4" t="s">
        <v>5</v>
      </c>
      <c r="B14" s="4">
        <v>9.4315084719999998E-3</v>
      </c>
      <c r="C14" s="4">
        <v>4.5316265550000004E-3</v>
      </c>
      <c r="D14" s="4">
        <f t="shared" si="0"/>
        <v>2.0812633957212743</v>
      </c>
      <c r="E14" s="4">
        <f>AVERAGE(D14:D19)</f>
        <v>2.1230210785895873</v>
      </c>
      <c r="F14">
        <f>_xlfn.STDEV.S(D14:D19)</f>
        <v>0.26486148656225655</v>
      </c>
      <c r="G14" s="6">
        <v>4.5409015025041716E-2</v>
      </c>
      <c r="I14" s="4" t="str">
        <f>A83</f>
        <v>A_M4_MOD#2.mat</v>
      </c>
      <c r="J14" s="4">
        <f>E83</f>
        <v>1.0394312107383874</v>
      </c>
      <c r="K14" s="6">
        <f>G83</f>
        <v>0.10994263862332682</v>
      </c>
      <c r="L14" s="4">
        <f>F83</f>
        <v>0.12053649089467761</v>
      </c>
      <c r="S14" t="s">
        <v>43</v>
      </c>
      <c r="T14">
        <v>1.3036016315793881</v>
      </c>
      <c r="U14" s="3">
        <v>0.11954206602768888</v>
      </c>
      <c r="V14">
        <v>0.16243660030246712</v>
      </c>
    </row>
    <row r="15" spans="1:22" x14ac:dyDescent="0.2">
      <c r="A15" s="4" t="s">
        <v>5</v>
      </c>
      <c r="B15" s="4">
        <v>7.9729560020000007E-3</v>
      </c>
      <c r="C15" s="4">
        <v>4.5011129050000001E-3</v>
      </c>
      <c r="D15" s="4">
        <f t="shared" si="0"/>
        <v>1.7713299289034388</v>
      </c>
      <c r="E15" s="4"/>
      <c r="G15" s="6">
        <v>4.5409015025041716E-2</v>
      </c>
      <c r="I15" s="8" t="str">
        <f>A89</f>
        <v>A_M4_MOD.mat</v>
      </c>
      <c r="J15" s="8">
        <f>E89</f>
        <v>1.1640432880842693</v>
      </c>
      <c r="K15" s="9">
        <f>G89</f>
        <v>0.10994263862332682</v>
      </c>
      <c r="L15" s="8">
        <f>F89</f>
        <v>0.16116658710158893</v>
      </c>
      <c r="S15" t="s">
        <v>45</v>
      </c>
      <c r="T15">
        <v>1.4534093818238283</v>
      </c>
      <c r="U15" s="3">
        <v>0.13162271323354713</v>
      </c>
      <c r="V15">
        <v>8.9303534782001107E-2</v>
      </c>
    </row>
    <row r="16" spans="1:22" x14ac:dyDescent="0.2">
      <c r="A16" s="4" t="s">
        <v>5</v>
      </c>
      <c r="B16" s="4">
        <v>9.9136241419999997E-3</v>
      </c>
      <c r="C16" s="4">
        <v>4.2930098120000006E-3</v>
      </c>
      <c r="D16" s="4">
        <f t="shared" si="0"/>
        <v>2.3092479579918552</v>
      </c>
      <c r="E16" s="4"/>
      <c r="G16" s="6">
        <v>4.5409015025041716E-2</v>
      </c>
      <c r="I16" s="4" t="str">
        <f>A95</f>
        <v>A_M4_MOD_56#2.mat</v>
      </c>
      <c r="J16" s="4">
        <f>E95</f>
        <v>1.3572212289150063</v>
      </c>
      <c r="K16" s="6">
        <f>G95</f>
        <v>0.11525518788558609</v>
      </c>
      <c r="L16" s="4">
        <f>F95</f>
        <v>0.26250522092176837</v>
      </c>
    </row>
    <row r="17" spans="1:12" x14ac:dyDescent="0.2">
      <c r="A17" s="4" t="s">
        <v>5</v>
      </c>
      <c r="B17" s="4">
        <v>8.597875554E-3</v>
      </c>
      <c r="C17" s="4">
        <v>4.1587497520000002E-3</v>
      </c>
      <c r="D17" s="4">
        <f t="shared" si="0"/>
        <v>2.0674183508794108</v>
      </c>
      <c r="E17" s="4"/>
      <c r="G17" s="6">
        <v>4.5409015025041716E-2</v>
      </c>
      <c r="I17" s="8" t="str">
        <f>A102</f>
        <v>A_M4_MOD_56.mat</v>
      </c>
      <c r="J17" s="8">
        <f>E102</f>
        <v>1.830415666082146</v>
      </c>
      <c r="K17" s="9">
        <f>G102</f>
        <v>0.11525518788558609</v>
      </c>
      <c r="L17" s="8">
        <f>F102</f>
        <v>0.47219303746923502</v>
      </c>
    </row>
    <row r="18" spans="1:12" x14ac:dyDescent="0.2">
      <c r="A18" s="4" t="s">
        <v>5</v>
      </c>
      <c r="B18" s="4">
        <v>1.0583093623000001E-2</v>
      </c>
      <c r="C18" s="4">
        <v>4.1813299999999996E-3</v>
      </c>
      <c r="D18" s="4">
        <f t="shared" si="0"/>
        <v>2.53103525026726</v>
      </c>
      <c r="E18" s="4"/>
      <c r="G18" s="6">
        <v>4.5409015025041716E-2</v>
      </c>
      <c r="I18" s="8" t="str">
        <f>A109</f>
        <v>A_M5_EST#2.mat</v>
      </c>
      <c r="J18" s="8">
        <f>E109</f>
        <v>1.7705610156442466</v>
      </c>
      <c r="K18" s="9">
        <f>G109</f>
        <v>7.6316350458324425E-2</v>
      </c>
      <c r="L18" s="8">
        <f>F109</f>
        <v>0.4250635725617567</v>
      </c>
    </row>
    <row r="19" spans="1:12" x14ac:dyDescent="0.2">
      <c r="A19" s="4" t="s">
        <v>5</v>
      </c>
      <c r="B19" s="4">
        <v>1.0866260295000001E-2</v>
      </c>
      <c r="C19" s="4">
        <v>5.494027076E-3</v>
      </c>
      <c r="D19" s="4">
        <f t="shared" si="0"/>
        <v>1.9778315877742865</v>
      </c>
      <c r="E19" s="4"/>
      <c r="G19" s="6">
        <v>4.5409015025041716E-2</v>
      </c>
      <c r="I19" s="4" t="str">
        <f>A114</f>
        <v>A_M5_EST.mat</v>
      </c>
      <c r="J19" s="4">
        <f>E114</f>
        <v>2.2808630130936987</v>
      </c>
      <c r="K19" s="6">
        <f>G114</f>
        <v>7.6316350458324425E-2</v>
      </c>
      <c r="L19" s="4">
        <f>F114</f>
        <v>0.24016543881092745</v>
      </c>
    </row>
    <row r="20" spans="1:12" x14ac:dyDescent="0.2">
      <c r="A20" s="4" t="s">
        <v>2</v>
      </c>
      <c r="B20" s="4"/>
      <c r="C20" s="4"/>
      <c r="D20" s="4"/>
      <c r="E20" s="4"/>
      <c r="G20" s="4"/>
      <c r="I20" s="4" t="str">
        <f>A121</f>
        <v>A_M5_EST_2.mat</v>
      </c>
      <c r="J20" s="4">
        <f>E121</f>
        <v>1.3233289920511666</v>
      </c>
      <c r="K20" s="6">
        <f>G121</f>
        <v>0.14385679414157856</v>
      </c>
      <c r="L20" s="4">
        <f>F121</f>
        <v>0.14773902209624343</v>
      </c>
    </row>
    <row r="21" spans="1:12" x14ac:dyDescent="0.2">
      <c r="A21" s="4" t="s">
        <v>7</v>
      </c>
      <c r="B21" s="4">
        <v>7.6733119589999996E-3</v>
      </c>
      <c r="C21" s="4">
        <v>4.3613603880000001E-3</v>
      </c>
      <c r="D21" s="4">
        <f t="shared" si="0"/>
        <v>1.7593849799967505</v>
      </c>
      <c r="E21" s="4">
        <f>AVERAGE(D21:D25)</f>
        <v>1.8199610096381189</v>
      </c>
      <c r="F21">
        <f>_xlfn.STDEV.S(D21:D25)</f>
        <v>0.3298327350233981</v>
      </c>
      <c r="G21" s="6">
        <v>4.5409015025041716E-2</v>
      </c>
      <c r="I21" s="4" t="str">
        <f>A128</f>
        <v>A_M6_EST.mat</v>
      </c>
      <c r="J21" s="4">
        <f>E128</f>
        <v>1.6686280054187854</v>
      </c>
      <c r="K21" s="6">
        <f>G128</f>
        <v>9.6030729833546741E-2</v>
      </c>
      <c r="L21" s="4">
        <f>F128</f>
        <v>0.1086922738978835</v>
      </c>
    </row>
    <row r="22" spans="1:12" x14ac:dyDescent="0.2">
      <c r="A22" s="4" t="s">
        <v>7</v>
      </c>
      <c r="B22" s="4">
        <v>7.8850766899999994E-3</v>
      </c>
      <c r="C22" s="4">
        <v>6.0158104910000001E-3</v>
      </c>
      <c r="D22" s="4">
        <f t="shared" si="0"/>
        <v>1.3107255791711738</v>
      </c>
      <c r="E22" s="4"/>
      <c r="G22" s="6">
        <v>4.5409015025041716E-2</v>
      </c>
      <c r="I22" s="4" t="str">
        <f>A134</f>
        <v>A_M6_MOD_2.mat</v>
      </c>
      <c r="J22" s="4">
        <f>E134</f>
        <v>1.3670090304293736</v>
      </c>
      <c r="K22" s="6">
        <f>G134</f>
        <v>0.13374411018484977</v>
      </c>
      <c r="L22" s="4">
        <f>F134</f>
        <v>0.17394700949225483</v>
      </c>
    </row>
    <row r="23" spans="1:12" x14ac:dyDescent="0.2">
      <c r="A23" s="4" t="s">
        <v>7</v>
      </c>
      <c r="B23" s="4">
        <v>9.8184215539999994E-3</v>
      </c>
      <c r="C23" s="4">
        <v>4.4791430769999998E-3</v>
      </c>
      <c r="D23" s="4">
        <f t="shared" si="0"/>
        <v>2.1920312401755413</v>
      </c>
      <c r="E23" s="4"/>
      <c r="G23" s="6">
        <v>4.5409015025041702E-2</v>
      </c>
      <c r="I23" s="4" t="str">
        <f>A140</f>
        <v>A_M7_EST.mat</v>
      </c>
      <c r="J23" s="4">
        <f>E140</f>
        <v>1.3036016315793881</v>
      </c>
      <c r="K23" s="6">
        <f>G140</f>
        <v>0.11954206602768888</v>
      </c>
      <c r="L23" s="4">
        <f>F140</f>
        <v>0.16243660030246712</v>
      </c>
    </row>
    <row r="24" spans="1:12" x14ac:dyDescent="0.2">
      <c r="A24" s="4" t="s">
        <v>7</v>
      </c>
      <c r="B24" s="4">
        <v>9.5499014340000004E-3</v>
      </c>
      <c r="C24" s="4">
        <v>5.2053679469999999E-3</v>
      </c>
      <c r="D24" s="4">
        <f t="shared" si="0"/>
        <v>1.8346256270901806</v>
      </c>
      <c r="E24" s="4"/>
      <c r="G24" s="6">
        <v>4.5409015025041702E-2</v>
      </c>
      <c r="I24" s="4" t="str">
        <f>A147</f>
        <v>A_M8_EST.mat</v>
      </c>
      <c r="J24" s="4">
        <f>E147</f>
        <v>1.4534093818238283</v>
      </c>
      <c r="K24" s="6">
        <f>G147</f>
        <v>0.13162271323354713</v>
      </c>
      <c r="L24" s="4">
        <f>F147</f>
        <v>8.9303534782001107E-2</v>
      </c>
    </row>
    <row r="25" spans="1:12" x14ac:dyDescent="0.2">
      <c r="A25" s="4" t="s">
        <v>7</v>
      </c>
      <c r="B25" s="4">
        <v>9.8300167409999997E-3</v>
      </c>
      <c r="C25" s="4">
        <v>4.9075547229999999E-3</v>
      </c>
      <c r="D25" s="4">
        <f t="shared" si="0"/>
        <v>2.0030376217569485</v>
      </c>
      <c r="E25" s="4"/>
      <c r="G25" s="6">
        <v>4.5409015025041702E-2</v>
      </c>
    </row>
    <row r="26" spans="1:12" x14ac:dyDescent="0.2">
      <c r="A26" s="4" t="s">
        <v>2</v>
      </c>
      <c r="B26" s="4"/>
      <c r="C26" s="4"/>
      <c r="D26" s="4"/>
      <c r="E26" s="4"/>
      <c r="G26" s="4"/>
    </row>
    <row r="27" spans="1:12" x14ac:dyDescent="0.2">
      <c r="A27" s="4" t="s">
        <v>9</v>
      </c>
      <c r="B27" s="4">
        <v>8.2933493270000002E-3</v>
      </c>
      <c r="C27" s="4">
        <v>4.0476800660000003E-3</v>
      </c>
      <c r="D27" s="4">
        <f t="shared" si="0"/>
        <v>2.0489142401997342</v>
      </c>
      <c r="E27" s="4">
        <f>AVERAGE(D27:D32)</f>
        <v>2.3516755418167286</v>
      </c>
      <c r="F27">
        <f>_xlfn.STDEV.S(D27:D32)</f>
        <v>0.67338834509458878</v>
      </c>
      <c r="G27" s="6">
        <v>6.9455103607060725E-2</v>
      </c>
    </row>
    <row r="28" spans="1:12" x14ac:dyDescent="0.2">
      <c r="A28" s="4" t="s">
        <v>9</v>
      </c>
      <c r="B28" s="4">
        <v>1.1142713964E-2</v>
      </c>
      <c r="C28" s="4">
        <v>3.5301685620000001E-3</v>
      </c>
      <c r="D28" s="4">
        <f t="shared" si="0"/>
        <v>3.1564254704277204</v>
      </c>
      <c r="E28" s="4"/>
      <c r="G28" s="6">
        <v>6.9455103607060725E-2</v>
      </c>
    </row>
    <row r="29" spans="1:12" x14ac:dyDescent="0.2">
      <c r="A29" s="4" t="s">
        <v>9</v>
      </c>
      <c r="B29" s="4">
        <v>9.3466805249999996E-3</v>
      </c>
      <c r="C29" s="4">
        <v>4.713487909E-3</v>
      </c>
      <c r="D29" s="4">
        <f t="shared" si="0"/>
        <v>1.982964782227046</v>
      </c>
      <c r="E29" s="4"/>
      <c r="G29" s="6">
        <v>6.9455103607060725E-2</v>
      </c>
    </row>
    <row r="30" spans="1:12" x14ac:dyDescent="0.2">
      <c r="A30" s="4" t="s">
        <v>9</v>
      </c>
      <c r="B30" s="4">
        <v>3.9787192169999999E-3</v>
      </c>
      <c r="C30" s="4">
        <v>2.5323722070000002E-3</v>
      </c>
      <c r="D30" s="4">
        <f t="shared" si="0"/>
        <v>1.5711431384383376</v>
      </c>
      <c r="E30" s="4"/>
      <c r="G30" s="6">
        <v>6.9455103607060725E-2</v>
      </c>
    </row>
    <row r="31" spans="1:12" x14ac:dyDescent="0.2">
      <c r="A31" s="4" t="s">
        <v>9</v>
      </c>
      <c r="B31" s="4">
        <v>9.2923662280000006E-3</v>
      </c>
      <c r="C31" s="4">
        <v>4.342441925E-3</v>
      </c>
      <c r="D31" s="4">
        <f t="shared" si="0"/>
        <v>2.1398941859193661</v>
      </c>
      <c r="E31" s="4"/>
      <c r="G31" s="6">
        <v>6.9455103607060725E-2</v>
      </c>
    </row>
    <row r="32" spans="1:12" x14ac:dyDescent="0.2">
      <c r="A32" s="4" t="s">
        <v>9</v>
      </c>
      <c r="B32" s="4">
        <v>1.1110979768E-2</v>
      </c>
      <c r="C32" s="4">
        <v>3.4605974400000001E-3</v>
      </c>
      <c r="D32" s="4">
        <f t="shared" si="0"/>
        <v>3.210711433688167</v>
      </c>
      <c r="E32" s="4"/>
      <c r="G32" s="6">
        <v>6.9455103607060725E-2</v>
      </c>
    </row>
    <row r="33" spans="1:7" x14ac:dyDescent="0.2">
      <c r="A33" s="4" t="s">
        <v>2</v>
      </c>
      <c r="B33" s="4"/>
      <c r="C33" s="4"/>
      <c r="D33" s="4"/>
      <c r="E33" s="4"/>
      <c r="G33" s="4"/>
    </row>
    <row r="34" spans="1:7" x14ac:dyDescent="0.2">
      <c r="A34" s="4" t="s">
        <v>11</v>
      </c>
      <c r="B34" s="4">
        <v>4.8819232570000001E-3</v>
      </c>
      <c r="C34" s="4">
        <v>4.6176750479999997E-3</v>
      </c>
      <c r="D34" s="4">
        <f t="shared" si="0"/>
        <v>1.0572253799267342</v>
      </c>
      <c r="E34" s="7">
        <f>AVERAGE(D34:D39)</f>
        <v>1.6068215625259696</v>
      </c>
      <c r="F34">
        <f>_xlfn.STDEV.S(D34:D39)</f>
        <v>0.33892641855758449</v>
      </c>
      <c r="G34" s="6">
        <v>6.9455103607060725E-2</v>
      </c>
    </row>
    <row r="35" spans="1:7" x14ac:dyDescent="0.2">
      <c r="A35" s="4" t="s">
        <v>11</v>
      </c>
      <c r="B35" s="4">
        <v>7.5829915549999998E-3</v>
      </c>
      <c r="C35" s="4">
        <v>3.9774986709999998E-3</v>
      </c>
      <c r="D35" s="4">
        <f t="shared" si="0"/>
        <v>1.9064724295919193</v>
      </c>
      <c r="E35" s="4"/>
      <c r="G35" s="6">
        <v>6.9455103607060725E-2</v>
      </c>
    </row>
    <row r="36" spans="1:7" x14ac:dyDescent="0.2">
      <c r="A36" s="4" t="s">
        <v>11</v>
      </c>
      <c r="B36" s="4">
        <v>8.1639714510000003E-3</v>
      </c>
      <c r="C36" s="4">
        <v>4.4846355340000003E-3</v>
      </c>
      <c r="D36" s="4">
        <f t="shared" si="0"/>
        <v>1.8204314239374262</v>
      </c>
      <c r="E36" s="4"/>
      <c r="G36" s="6">
        <v>6.9455103607060725E-2</v>
      </c>
    </row>
    <row r="37" spans="1:7" x14ac:dyDescent="0.2">
      <c r="A37" s="4" t="s">
        <v>11</v>
      </c>
      <c r="B37" s="4">
        <v>7.4157767529999998E-3</v>
      </c>
      <c r="C37" s="4">
        <v>4.3851610349999997E-3</v>
      </c>
      <c r="D37" s="4">
        <f t="shared" si="0"/>
        <v>1.6911070525828478</v>
      </c>
      <c r="E37" s="4"/>
      <c r="G37" s="6">
        <v>6.9455103607060725E-2</v>
      </c>
    </row>
    <row r="38" spans="1:7" x14ac:dyDescent="0.2">
      <c r="A38" s="4" t="s">
        <v>11</v>
      </c>
      <c r="B38" s="4">
        <v>7.2674804140000007E-3</v>
      </c>
      <c r="C38" s="4">
        <v>3.9573596620000005E-3</v>
      </c>
      <c r="D38" s="4">
        <f t="shared" si="0"/>
        <v>1.8364467813691481</v>
      </c>
      <c r="E38" s="4"/>
      <c r="G38" s="6">
        <v>6.9455103607060725E-2</v>
      </c>
    </row>
    <row r="39" spans="1:7" x14ac:dyDescent="0.2">
      <c r="A39" s="4" t="s">
        <v>11</v>
      </c>
      <c r="B39" s="4">
        <v>6.0585296009999998E-3</v>
      </c>
      <c r="C39" s="4">
        <v>4.5578682940000002E-3</v>
      </c>
      <c r="D39" s="4">
        <f t="shared" si="0"/>
        <v>1.3292463077477419</v>
      </c>
      <c r="E39" s="4"/>
      <c r="G39" s="6">
        <v>6.9455103607060725E-2</v>
      </c>
    </row>
    <row r="40" spans="1:7" x14ac:dyDescent="0.2">
      <c r="A40" s="4" t="s">
        <v>2</v>
      </c>
      <c r="B40" s="4"/>
      <c r="C40" s="4"/>
      <c r="D40" s="4"/>
      <c r="E40" s="4"/>
      <c r="G40" s="4"/>
    </row>
    <row r="41" spans="1:7" x14ac:dyDescent="0.2">
      <c r="A41" s="4" t="s">
        <v>13</v>
      </c>
      <c r="B41" s="4">
        <v>8.7718033589999998E-3</v>
      </c>
      <c r="C41" s="4">
        <v>4.6817537130000005E-3</v>
      </c>
      <c r="D41" s="4">
        <f t="shared" si="0"/>
        <v>1.87361486672035</v>
      </c>
      <c r="E41" s="4">
        <f>AVERAGE(D41:D46)</f>
        <v>2.2735320079695116</v>
      </c>
      <c r="F41">
        <f>_xlfn.STDEV.S(D41:D46)</f>
        <v>0.2941415015530035</v>
      </c>
      <c r="G41" s="6">
        <v>7.8056951423785534E-2</v>
      </c>
    </row>
    <row r="42" spans="1:7" x14ac:dyDescent="0.2">
      <c r="A42" s="4" t="s">
        <v>13</v>
      </c>
      <c r="B42" s="4">
        <v>9.946578884000001E-3</v>
      </c>
      <c r="C42" s="4">
        <v>4.8892465329999999E-3</v>
      </c>
      <c r="D42" s="4">
        <f t="shared" si="0"/>
        <v>2.0343786750914492</v>
      </c>
      <c r="E42" s="4"/>
      <c r="G42" s="6">
        <v>7.8056951423785534E-2</v>
      </c>
    </row>
    <row r="43" spans="1:7" x14ac:dyDescent="0.2">
      <c r="A43" s="4" t="s">
        <v>13</v>
      </c>
      <c r="B43" s="4">
        <v>1.1034695643000001E-2</v>
      </c>
      <c r="C43" s="4">
        <v>4.2557831589999998E-3</v>
      </c>
      <c r="D43" s="4">
        <f t="shared" si="0"/>
        <v>2.5928707433470066</v>
      </c>
      <c r="E43" s="4"/>
      <c r="G43" s="6">
        <v>7.8056951423785534E-2</v>
      </c>
    </row>
    <row r="44" spans="1:7" x14ac:dyDescent="0.2">
      <c r="A44" s="4" t="s">
        <v>13</v>
      </c>
      <c r="B44" s="4">
        <v>1.0240730470000001E-2</v>
      </c>
      <c r="C44" s="4">
        <v>4.5499347450000003E-3</v>
      </c>
      <c r="D44" s="4">
        <f t="shared" si="0"/>
        <v>2.2507422730081372</v>
      </c>
      <c r="E44" s="4"/>
      <c r="G44" s="6">
        <v>7.8056951423785534E-2</v>
      </c>
    </row>
    <row r="45" spans="1:7" x14ac:dyDescent="0.2">
      <c r="A45" s="4" t="s">
        <v>13</v>
      </c>
      <c r="B45" s="4">
        <v>1.0218760642E-2</v>
      </c>
      <c r="C45" s="4">
        <v>3.9158610980000001E-3</v>
      </c>
      <c r="D45" s="4">
        <f t="shared" si="0"/>
        <v>2.609582001572825</v>
      </c>
      <c r="E45" s="4"/>
      <c r="G45" s="6">
        <v>7.8056951423785534E-2</v>
      </c>
    </row>
    <row r="46" spans="1:7" x14ac:dyDescent="0.2">
      <c r="A46" s="4" t="s">
        <v>13</v>
      </c>
      <c r="B46" s="4">
        <v>1.0725897505E-2</v>
      </c>
      <c r="C46" s="4">
        <v>4.704333814E-3</v>
      </c>
      <c r="D46" s="4">
        <f t="shared" si="0"/>
        <v>2.2800034880773024</v>
      </c>
      <c r="E46" s="4"/>
      <c r="G46" s="6">
        <v>7.8056951423785506E-2</v>
      </c>
    </row>
    <row r="47" spans="1:7" x14ac:dyDescent="0.2">
      <c r="A47" s="4" t="s">
        <v>2</v>
      </c>
      <c r="B47" s="4"/>
      <c r="C47" s="4"/>
      <c r="D47" s="4"/>
      <c r="E47" s="4"/>
      <c r="G47" s="4"/>
    </row>
    <row r="48" spans="1:7" x14ac:dyDescent="0.2">
      <c r="A48" s="4" t="s">
        <v>15</v>
      </c>
      <c r="B48" s="4">
        <v>1.0890671215E-2</v>
      </c>
      <c r="C48" s="4">
        <v>5.7643780150000001E-3</v>
      </c>
      <c r="D48" s="4">
        <f t="shared" si="0"/>
        <v>1.8893055220633375</v>
      </c>
      <c r="E48" s="4">
        <f>AVERAGE(D48:D53)</f>
        <v>1.7466432099005986</v>
      </c>
      <c r="F48">
        <f>_xlfn.STDEV.S(D48:D52)</f>
        <v>0.45150935973930828</v>
      </c>
      <c r="G48" s="6">
        <v>7.8056951423785534E-2</v>
      </c>
    </row>
    <row r="49" spans="1:7" x14ac:dyDescent="0.2">
      <c r="A49" s="4" t="s">
        <v>15</v>
      </c>
      <c r="B49" s="4">
        <v>8.8694470390000002E-3</v>
      </c>
      <c r="C49" s="4">
        <v>7.6104538399999998E-3</v>
      </c>
      <c r="D49" s="4">
        <f t="shared" si="0"/>
        <v>1.1654294507881806</v>
      </c>
      <c r="E49" s="4"/>
      <c r="G49" s="6">
        <v>7.8056951423785534E-2</v>
      </c>
    </row>
    <row r="50" spans="1:7" x14ac:dyDescent="0.2">
      <c r="A50" s="4" t="s">
        <v>15</v>
      </c>
      <c r="B50" s="4">
        <v>1.0612386727E-2</v>
      </c>
      <c r="C50" s="4">
        <v>4.4846355340000003E-3</v>
      </c>
      <c r="D50" s="4">
        <f t="shared" si="0"/>
        <v>2.3663877803542372</v>
      </c>
      <c r="E50" s="4"/>
      <c r="G50" s="6">
        <v>7.8056951423785534E-2</v>
      </c>
    </row>
    <row r="51" spans="1:7" x14ac:dyDescent="0.2">
      <c r="A51" s="4" t="s">
        <v>15</v>
      </c>
      <c r="B51" s="4">
        <v>1.0437848649000001E-2</v>
      </c>
      <c r="C51" s="4">
        <v>6.9940781100000004E-3</v>
      </c>
      <c r="D51" s="4">
        <f t="shared" si="0"/>
        <v>1.4923837687880783</v>
      </c>
      <c r="E51" s="4"/>
      <c r="G51" s="6">
        <v>7.8056951423785534E-2</v>
      </c>
    </row>
    <row r="52" spans="1:7" x14ac:dyDescent="0.2">
      <c r="A52" s="4" t="s">
        <v>15</v>
      </c>
      <c r="B52" s="4">
        <v>1.0448833563E-2</v>
      </c>
      <c r="C52" s="4">
        <v>5.6801603410000009E-3</v>
      </c>
      <c r="D52" s="4">
        <f t="shared" si="0"/>
        <v>1.8395314455437479</v>
      </c>
      <c r="E52" s="4"/>
      <c r="G52" s="6">
        <v>7.8056951423785534E-2</v>
      </c>
    </row>
    <row r="53" spans="1:7" x14ac:dyDescent="0.2">
      <c r="A53" s="4" t="s">
        <v>15</v>
      </c>
      <c r="B53" s="4">
        <v>9.8855515840000005E-3</v>
      </c>
      <c r="C53" s="4">
        <v>5.7247102700000007E-3</v>
      </c>
      <c r="D53" s="4">
        <f t="shared" si="0"/>
        <v>1.7268212918660073</v>
      </c>
      <c r="E53" s="4"/>
      <c r="G53" s="6">
        <v>7.8056951423785506E-2</v>
      </c>
    </row>
    <row r="54" spans="1:7" x14ac:dyDescent="0.2">
      <c r="A54" s="4" t="s">
        <v>2</v>
      </c>
      <c r="B54" s="4"/>
      <c r="C54" s="4"/>
      <c r="D54" s="4"/>
      <c r="E54" s="4"/>
      <c r="G54" s="4"/>
    </row>
    <row r="55" spans="1:7" x14ac:dyDescent="0.2">
      <c r="A55" s="4" t="s">
        <v>17</v>
      </c>
      <c r="B55" s="4">
        <v>7.242459221000001E-3</v>
      </c>
      <c r="C55" s="4">
        <v>4.0318129680000005E-3</v>
      </c>
      <c r="D55" s="4">
        <f t="shared" si="0"/>
        <v>1.7963281725820373</v>
      </c>
      <c r="E55" s="4">
        <f>AVERAGE(D55:D60)</f>
        <v>1.883075833161892</v>
      </c>
      <c r="F55">
        <f>_xlfn.STDEV.S(D55:D60)</f>
        <v>0.4888626807407363</v>
      </c>
      <c r="G55" s="6">
        <v>9.3951093951094009E-2</v>
      </c>
    </row>
    <row r="56" spans="1:7" x14ac:dyDescent="0.2">
      <c r="A56" s="4" t="s">
        <v>17</v>
      </c>
      <c r="B56" s="4">
        <v>8.1725152730000011E-3</v>
      </c>
      <c r="C56" s="4">
        <v>5.0320504150000002E-3</v>
      </c>
      <c r="D56" s="4">
        <f t="shared" si="0"/>
        <v>1.6240924869589171</v>
      </c>
      <c r="E56" s="4"/>
      <c r="G56" s="6">
        <v>9.3951093951094009E-2</v>
      </c>
    </row>
    <row r="57" spans="1:7" x14ac:dyDescent="0.2">
      <c r="A57" s="4" t="s">
        <v>17</v>
      </c>
      <c r="B57" s="4">
        <v>7.7660734549999996E-3</v>
      </c>
      <c r="C57" s="4">
        <v>4.5786175760000004E-3</v>
      </c>
      <c r="D57" s="4">
        <f t="shared" si="0"/>
        <v>1.6961611940922665</v>
      </c>
      <c r="E57" s="4"/>
      <c r="G57" s="6">
        <v>9.3951093951094009E-2</v>
      </c>
    </row>
    <row r="58" spans="1:7" x14ac:dyDescent="0.2">
      <c r="A58" s="4" t="s">
        <v>17</v>
      </c>
      <c r="B58" s="4">
        <v>7.0447307689999999E-3</v>
      </c>
      <c r="C58" s="4">
        <v>5.6258460440000001E-3</v>
      </c>
      <c r="D58" s="4">
        <f t="shared" si="0"/>
        <v>1.2522082392413225</v>
      </c>
      <c r="E58" s="4"/>
      <c r="G58" s="6">
        <v>9.3951093951094009E-2</v>
      </c>
    </row>
    <row r="59" spans="1:7" x14ac:dyDescent="0.2">
      <c r="A59" s="4" t="s">
        <v>17</v>
      </c>
      <c r="B59" s="4">
        <v>9.8525968420000009E-3</v>
      </c>
      <c r="C59" s="4">
        <v>4.118471734E-3</v>
      </c>
      <c r="D59" s="4">
        <f t="shared" si="0"/>
        <v>2.392294394219582</v>
      </c>
      <c r="E59" s="4"/>
      <c r="G59" s="6">
        <v>9.3951093951094009E-2</v>
      </c>
    </row>
    <row r="60" spans="1:7" x14ac:dyDescent="0.2">
      <c r="A60" s="4" t="s">
        <v>17</v>
      </c>
      <c r="B60" s="4">
        <v>1.0530610145000001E-2</v>
      </c>
      <c r="C60" s="4">
        <v>4.1502059300000003E-3</v>
      </c>
      <c r="D60" s="4">
        <f t="shared" si="0"/>
        <v>2.5373705118772265</v>
      </c>
      <c r="E60" s="4"/>
      <c r="G60" s="6">
        <v>9.3951093951094009E-2</v>
      </c>
    </row>
    <row r="61" spans="1:7" x14ac:dyDescent="0.2">
      <c r="A61" s="4" t="s">
        <v>2</v>
      </c>
      <c r="B61" s="4"/>
      <c r="C61" s="4"/>
      <c r="D61" s="4"/>
      <c r="E61" s="4"/>
      <c r="G61" s="4"/>
    </row>
    <row r="62" spans="1:7" x14ac:dyDescent="0.2">
      <c r="A62" s="4" t="s">
        <v>19</v>
      </c>
      <c r="B62" s="4">
        <v>7.5707860950000004E-3</v>
      </c>
      <c r="C62" s="4">
        <v>3.031575521E-3</v>
      </c>
      <c r="D62" s="4">
        <f t="shared" si="0"/>
        <v>2.4973107358060109</v>
      </c>
      <c r="E62" s="4">
        <f>AVERAGE(D62:D67)</f>
        <v>1.9906938987210741</v>
      </c>
      <c r="F62">
        <f>_xlfn.STDEV.S(D62:D67)</f>
        <v>0.32948664931101079</v>
      </c>
      <c r="G62" s="6">
        <v>9.3951093951094009E-2</v>
      </c>
    </row>
    <row r="63" spans="1:7" x14ac:dyDescent="0.2">
      <c r="A63" s="4" t="s">
        <v>19</v>
      </c>
      <c r="B63" s="4">
        <v>8.274430864000001E-3</v>
      </c>
      <c r="C63" s="4">
        <v>3.9292871040000005E-3</v>
      </c>
      <c r="D63" s="4">
        <f t="shared" si="0"/>
        <v>2.1058351413356022</v>
      </c>
      <c r="E63" s="4"/>
      <c r="G63" s="6">
        <v>9.3951093951094009E-2</v>
      </c>
    </row>
    <row r="64" spans="1:7" x14ac:dyDescent="0.2">
      <c r="A64" s="4" t="s">
        <v>19</v>
      </c>
      <c r="B64" s="4">
        <v>8.2225576590000005E-3</v>
      </c>
      <c r="C64" s="4">
        <v>3.8261509670000004E-3</v>
      </c>
      <c r="D64" s="4">
        <f t="shared" si="0"/>
        <v>2.1490416164752446</v>
      </c>
      <c r="E64" s="4"/>
      <c r="G64" s="6">
        <v>9.3951093951094009E-2</v>
      </c>
    </row>
    <row r="65" spans="1:7" x14ac:dyDescent="0.2">
      <c r="A65" s="4" t="s">
        <v>19</v>
      </c>
      <c r="B65" s="4">
        <v>8.4013676480000007E-3</v>
      </c>
      <c r="C65" s="4">
        <v>4.4138438659999998E-3</v>
      </c>
      <c r="D65" s="4">
        <f t="shared" si="0"/>
        <v>1.9034129668056547</v>
      </c>
      <c r="E65" s="4"/>
      <c r="G65" s="6">
        <v>9.3951093951094009E-2</v>
      </c>
    </row>
    <row r="66" spans="1:7" x14ac:dyDescent="0.2">
      <c r="A66" s="4" t="s">
        <v>19</v>
      </c>
      <c r="B66" s="4">
        <v>6.7145730760000003E-3</v>
      </c>
      <c r="C66" s="4">
        <v>4.0592752530000005E-3</v>
      </c>
      <c r="D66" s="4">
        <f t="shared" si="0"/>
        <v>1.654131010464887</v>
      </c>
      <c r="E66" s="4"/>
      <c r="G66" s="6">
        <v>9.3951093951094009E-2</v>
      </c>
    </row>
    <row r="67" spans="1:7" x14ac:dyDescent="0.2">
      <c r="A67" s="4" t="s">
        <v>19</v>
      </c>
      <c r="B67" s="4">
        <v>6.9946883830000004E-3</v>
      </c>
      <c r="C67" s="4">
        <v>4.2795838060000002E-3</v>
      </c>
      <c r="D67" s="4">
        <f t="shared" ref="D67:D130" si="1">B67/C67</f>
        <v>1.6344319214390448</v>
      </c>
      <c r="E67" s="4"/>
      <c r="G67" s="6">
        <v>9.3951093951094009E-2</v>
      </c>
    </row>
    <row r="68" spans="1:7" x14ac:dyDescent="0.2">
      <c r="A68" s="4" t="s">
        <v>2</v>
      </c>
      <c r="B68" s="4"/>
      <c r="C68" s="4"/>
      <c r="D68" s="4"/>
      <c r="E68" s="4"/>
      <c r="G68" s="4"/>
    </row>
    <row r="69" spans="1:7" x14ac:dyDescent="0.2">
      <c r="A69" s="4" t="s">
        <v>21</v>
      </c>
      <c r="B69" s="4">
        <v>5.3927217580000001E-3</v>
      </c>
      <c r="C69" s="4">
        <v>3.3916365910000002E-3</v>
      </c>
      <c r="D69" s="4">
        <f t="shared" si="1"/>
        <v>1.5900057725258807</v>
      </c>
      <c r="E69" s="4">
        <f>AVERAGE(D69:D74)</f>
        <v>1.2642429550260805</v>
      </c>
      <c r="F69">
        <f>_xlfn.STDEV.S(D69:D74)</f>
        <v>0.16671054343621111</v>
      </c>
      <c r="G69" s="6">
        <v>9.9105071262843708E-2</v>
      </c>
    </row>
    <row r="70" spans="1:7" x14ac:dyDescent="0.2">
      <c r="A70" s="4" t="s">
        <v>21</v>
      </c>
      <c r="B70" s="4">
        <v>6.0646323310000003E-3</v>
      </c>
      <c r="C70" s="4">
        <v>5.0607332460000003E-3</v>
      </c>
      <c r="D70" s="4">
        <f t="shared" si="1"/>
        <v>1.1983702827635661</v>
      </c>
      <c r="E70" s="4"/>
      <c r="G70" s="6">
        <v>9.9105071262843708E-2</v>
      </c>
    </row>
    <row r="71" spans="1:7" x14ac:dyDescent="0.2">
      <c r="A71" s="4" t="s">
        <v>21</v>
      </c>
      <c r="B71" s="4">
        <v>6.3423065460000002E-3</v>
      </c>
      <c r="C71" s="4">
        <v>5.2554103330000003E-3</v>
      </c>
      <c r="D71" s="4">
        <f t="shared" si="1"/>
        <v>1.2068147193331631</v>
      </c>
      <c r="E71" s="4"/>
      <c r="G71" s="6">
        <v>9.9105071262843708E-2</v>
      </c>
    </row>
    <row r="72" spans="1:7" x14ac:dyDescent="0.2">
      <c r="A72" s="4" t="s">
        <v>21</v>
      </c>
      <c r="B72" s="4">
        <v>5.2456459650000002E-3</v>
      </c>
      <c r="C72" s="4">
        <v>4.3534268390000002E-3</v>
      </c>
      <c r="D72" s="4">
        <f t="shared" si="1"/>
        <v>1.2049463925767836</v>
      </c>
      <c r="E72" s="4"/>
      <c r="G72" s="6">
        <v>9.9105071262843708E-2</v>
      </c>
    </row>
    <row r="73" spans="1:7" x14ac:dyDescent="0.2">
      <c r="A73" s="4" t="s">
        <v>21</v>
      </c>
      <c r="B73" s="4">
        <v>5.4641236989999998E-3</v>
      </c>
      <c r="C73" s="4">
        <v>4.3082666370000003E-3</v>
      </c>
      <c r="D73" s="4">
        <f t="shared" si="1"/>
        <v>1.2682881909103156</v>
      </c>
      <c r="E73" s="4"/>
      <c r="G73" s="6">
        <v>9.9105071262843708E-2</v>
      </c>
    </row>
    <row r="74" spans="1:7" x14ac:dyDescent="0.2">
      <c r="A74" s="4" t="s">
        <v>21</v>
      </c>
      <c r="B74" s="4">
        <v>5.0326606880000003E-3</v>
      </c>
      <c r="C74" s="4">
        <v>4.5053848160000005E-3</v>
      </c>
      <c r="D74" s="4">
        <f t="shared" si="1"/>
        <v>1.1170323720467743</v>
      </c>
      <c r="E74" s="4"/>
      <c r="G74" s="6">
        <v>9.9105071262843708E-2</v>
      </c>
    </row>
    <row r="75" spans="1:7" x14ac:dyDescent="0.2">
      <c r="A75" s="4" t="s">
        <v>2</v>
      </c>
      <c r="B75" s="4"/>
      <c r="C75" s="4"/>
      <c r="D75" s="4"/>
      <c r="E75" s="4"/>
      <c r="G75" s="4"/>
    </row>
    <row r="76" spans="1:7" x14ac:dyDescent="0.2">
      <c r="A76" s="4" t="s">
        <v>23</v>
      </c>
      <c r="B76" s="4">
        <v>4.806249405E-3</v>
      </c>
      <c r="C76" s="4">
        <v>3.5149117370000004E-3</v>
      </c>
      <c r="D76" s="4">
        <f t="shared" si="1"/>
        <v>1.367388362673984</v>
      </c>
      <c r="E76" s="4">
        <f>AVERAGE(D76:D81)</f>
        <v>1.5869417759321982</v>
      </c>
      <c r="F76">
        <f>_xlfn.STDEV.S(D76:D81)</f>
        <v>0.18042581462320856</v>
      </c>
      <c r="G76" s="6">
        <v>9.9105071262843708E-2</v>
      </c>
    </row>
    <row r="77" spans="1:7" x14ac:dyDescent="0.2">
      <c r="A77" s="4" t="s">
        <v>23</v>
      </c>
      <c r="B77" s="4">
        <v>8.9176586060000004E-3</v>
      </c>
      <c r="C77" s="4">
        <v>4.7903823070000002E-3</v>
      </c>
      <c r="D77" s="4">
        <f t="shared" si="1"/>
        <v>1.8615755558734781</v>
      </c>
      <c r="E77" s="4"/>
      <c r="G77" s="6">
        <v>9.9105071262843708E-2</v>
      </c>
    </row>
    <row r="78" spans="1:7" x14ac:dyDescent="0.2">
      <c r="A78" s="4" t="s">
        <v>23</v>
      </c>
      <c r="B78" s="4">
        <v>7.1265073510000006E-3</v>
      </c>
      <c r="C78" s="4">
        <v>4.4126233200000005E-3</v>
      </c>
      <c r="D78" s="4">
        <f t="shared" si="1"/>
        <v>1.6150273508956572</v>
      </c>
      <c r="E78" s="4"/>
      <c r="G78" s="6">
        <v>9.9105071262843708E-2</v>
      </c>
    </row>
    <row r="79" spans="1:7" x14ac:dyDescent="0.2">
      <c r="A79" s="4" t="s">
        <v>23</v>
      </c>
      <c r="B79" s="4">
        <v>8.5539358979999994E-3</v>
      </c>
      <c r="C79" s="4">
        <v>5.4982989870000004E-3</v>
      </c>
      <c r="D79" s="4">
        <f t="shared" si="1"/>
        <v>1.5557422246816057</v>
      </c>
      <c r="E79" s="4"/>
      <c r="G79" s="6">
        <v>9.9105071262843708E-2</v>
      </c>
    </row>
    <row r="80" spans="1:7" x14ac:dyDescent="0.2">
      <c r="A80" s="4" t="s">
        <v>23</v>
      </c>
      <c r="B80" s="4">
        <v>6.9208453499999996E-3</v>
      </c>
      <c r="C80" s="4">
        <v>4.8507993340000007E-3</v>
      </c>
      <c r="D80" s="4">
        <f t="shared" si="1"/>
        <v>1.426743279502561</v>
      </c>
      <c r="E80" s="4"/>
      <c r="G80" s="6">
        <v>9.9105071262843708E-2</v>
      </c>
    </row>
    <row r="81" spans="1:7" x14ac:dyDescent="0.2">
      <c r="A81" s="4" t="s">
        <v>23</v>
      </c>
      <c r="B81" s="4">
        <v>8.1029441509999998E-3</v>
      </c>
      <c r="C81" s="4">
        <v>4.7800076660000001E-3</v>
      </c>
      <c r="D81" s="4">
        <f t="shared" si="1"/>
        <v>1.6951738819659039</v>
      </c>
      <c r="E81" s="4"/>
      <c r="G81" s="6">
        <v>9.9105071262843708E-2</v>
      </c>
    </row>
    <row r="82" spans="1:7" x14ac:dyDescent="0.2">
      <c r="A82" s="4" t="s">
        <v>2</v>
      </c>
      <c r="B82" s="4"/>
      <c r="C82" s="4"/>
      <c r="D82" s="4"/>
      <c r="E82" s="4"/>
      <c r="G82" s="4"/>
    </row>
    <row r="83" spans="1:7" x14ac:dyDescent="0.2">
      <c r="A83" s="4" t="s">
        <v>25</v>
      </c>
      <c r="B83" s="4">
        <v>3.8322536970000001E-3</v>
      </c>
      <c r="C83" s="4">
        <v>3.589365043E-3</v>
      </c>
      <c r="D83" s="4">
        <f t="shared" si="1"/>
        <v>1.0676689751781261</v>
      </c>
      <c r="E83" s="4">
        <f>AVERAGE(D83:D87)</f>
        <v>1.0394312107383874</v>
      </c>
      <c r="F83">
        <f>_xlfn.STDEV.S(D83:D87)</f>
        <v>0.12053649089467761</v>
      </c>
      <c r="G83" s="6">
        <v>0.10994263862332682</v>
      </c>
    </row>
    <row r="84" spans="1:7" x14ac:dyDescent="0.2">
      <c r="A84" s="4" t="s">
        <v>25</v>
      </c>
      <c r="B84" s="4">
        <v>3.7370511090000003E-3</v>
      </c>
      <c r="C84" s="4">
        <v>3.8292023320000003E-3</v>
      </c>
      <c r="D84" s="4">
        <f t="shared" si="1"/>
        <v>0.97593461640041645</v>
      </c>
      <c r="E84" s="4"/>
      <c r="G84" s="6">
        <v>0.10994263862332682</v>
      </c>
    </row>
    <row r="85" spans="1:7" x14ac:dyDescent="0.2">
      <c r="A85" s="4" t="s">
        <v>25</v>
      </c>
      <c r="B85" s="4">
        <v>3.9817705820000002E-3</v>
      </c>
      <c r="C85" s="4">
        <v>3.2823977240000004E-3</v>
      </c>
      <c r="D85" s="4">
        <f t="shared" si="1"/>
        <v>1.2130676769869706</v>
      </c>
      <c r="E85" s="4"/>
      <c r="G85" s="6">
        <v>0.10994263862332682</v>
      </c>
    </row>
    <row r="86" spans="1:7" x14ac:dyDescent="0.2">
      <c r="A86" s="4" t="s">
        <v>25</v>
      </c>
      <c r="B86" s="4">
        <v>4.0116739590000004E-3</v>
      </c>
      <c r="C86" s="4">
        <v>4.518200549E-3</v>
      </c>
      <c r="D86" s="4">
        <f t="shared" si="1"/>
        <v>0.88789196395629055</v>
      </c>
      <c r="E86" s="4"/>
      <c r="G86" s="6">
        <v>0.10994263862332682</v>
      </c>
    </row>
    <row r="87" spans="1:7" x14ac:dyDescent="0.2">
      <c r="A87" s="4" t="s">
        <v>25</v>
      </c>
      <c r="B87" s="4">
        <v>4.8611739750000008E-3</v>
      </c>
      <c r="C87" s="4">
        <v>4.6182853210000006E-3</v>
      </c>
      <c r="D87" s="4">
        <f t="shared" si="1"/>
        <v>1.0525928211701323</v>
      </c>
      <c r="E87" s="4"/>
      <c r="G87" s="6">
        <v>0.10994263862332682</v>
      </c>
    </row>
    <row r="88" spans="1:7" x14ac:dyDescent="0.2">
      <c r="A88" s="4" t="s">
        <v>2</v>
      </c>
      <c r="B88" s="4"/>
      <c r="C88" s="4"/>
      <c r="D88" s="4"/>
      <c r="E88" s="4"/>
      <c r="G88" s="4"/>
    </row>
    <row r="89" spans="1:7" x14ac:dyDescent="0.2">
      <c r="A89" s="4" t="s">
        <v>27</v>
      </c>
      <c r="B89" s="4">
        <v>6.1073514410000009E-3</v>
      </c>
      <c r="C89" s="4">
        <v>5.7576650120000003E-3</v>
      </c>
      <c r="D89" s="4">
        <f t="shared" si="1"/>
        <v>1.0607340698479664</v>
      </c>
      <c r="E89" s="4">
        <f>AVERAGE(D89:D93)</f>
        <v>1.1640432880842693</v>
      </c>
      <c r="F89">
        <f>_xlfn.STDEV.S(D89:D93)</f>
        <v>0.16116658710158893</v>
      </c>
      <c r="G89" s="6">
        <v>0.10994263862332682</v>
      </c>
    </row>
    <row r="90" spans="1:7" x14ac:dyDescent="0.2">
      <c r="A90" s="4" t="s">
        <v>27</v>
      </c>
      <c r="B90" s="4">
        <v>6.8738543290000004E-3</v>
      </c>
      <c r="C90" s="4">
        <v>6.3148442610000003E-3</v>
      </c>
      <c r="D90" s="4">
        <f t="shared" si="1"/>
        <v>1.0885231756945146</v>
      </c>
      <c r="E90" s="4"/>
      <c r="G90" s="6">
        <v>0.10994263862332682</v>
      </c>
    </row>
    <row r="91" spans="1:7" x14ac:dyDescent="0.2">
      <c r="A91" s="4" t="s">
        <v>27</v>
      </c>
      <c r="B91" s="4">
        <v>7.4353054889999999E-3</v>
      </c>
      <c r="C91" s="4">
        <v>5.2914164400000002E-3</v>
      </c>
      <c r="D91" s="4">
        <f t="shared" si="1"/>
        <v>1.4051635461524929</v>
      </c>
      <c r="E91" s="4"/>
      <c r="G91" s="6">
        <v>0.10994263862332682</v>
      </c>
    </row>
    <row r="92" spans="1:7" x14ac:dyDescent="0.2">
      <c r="A92" s="4" t="s">
        <v>27</v>
      </c>
      <c r="B92" s="4">
        <v>6.3728201960000005E-3</v>
      </c>
      <c r="C92" s="4">
        <v>6.2739559699999999E-3</v>
      </c>
      <c r="D92" s="4">
        <f t="shared" si="1"/>
        <v>1.0157578769237043</v>
      </c>
      <c r="E92" s="4"/>
      <c r="G92" s="6">
        <v>0.10994263862332682</v>
      </c>
    </row>
    <row r="93" spans="1:7" x14ac:dyDescent="0.2">
      <c r="A93" s="4" t="s">
        <v>27</v>
      </c>
      <c r="B93" s="4">
        <v>7.2064531140000002E-3</v>
      </c>
      <c r="C93" s="4">
        <v>5.7649882880000001E-3</v>
      </c>
      <c r="D93" s="4">
        <f t="shared" si="1"/>
        <v>1.2500377718026685</v>
      </c>
      <c r="E93" s="4"/>
      <c r="G93" s="6">
        <v>0.10994263862332682</v>
      </c>
    </row>
    <row r="94" spans="1:7" x14ac:dyDescent="0.2">
      <c r="A94" s="4" t="s">
        <v>2</v>
      </c>
      <c r="B94" s="4"/>
      <c r="C94" s="4"/>
      <c r="D94" s="4"/>
      <c r="E94" s="4"/>
      <c r="G94" s="4"/>
    </row>
    <row r="95" spans="1:7" x14ac:dyDescent="0.2">
      <c r="A95" s="4" t="s">
        <v>29</v>
      </c>
      <c r="B95" s="4">
        <v>5.6868733440000006E-3</v>
      </c>
      <c r="C95" s="4">
        <v>3.6369663370000001E-3</v>
      </c>
      <c r="D95" s="4">
        <f t="shared" si="1"/>
        <v>1.5636310092138201</v>
      </c>
      <c r="E95" s="4">
        <f>AVERAGE(D95:D100)</f>
        <v>1.3572212289150063</v>
      </c>
      <c r="F95">
        <f>_xlfn.STDEV.S(D95:D100)</f>
        <v>0.26250522092176837</v>
      </c>
      <c r="G95" s="6">
        <v>0.11525518788558609</v>
      </c>
    </row>
    <row r="96" spans="1:7" x14ac:dyDescent="0.2">
      <c r="A96" s="4" t="s">
        <v>29</v>
      </c>
      <c r="B96" s="4">
        <v>3.4197091490000002E-3</v>
      </c>
      <c r="C96" s="4">
        <v>3.3452558430000002E-3</v>
      </c>
      <c r="D96" s="4">
        <f t="shared" si="1"/>
        <v>1.0222563862060938</v>
      </c>
      <c r="E96" s="4"/>
      <c r="G96" s="6">
        <v>0.11525518788558609</v>
      </c>
    </row>
    <row r="97" spans="1:7" x14ac:dyDescent="0.2">
      <c r="A97" s="4" t="s">
        <v>29</v>
      </c>
      <c r="B97" s="4">
        <v>4.8654458860000003E-3</v>
      </c>
      <c r="C97" s="4">
        <v>4.0714807129999999E-3</v>
      </c>
      <c r="D97" s="4">
        <f t="shared" si="1"/>
        <v>1.19500649246966</v>
      </c>
      <c r="E97" s="4"/>
      <c r="G97" s="6">
        <v>0.11525518788558609</v>
      </c>
    </row>
    <row r="98" spans="1:7" x14ac:dyDescent="0.2">
      <c r="A98" s="4" t="s">
        <v>29</v>
      </c>
      <c r="B98" s="4">
        <v>4.100773817E-3</v>
      </c>
      <c r="C98" s="4">
        <v>3.4831775410000001E-3</v>
      </c>
      <c r="D98" s="4">
        <f t="shared" si="1"/>
        <v>1.1773082964420734</v>
      </c>
      <c r="E98" s="4"/>
      <c r="G98" s="6">
        <v>0.11525518788558609</v>
      </c>
    </row>
    <row r="99" spans="1:7" x14ac:dyDescent="0.2">
      <c r="A99" s="4" t="s">
        <v>29</v>
      </c>
      <c r="B99" s="4">
        <v>6.3288805399999998E-3</v>
      </c>
      <c r="C99" s="4">
        <v>3.7376613820000004E-3</v>
      </c>
      <c r="D99" s="4">
        <f t="shared" si="1"/>
        <v>1.693272849830354</v>
      </c>
      <c r="E99" s="4"/>
      <c r="G99" s="6">
        <v>0.11525518788558609</v>
      </c>
    </row>
    <row r="100" spans="1:7" x14ac:dyDescent="0.2">
      <c r="A100" s="4" t="s">
        <v>29</v>
      </c>
      <c r="B100" s="4">
        <v>5.1162680890000003E-3</v>
      </c>
      <c r="C100" s="4">
        <v>3.4294735170000003E-3</v>
      </c>
      <c r="D100" s="4">
        <f t="shared" si="1"/>
        <v>1.4918523393280367</v>
      </c>
      <c r="E100" s="4"/>
      <c r="G100" s="6">
        <v>0.11525518788558609</v>
      </c>
    </row>
    <row r="101" spans="1:7" x14ac:dyDescent="0.2">
      <c r="A101" s="4" t="s">
        <v>2</v>
      </c>
      <c r="B101" s="4"/>
      <c r="C101" s="4"/>
      <c r="D101" s="4"/>
      <c r="E101" s="4"/>
      <c r="G101" s="4"/>
    </row>
    <row r="102" spans="1:7" x14ac:dyDescent="0.2">
      <c r="A102" s="4" t="s">
        <v>31</v>
      </c>
      <c r="B102" s="4">
        <v>6.0823302480000003E-3</v>
      </c>
      <c r="C102" s="4">
        <v>4.8178445920000002E-3</v>
      </c>
      <c r="D102" s="4">
        <f t="shared" si="1"/>
        <v>1.2624587887495728</v>
      </c>
      <c r="E102" s="4">
        <f>AVERAGE(D102:D107)</f>
        <v>1.830415666082146</v>
      </c>
      <c r="F102">
        <f>_xlfn.STDEV.S(D102:D107)</f>
        <v>0.47219303746923502</v>
      </c>
      <c r="G102" s="6">
        <v>0.11525518788558609</v>
      </c>
    </row>
    <row r="103" spans="1:7" x14ac:dyDescent="0.2">
      <c r="A103" s="4" t="s">
        <v>31</v>
      </c>
      <c r="B103" s="4">
        <v>8.4080806510000005E-3</v>
      </c>
      <c r="C103" s="4">
        <v>4.787941215E-3</v>
      </c>
      <c r="D103" s="4">
        <f t="shared" si="1"/>
        <v>1.756095213671081</v>
      </c>
      <c r="E103" s="4"/>
      <c r="G103" s="6">
        <v>0.11525518788558609</v>
      </c>
    </row>
    <row r="104" spans="1:7" x14ac:dyDescent="0.2">
      <c r="A104" s="4" t="s">
        <v>31</v>
      </c>
      <c r="B104" s="4">
        <v>5.9169462650000004E-3</v>
      </c>
      <c r="C104" s="4">
        <v>3.691890907E-3</v>
      </c>
      <c r="D104" s="4">
        <f t="shared" si="1"/>
        <v>1.6026871903991502</v>
      </c>
      <c r="E104" s="4"/>
      <c r="G104" s="6">
        <v>0.11525518788558609</v>
      </c>
    </row>
    <row r="105" spans="1:7" x14ac:dyDescent="0.2">
      <c r="A105" s="4" t="s">
        <v>31</v>
      </c>
      <c r="B105" s="4">
        <v>7.8948410580000003E-3</v>
      </c>
      <c r="C105" s="4">
        <v>4.0489006120000004E-3</v>
      </c>
      <c r="D105" s="4">
        <f t="shared" si="1"/>
        <v>1.9498727715374209</v>
      </c>
      <c r="E105" s="4"/>
      <c r="G105" s="6">
        <v>0.11525518788558609</v>
      </c>
    </row>
    <row r="106" spans="1:7" x14ac:dyDescent="0.2">
      <c r="A106" s="4" t="s">
        <v>31</v>
      </c>
      <c r="B106" s="4">
        <v>8.2646664960000001E-3</v>
      </c>
      <c r="C106" s="4">
        <v>4.7574275649999997E-3</v>
      </c>
      <c r="D106" s="4">
        <f t="shared" si="1"/>
        <v>1.7372133118331567</v>
      </c>
      <c r="E106" s="4"/>
      <c r="G106" s="6">
        <v>0.11525518788558609</v>
      </c>
    </row>
    <row r="107" spans="1:7" x14ac:dyDescent="0.2">
      <c r="A107" s="4" t="s">
        <v>31</v>
      </c>
      <c r="B107" s="4">
        <v>9.0763295859999996E-3</v>
      </c>
      <c r="C107" s="4">
        <v>3.3940776830000004E-3</v>
      </c>
      <c r="D107" s="4">
        <f t="shared" si="1"/>
        <v>2.6741667203024941</v>
      </c>
      <c r="E107" s="4"/>
      <c r="G107" s="6">
        <v>0.11525518788558609</v>
      </c>
    </row>
    <row r="108" spans="1:7" x14ac:dyDescent="0.2">
      <c r="A108" s="4" t="s">
        <v>2</v>
      </c>
      <c r="B108" s="4"/>
      <c r="C108" s="4"/>
      <c r="D108" s="4"/>
      <c r="E108" s="4"/>
      <c r="G108" s="4"/>
    </row>
    <row r="109" spans="1:7" x14ac:dyDescent="0.2">
      <c r="A109" s="4" t="s">
        <v>33</v>
      </c>
      <c r="B109" s="4">
        <v>7.4707013229999997E-3</v>
      </c>
      <c r="C109" s="4">
        <v>4.4644965250000002E-3</v>
      </c>
      <c r="D109" s="4">
        <f t="shared" si="1"/>
        <v>1.6733580777061976</v>
      </c>
      <c r="E109" s="4">
        <f>AVERAGE(D109:D112)</f>
        <v>1.7705610156442466</v>
      </c>
      <c r="F109">
        <f>_xlfn.STDEV.S(D109:D112)</f>
        <v>0.4250635725617567</v>
      </c>
      <c r="G109" s="6">
        <v>7.6316350458324425E-2</v>
      </c>
    </row>
    <row r="110" spans="1:7" x14ac:dyDescent="0.2">
      <c r="A110" s="4" t="s">
        <v>33</v>
      </c>
      <c r="B110" s="4">
        <v>5.1748542970000005E-3</v>
      </c>
      <c r="C110" s="4">
        <v>4.0128945050000005E-3</v>
      </c>
      <c r="D110" s="4">
        <f t="shared" si="1"/>
        <v>1.2895565259819857</v>
      </c>
      <c r="E110" s="4"/>
      <c r="G110" s="6">
        <v>7.6316350458324425E-2</v>
      </c>
    </row>
    <row r="111" spans="1:7" x14ac:dyDescent="0.2">
      <c r="A111" s="4" t="s">
        <v>33</v>
      </c>
      <c r="B111" s="4">
        <v>6.2635813289999998E-3</v>
      </c>
      <c r="C111" s="4">
        <v>3.478295357E-3</v>
      </c>
      <c r="D111" s="4">
        <f t="shared" si="1"/>
        <v>1.8007617772868734</v>
      </c>
      <c r="E111" s="4"/>
      <c r="G111" s="6">
        <v>7.6316350458324425E-2</v>
      </c>
    </row>
    <row r="112" spans="1:7" x14ac:dyDescent="0.2">
      <c r="A112" s="4" t="s">
        <v>33</v>
      </c>
      <c r="B112" s="4">
        <v>7.8991129689999998E-3</v>
      </c>
      <c r="C112" s="4">
        <v>3.4068934160000003E-3</v>
      </c>
      <c r="D112" s="4">
        <f t="shared" si="1"/>
        <v>2.3185676816019298</v>
      </c>
      <c r="E112" s="4"/>
      <c r="G112" s="6">
        <v>7.6316350458324425E-2</v>
      </c>
    </row>
    <row r="113" spans="1:7" x14ac:dyDescent="0.2">
      <c r="A113" s="4" t="s">
        <v>2</v>
      </c>
      <c r="B113" s="4"/>
      <c r="C113" s="4"/>
      <c r="D113" s="4"/>
      <c r="E113" s="4"/>
      <c r="G113" s="6"/>
    </row>
    <row r="114" spans="1:7" x14ac:dyDescent="0.2">
      <c r="A114" s="5" t="s">
        <v>35</v>
      </c>
      <c r="B114" s="4">
        <v>5.2999602620000001E-3</v>
      </c>
      <c r="C114" s="4">
        <v>2.7667170390000004E-3</v>
      </c>
      <c r="D114" s="4">
        <f t="shared" si="1"/>
        <v>1.9156134101503972</v>
      </c>
      <c r="E114" s="4">
        <f>AVERAGE(D114:D119)</f>
        <v>2.2808630130936987</v>
      </c>
      <c r="F114">
        <f>_xlfn.STDEV.S(D114:D119)</f>
        <v>0.24016543881092745</v>
      </c>
      <c r="G114" s="6">
        <v>7.6316350458324425E-2</v>
      </c>
    </row>
    <row r="115" spans="1:7" x14ac:dyDescent="0.2">
      <c r="A115" s="4" t="s">
        <v>35</v>
      </c>
      <c r="B115" s="4">
        <v>7.8191672060000002E-3</v>
      </c>
      <c r="C115" s="4">
        <v>3.2720230830000003E-3</v>
      </c>
      <c r="D115" s="4">
        <f t="shared" si="1"/>
        <v>2.389704170066822</v>
      </c>
      <c r="E115" s="4"/>
      <c r="G115" s="6">
        <v>7.6316350458324425E-2</v>
      </c>
    </row>
    <row r="116" spans="1:7" x14ac:dyDescent="0.2">
      <c r="A116" s="4" t="s">
        <v>35</v>
      </c>
      <c r="B116" s="4">
        <v>8.3610896300000005E-3</v>
      </c>
      <c r="C116" s="4">
        <v>3.7931962250000004E-3</v>
      </c>
      <c r="D116" s="4">
        <f t="shared" si="1"/>
        <v>2.2042333520460042</v>
      </c>
      <c r="E116" s="4"/>
      <c r="G116" s="6">
        <v>7.6316350458324425E-2</v>
      </c>
    </row>
    <row r="117" spans="1:7" x14ac:dyDescent="0.2">
      <c r="A117" s="4" t="s">
        <v>35</v>
      </c>
      <c r="B117" s="4">
        <v>7.5140307059999994E-3</v>
      </c>
      <c r="C117" s="4">
        <v>3.3776003120000002E-3</v>
      </c>
      <c r="D117" s="4">
        <f t="shared" si="1"/>
        <v>2.2246654464425566</v>
      </c>
      <c r="E117" s="4"/>
      <c r="G117" s="6">
        <v>7.6316350458324425E-2</v>
      </c>
    </row>
    <row r="118" spans="1:7" x14ac:dyDescent="0.2">
      <c r="A118" s="4" t="s">
        <v>35</v>
      </c>
      <c r="B118" s="4">
        <v>8.561869447000001E-3</v>
      </c>
      <c r="C118" s="4">
        <v>3.2354067030000004E-3</v>
      </c>
      <c r="D118" s="4">
        <f t="shared" si="1"/>
        <v>2.6463039218720441</v>
      </c>
      <c r="E118" s="4"/>
      <c r="G118" s="6">
        <v>7.6316350458324425E-2</v>
      </c>
    </row>
    <row r="119" spans="1:7" x14ac:dyDescent="0.2">
      <c r="A119" s="4" t="s">
        <v>35</v>
      </c>
      <c r="B119" s="4">
        <v>7.2638187760000004E-3</v>
      </c>
      <c r="C119" s="4">
        <v>3.1517993020000004E-3</v>
      </c>
      <c r="D119" s="4">
        <f t="shared" si="1"/>
        <v>2.3046577779843673</v>
      </c>
      <c r="E119" s="4"/>
      <c r="G119" s="6">
        <v>7.6316350458324425E-2</v>
      </c>
    </row>
    <row r="120" spans="1:7" x14ac:dyDescent="0.2">
      <c r="A120" s="4" t="s">
        <v>2</v>
      </c>
      <c r="B120" s="4"/>
      <c r="C120" s="4"/>
      <c r="D120" s="4"/>
      <c r="E120" s="4"/>
      <c r="G120" s="4"/>
    </row>
    <row r="121" spans="1:7" x14ac:dyDescent="0.2">
      <c r="A121" s="4" t="s">
        <v>37</v>
      </c>
      <c r="B121" s="4">
        <v>4.7922131260000004E-3</v>
      </c>
      <c r="C121" s="4">
        <v>3.7028758210000002E-3</v>
      </c>
      <c r="D121" s="4">
        <f t="shared" si="1"/>
        <v>1.29418683144114</v>
      </c>
      <c r="E121" s="4">
        <f>AVERAGE(D121:D126)</f>
        <v>1.3233289920511666</v>
      </c>
      <c r="F121">
        <f>_xlfn.STDEV.S(D121:D126)</f>
        <v>0.14773902209624343</v>
      </c>
      <c r="G121" s="6">
        <v>0.14385679414157856</v>
      </c>
    </row>
    <row r="122" spans="1:7" x14ac:dyDescent="0.2">
      <c r="A122" s="4" t="s">
        <v>37</v>
      </c>
      <c r="B122" s="4">
        <v>5.4085888560000007E-3</v>
      </c>
      <c r="C122" s="4">
        <v>4.8965698090000006E-3</v>
      </c>
      <c r="D122" s="4">
        <f t="shared" si="1"/>
        <v>1.1045668839559681</v>
      </c>
      <c r="E122" s="4"/>
      <c r="G122" s="6">
        <v>0.14385679414157856</v>
      </c>
    </row>
    <row r="123" spans="1:7" x14ac:dyDescent="0.2">
      <c r="A123" s="4" t="s">
        <v>37</v>
      </c>
      <c r="B123" s="4">
        <v>7.902164334000001E-3</v>
      </c>
      <c r="C123" s="4">
        <v>5.0802619820000004E-3</v>
      </c>
      <c r="D123" s="4">
        <f t="shared" si="1"/>
        <v>1.5554639430010404</v>
      </c>
      <c r="E123" s="4"/>
      <c r="G123" s="6">
        <v>0.14385679414157856</v>
      </c>
    </row>
    <row r="124" spans="1:7" x14ac:dyDescent="0.2">
      <c r="A124" s="4" t="s">
        <v>37</v>
      </c>
      <c r="B124" s="4">
        <v>6.0005536660000004E-3</v>
      </c>
      <c r="C124" s="4">
        <v>4.6591736120000001E-3</v>
      </c>
      <c r="D124" s="4">
        <f t="shared" si="1"/>
        <v>1.2879008523196454</v>
      </c>
      <c r="E124" s="4"/>
      <c r="G124" s="6">
        <v>0.14385679414157856</v>
      </c>
    </row>
    <row r="125" spans="1:7" x14ac:dyDescent="0.2">
      <c r="A125" s="4" t="s">
        <v>37</v>
      </c>
      <c r="B125" s="4">
        <v>7.2815166929999994E-3</v>
      </c>
      <c r="C125" s="4">
        <v>5.5825166610000004E-3</v>
      </c>
      <c r="D125" s="4">
        <f t="shared" si="1"/>
        <v>1.304343029348999</v>
      </c>
      <c r="E125" s="4"/>
      <c r="G125" s="6">
        <v>0.14385679414157856</v>
      </c>
    </row>
    <row r="126" spans="1:7" x14ac:dyDescent="0.2">
      <c r="A126" s="4" t="s">
        <v>37</v>
      </c>
      <c r="B126" s="4">
        <v>6.2434423200000005E-3</v>
      </c>
      <c r="C126" s="4">
        <v>4.4803636229999999E-3</v>
      </c>
      <c r="D126" s="4">
        <f t="shared" si="1"/>
        <v>1.3935124122402065</v>
      </c>
      <c r="E126" s="4"/>
      <c r="G126" s="6">
        <v>0.14385679414157856</v>
      </c>
    </row>
    <row r="127" spans="1:7" x14ac:dyDescent="0.2">
      <c r="A127" s="4" t="s">
        <v>2</v>
      </c>
      <c r="B127" s="4"/>
      <c r="C127" s="4"/>
      <c r="D127" s="4"/>
      <c r="E127" s="4"/>
      <c r="G127" s="4"/>
    </row>
    <row r="128" spans="1:7" x14ac:dyDescent="0.2">
      <c r="A128" s="4" t="s">
        <v>39</v>
      </c>
      <c r="B128" s="4">
        <v>6.3850256559999999E-3</v>
      </c>
      <c r="C128" s="4">
        <v>3.5966883190000003E-3</v>
      </c>
      <c r="D128" s="4">
        <f t="shared" si="1"/>
        <v>1.7752513116775297</v>
      </c>
      <c r="E128" s="4">
        <f>AVERAGE(D128:D132)</f>
        <v>1.6686280054187854</v>
      </c>
      <c r="F128">
        <f>_xlfn.STDEV.S(D128:D132)</f>
        <v>0.1086922738978835</v>
      </c>
      <c r="G128" s="6">
        <v>9.6030729833546741E-2</v>
      </c>
    </row>
    <row r="129" spans="1:7" x14ac:dyDescent="0.2">
      <c r="A129" s="4" t="s">
        <v>39</v>
      </c>
      <c r="B129" s="4">
        <v>7.9277957999999999E-3</v>
      </c>
      <c r="C129" s="4">
        <v>4.6518503360000003E-3</v>
      </c>
      <c r="D129" s="4">
        <f t="shared" si="1"/>
        <v>1.704224174765024</v>
      </c>
      <c r="E129" s="4"/>
      <c r="G129" s="6">
        <v>9.6030729833546741E-2</v>
      </c>
    </row>
    <row r="130" spans="1:7" x14ac:dyDescent="0.2">
      <c r="A130" s="4" t="s">
        <v>39</v>
      </c>
      <c r="B130" s="4">
        <v>7.6055716560000011E-3</v>
      </c>
      <c r="C130" s="4">
        <v>5.1052831750000001E-3</v>
      </c>
      <c r="D130" s="4">
        <f t="shared" si="1"/>
        <v>1.4897453080063479</v>
      </c>
      <c r="E130" s="4"/>
      <c r="G130" s="6">
        <v>9.6030729833546741E-2</v>
      </c>
    </row>
    <row r="131" spans="1:7" x14ac:dyDescent="0.2">
      <c r="A131" s="4" t="s">
        <v>39</v>
      </c>
      <c r="B131" s="4">
        <v>7.8155055679999998E-3</v>
      </c>
      <c r="C131" s="4">
        <v>4.5487141990000002E-3</v>
      </c>
      <c r="D131" s="4">
        <f t="shared" ref="D131:D151" si="2">B131/C131</f>
        <v>1.7181790778849502</v>
      </c>
      <c r="E131" s="4"/>
      <c r="G131" s="6">
        <v>9.6030729833546741E-2</v>
      </c>
    </row>
    <row r="132" spans="1:7" x14ac:dyDescent="0.2">
      <c r="A132" s="4" t="s">
        <v>39</v>
      </c>
      <c r="B132" s="4">
        <v>7.3718370970000009E-3</v>
      </c>
      <c r="C132" s="4">
        <v>4.4522910650000008E-3</v>
      </c>
      <c r="D132" s="4">
        <f t="shared" si="2"/>
        <v>1.6557401547600752</v>
      </c>
      <c r="E132" s="4"/>
      <c r="G132" s="6">
        <v>9.6030729833546741E-2</v>
      </c>
    </row>
    <row r="133" spans="1:7" x14ac:dyDescent="0.2">
      <c r="A133" s="4" t="s">
        <v>2</v>
      </c>
      <c r="B133" s="4"/>
      <c r="C133" s="4"/>
      <c r="D133" s="4"/>
      <c r="E133" s="4"/>
      <c r="G133" s="4"/>
    </row>
    <row r="134" spans="1:7" x14ac:dyDescent="0.2">
      <c r="A134" s="4" t="s">
        <v>41</v>
      </c>
      <c r="B134" s="4">
        <v>5.8217436770000002E-3</v>
      </c>
      <c r="C134" s="4">
        <v>5.2962986240000006E-3</v>
      </c>
      <c r="D134" s="4">
        <f t="shared" si="2"/>
        <v>1.0992098615095007</v>
      </c>
      <c r="E134" s="4">
        <f>AVERAGE(D134:D138)</f>
        <v>1.3670090304293736</v>
      </c>
      <c r="F134">
        <f>_xlfn.STDEV.S(D134:D138)</f>
        <v>0.17394700949225483</v>
      </c>
      <c r="G134" s="6">
        <v>0.13374411018484977</v>
      </c>
    </row>
    <row r="135" spans="1:7" x14ac:dyDescent="0.2">
      <c r="A135" s="4" t="s">
        <v>41</v>
      </c>
      <c r="B135" s="4">
        <v>7.3022659749999996E-3</v>
      </c>
      <c r="C135" s="4">
        <v>5.3207095440000003E-3</v>
      </c>
      <c r="D135" s="4">
        <f t="shared" si="2"/>
        <v>1.3724233421526533</v>
      </c>
      <c r="E135" s="4"/>
      <c r="G135" s="6">
        <v>0.13374411018484977</v>
      </c>
    </row>
    <row r="136" spans="1:7" x14ac:dyDescent="0.2">
      <c r="A136" s="4" t="s">
        <v>41</v>
      </c>
      <c r="B136" s="4">
        <v>7.4725321420000008E-3</v>
      </c>
      <c r="C136" s="4">
        <v>4.7708535710000001E-3</v>
      </c>
      <c r="D136" s="4">
        <f t="shared" si="2"/>
        <v>1.5662883026681769</v>
      </c>
      <c r="E136" s="4"/>
      <c r="G136" s="6">
        <v>0.13374411018484977</v>
      </c>
    </row>
    <row r="137" spans="1:7" x14ac:dyDescent="0.2">
      <c r="A137" s="4" t="s">
        <v>41</v>
      </c>
      <c r="B137" s="4">
        <v>8.0968414210000009E-3</v>
      </c>
      <c r="C137" s="4">
        <v>5.5452900080000004E-3</v>
      </c>
      <c r="D137" s="4">
        <f t="shared" si="2"/>
        <v>1.4601294809322802</v>
      </c>
      <c r="E137" s="4"/>
      <c r="G137" s="6">
        <v>0.13374411018484977</v>
      </c>
    </row>
    <row r="138" spans="1:7" x14ac:dyDescent="0.2">
      <c r="A138" s="4" t="s">
        <v>41</v>
      </c>
      <c r="B138" s="4">
        <v>7.8325932119999997E-3</v>
      </c>
      <c r="C138" s="4">
        <v>5.8583600570000002E-3</v>
      </c>
      <c r="D138" s="4">
        <f t="shared" si="2"/>
        <v>1.3369941648842563</v>
      </c>
      <c r="E138" s="4"/>
      <c r="G138" s="6">
        <v>0.13374411018484977</v>
      </c>
    </row>
    <row r="139" spans="1:7" x14ac:dyDescent="0.2">
      <c r="A139" s="4" t="s">
        <v>2</v>
      </c>
      <c r="B139" s="4"/>
      <c r="C139" s="4"/>
      <c r="D139" s="4"/>
      <c r="E139" s="4"/>
      <c r="G139" s="4"/>
    </row>
    <row r="140" spans="1:7" x14ac:dyDescent="0.2">
      <c r="A140" s="4" t="s">
        <v>43</v>
      </c>
      <c r="B140" s="4">
        <v>4.7745152090000005E-3</v>
      </c>
      <c r="C140" s="4">
        <v>4.2246592360000003E-3</v>
      </c>
      <c r="D140" s="4">
        <f t="shared" si="2"/>
        <v>1.1301539230228226</v>
      </c>
      <c r="E140" s="4">
        <f>AVERAGE(D140:D145)</f>
        <v>1.3036016315793881</v>
      </c>
      <c r="F140">
        <f>_xlfn.STDEV.S(D140:D145)</f>
        <v>0.16243660030246712</v>
      </c>
      <c r="G140" s="6">
        <v>0.11954206602768888</v>
      </c>
    </row>
    <row r="141" spans="1:7" x14ac:dyDescent="0.2">
      <c r="A141" s="4" t="s">
        <v>43</v>
      </c>
      <c r="B141" s="4">
        <v>5.9859071140000008E-3</v>
      </c>
      <c r="C141" s="4">
        <v>3.8841269020000002E-3</v>
      </c>
      <c r="D141" s="4">
        <f t="shared" si="2"/>
        <v>1.541120376607098</v>
      </c>
      <c r="E141" s="4"/>
      <c r="G141" s="6">
        <v>0.11954206602768888</v>
      </c>
    </row>
    <row r="142" spans="1:7" x14ac:dyDescent="0.2">
      <c r="A142" s="4" t="s">
        <v>43</v>
      </c>
      <c r="B142" s="4">
        <v>7.7941460130000004E-3</v>
      </c>
      <c r="C142" s="4">
        <v>5.8302874990000001E-3</v>
      </c>
      <c r="D142" s="4">
        <f t="shared" si="2"/>
        <v>1.336837336810035</v>
      </c>
      <c r="E142" s="4"/>
      <c r="G142" s="6">
        <v>0.11954206602768888</v>
      </c>
    </row>
    <row r="143" spans="1:7" x14ac:dyDescent="0.2">
      <c r="A143" s="4" t="s">
        <v>43</v>
      </c>
      <c r="B143" s="4">
        <v>7.2796858740000001E-3</v>
      </c>
      <c r="C143" s="4">
        <v>5.085754439E-3</v>
      </c>
      <c r="D143" s="4">
        <f t="shared" si="2"/>
        <v>1.4313876065615523</v>
      </c>
      <c r="E143" s="4"/>
      <c r="G143" s="6">
        <v>0.11954206602768888</v>
      </c>
    </row>
    <row r="144" spans="1:7" x14ac:dyDescent="0.2">
      <c r="A144" s="4" t="s">
        <v>43</v>
      </c>
      <c r="B144" s="4">
        <v>6.0945357080000005E-3</v>
      </c>
      <c r="C144" s="4">
        <v>5.2786007069999998E-3</v>
      </c>
      <c r="D144" s="4">
        <f t="shared" si="2"/>
        <v>1.1545741089902826</v>
      </c>
      <c r="E144" s="4"/>
      <c r="G144" s="6">
        <v>0.11954206602768888</v>
      </c>
    </row>
    <row r="145" spans="1:7" x14ac:dyDescent="0.2">
      <c r="A145" s="4" t="s">
        <v>43</v>
      </c>
      <c r="B145" s="4">
        <v>5.699078804E-3</v>
      </c>
      <c r="C145" s="4">
        <v>4.6426962410000003E-3</v>
      </c>
      <c r="D145" s="4">
        <f t="shared" si="2"/>
        <v>1.2275364374845388</v>
      </c>
      <c r="E145" s="4"/>
      <c r="G145" s="6">
        <v>0.11954206602768888</v>
      </c>
    </row>
    <row r="146" spans="1:7" x14ac:dyDescent="0.2">
      <c r="A146" s="4" t="s">
        <v>2</v>
      </c>
      <c r="B146" s="4"/>
      <c r="C146" s="4"/>
      <c r="D146" s="4"/>
      <c r="E146" s="4"/>
      <c r="G146" s="6"/>
    </row>
    <row r="147" spans="1:7" x14ac:dyDescent="0.2">
      <c r="A147" s="4" t="s">
        <v>45</v>
      </c>
      <c r="B147" s="4">
        <v>6.9879753800000007E-3</v>
      </c>
      <c r="C147" s="4">
        <v>5.2755493420000004E-3</v>
      </c>
      <c r="D147" s="4">
        <f t="shared" si="2"/>
        <v>1.3245967248125115</v>
      </c>
      <c r="E147" s="4">
        <f>AVERAGE(D147:D151)</f>
        <v>1.4534093818238283</v>
      </c>
      <c r="F147">
        <f>_xlfn.STDEV.S(D147:D151)</f>
        <v>8.9303534782001107E-2</v>
      </c>
      <c r="G147" s="6">
        <v>0.13162271323354713</v>
      </c>
    </row>
    <row r="148" spans="1:7" x14ac:dyDescent="0.2">
      <c r="A148" s="4" t="s">
        <v>45</v>
      </c>
      <c r="B148" s="4">
        <v>7.0917217899999999E-3</v>
      </c>
      <c r="C148" s="4">
        <v>4.8318808709999998E-3</v>
      </c>
      <c r="D148" s="4">
        <f t="shared" si="2"/>
        <v>1.4676938400040287</v>
      </c>
      <c r="E148" s="4"/>
      <c r="G148" s="6">
        <v>0.13162271323354713</v>
      </c>
    </row>
    <row r="149" spans="1:7" x14ac:dyDescent="0.2">
      <c r="A149" s="4" t="s">
        <v>45</v>
      </c>
      <c r="B149" s="4">
        <v>7.7367803510000003E-3</v>
      </c>
      <c r="C149" s="4">
        <v>5.4928065299999999E-3</v>
      </c>
      <c r="D149" s="4">
        <f t="shared" si="2"/>
        <v>1.4085295574756027</v>
      </c>
      <c r="E149" s="4"/>
      <c r="G149" s="6">
        <v>0.13162271323354713</v>
      </c>
    </row>
    <row r="150" spans="1:7" x14ac:dyDescent="0.2">
      <c r="A150" s="4" t="s">
        <v>45</v>
      </c>
      <c r="B150" s="4">
        <v>6.1494602780000004E-3</v>
      </c>
      <c r="C150" s="4">
        <v>4.0476800660000003E-3</v>
      </c>
      <c r="D150" s="4">
        <f t="shared" si="2"/>
        <v>1.5192555186499763</v>
      </c>
      <c r="E150" s="4"/>
      <c r="G150" s="6">
        <v>0.13162271323354713</v>
      </c>
    </row>
    <row r="151" spans="1:7" x14ac:dyDescent="0.2">
      <c r="A151" s="4" t="s">
        <v>45</v>
      </c>
      <c r="B151" s="4">
        <v>7.5012149730000009E-3</v>
      </c>
      <c r="C151" s="4">
        <v>4.8489685150000005E-3</v>
      </c>
      <c r="D151" s="4">
        <f t="shared" si="2"/>
        <v>1.5469712681770218</v>
      </c>
      <c r="E151" s="4"/>
      <c r="G151" s="6">
        <v>0.13162271323354713</v>
      </c>
    </row>
    <row r="152" spans="1:7" x14ac:dyDescent="0.2">
      <c r="A152" s="4" t="s">
        <v>2</v>
      </c>
      <c r="B152" s="4"/>
      <c r="C152" s="4"/>
      <c r="D152" s="4"/>
      <c r="E152" s="4"/>
      <c r="G15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F1</vt:lpstr>
      <vt:lpstr>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created xsi:type="dcterms:W3CDTF">2025-09-04T00:10:33Z</dcterms:created>
  <dcterms:modified xsi:type="dcterms:W3CDTF">2025-09-11T15:49:25Z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2025-09-03T21:17:46Z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5a34a62c-5129-4906-ba7a-db58724f9221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