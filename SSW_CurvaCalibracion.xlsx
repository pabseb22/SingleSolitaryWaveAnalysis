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blo\Desktop\InvestigacionUSFQ\SSWCompleteAnalysis\"/>
    </mc:Choice>
  </mc:AlternateContent>
  <xr:revisionPtr revIDLastSave="0" documentId="13_ncr:1_{1D47769A-4FEF-4B7D-AF42-460E1F0A2F1B}" xr6:coauthVersionLast="47" xr6:coauthVersionMax="47" xr10:uidLastSave="{00000000-0000-0000-0000-000000000000}"/>
  <bookViews>
    <workbookView xWindow="43080" yWindow="-120" windowWidth="29040" windowHeight="15720" xr2:uid="{2BD432D8-4488-4A89-A586-01F393994D8E}"/>
  </bookViews>
  <sheets>
    <sheet name="SSW_CalibrationCurv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2" l="1"/>
  <c r="G6" i="2"/>
  <c r="F6" i="2"/>
  <c r="E6" i="2"/>
  <c r="D6" i="2"/>
  <c r="C6" i="2"/>
  <c r="D11" i="2" a="1"/>
  <c r="D12" i="2" a="1"/>
  <c r="D12" i="2" l="1"/>
  <c r="D11" i="2"/>
  <c r="G15" i="2" l="1"/>
  <c r="C15" i="2"/>
  <c r="E15" i="2"/>
  <c r="B15" i="2"/>
  <c r="H15" i="2"/>
  <c r="D15" i="2"/>
  <c r="F15" i="2"/>
  <c r="D18" i="2" l="1"/>
  <c r="H12" i="2" a="1"/>
  <c r="H12" i="2" s="1"/>
  <c r="G1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<sst xmlns="http://schemas.openxmlformats.org/spreadsheetml/2006/main" count="23" uniqueCount="18">
  <si>
    <t>Archivo: SSW_GroupSimulationModel.m</t>
  </si>
  <si>
    <t>V0</t>
  </si>
  <si>
    <r>
      <t xml:space="preserve">Orignal 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</si>
  <si>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r>
      <t xml:space="preserve">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</si>
  <si>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t>Mpa</t>
  </si>
  <si>
    <t>LOG</t>
  </si>
  <si>
    <t>Mod. Poisson</t>
  </si>
  <si>
    <t>TOF</t>
  </si>
  <si>
    <t>Interpolación para Poisson Dado</t>
  </si>
  <si>
    <t>Interpolación para Módulo de Elasticidad</t>
  </si>
  <si>
    <t>Mod. Elasticidad</t>
  </si>
  <si>
    <t>Limo</t>
  </si>
  <si>
    <t>ModE</t>
  </si>
  <si>
    <t>Poisson</t>
  </si>
  <si>
    <t># Celda</t>
  </si>
  <si>
    <t># Celda Interpolacion</t>
  </si>
  <si>
    <t>Auto: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</si>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</sst>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1" fillId="2" borderId="0" xfId="1" applyFill="1"/>
    <xf numFmtId="0" fontId="2" fillId="2" borderId="0" xfId="1" applyFont="1" applyFill="1"/>
    <xf numFmtId="0" fontId="1" fillId="2" borderId="1" xfId="1" applyFill="1" applyBorder="1"/>
    <xf numFmtId="2" fontId="1" fillId="2" borderId="1" xfId="1" applyNumberFormat="1" applyFill="1" applyBorder="1"/>
    <xf numFmtId="164" fontId="1" fillId="2" borderId="1" xfId="1" applyNumberFormat="1" applyFill="1" applyBorder="1"/>
    <xf numFmtId="0" fontId="1" fillId="2" borderId="2" xfId="1" applyFill="1" applyBorder="1"/>
    <xf numFmtId="164" fontId="1" fillId="2" borderId="2" xfId="1" applyNumberFormat="1" applyFill="1" applyBorder="1"/>
    <xf numFmtId="0" fontId="3" fillId="2" borderId="0" xfId="1" applyFont="1" applyFill="1" applyAlignment="1">
      <alignment horizontal="center"/>
    </xf>
    <xf numFmtId="165" fontId="1" fillId="2" borderId="1" xfId="1" applyNumberFormat="1" applyFill="1" applyBorder="1"/>
    <xf numFmtId="0" fontId="1" fillId="2" borderId="1" xfId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</cellXfs>
  <cellStyles count="2">
    <cellStyle name="Normal" xfId="0" builtinId="0"/>
    <cellStyle name="Normal 2 2" xfId="1" xr:uid="{C90D40CB-6B8A-4A17-91CD-8EF2FD126B89}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9438D-FD9D-44C5-9D03-77FA3395C423}">
  <dimension ref="B2:AD38"/>
  <sheetViews>
    <sheetView tabSelected="1" topLeftCell="D1" zoomScale="85" zoomScaleNormal="100" workbookViewId="0">
      <selection activeCell="G23" sqref="G23:G38"/>
    </sheetView>
  </sheetViews>
  <sheetFormatPr defaultColWidth="8.796875" defaultRowHeight="14.25" x14ac:dyDescent="0.45"/>
  <cols>
    <col min="1" max="3" width="8.796875" style="1"/>
    <col min="4" max="4" width="9" style="1" bestFit="1" customWidth="1"/>
    <col min="5" max="6" width="8.796875" style="1"/>
    <col min="7" max="7" width="9.33203125" style="1" bestFit="1" customWidth="1"/>
    <col min="8" max="16384" width="8.796875" style="1"/>
  </cols>
  <sheetData>
    <row r="2" spans="2:30" x14ac:dyDescent="0.45">
      <c r="B2" s="1" t="s">
        <v>0</v>
      </c>
      <c r="G2" s="2" t="s">
        <v>1</v>
      </c>
      <c r="H2" s="2">
        <v>0.26</v>
      </c>
    </row>
    <row r="3" spans="2:30" x14ac:dyDescent="0.45">
      <c r="X3" s="11" t="s">
        <v>2</v>
      </c>
      <c r="Y3" s="11"/>
      <c r="Z3" s="11"/>
      <c r="AA3" s="11"/>
      <c r="AB3" s="11"/>
      <c r="AC3" s="11"/>
      <c r="AD3" s="11"/>
    </row>
    <row r="4" spans="2:30" x14ac:dyDescent="0.45">
      <c r="B4" s="11" t="s">
        <v>3</v>
      </c>
      <c r="C4" s="11"/>
      <c r="D4" s="11"/>
      <c r="E4" s="11"/>
      <c r="F4" s="11"/>
      <c r="G4" s="11"/>
      <c r="H4" s="11"/>
      <c r="X4" s="3" t="s">
        <v>4</v>
      </c>
      <c r="Y4" s="4">
        <v>10</v>
      </c>
      <c r="Z4" s="4">
        <v>100</v>
      </c>
      <c r="AA4" s="4">
        <v>300</v>
      </c>
      <c r="AB4" s="4">
        <v>500</v>
      </c>
      <c r="AC4" s="4">
        <v>700</v>
      </c>
      <c r="AD4" s="3">
        <v>1000</v>
      </c>
    </row>
    <row r="5" spans="2:30" x14ac:dyDescent="0.45">
      <c r="B5" s="3" t="s">
        <v>4</v>
      </c>
      <c r="C5" s="4">
        <v>10</v>
      </c>
      <c r="D5" s="4">
        <v>100</v>
      </c>
      <c r="E5" s="4">
        <v>300</v>
      </c>
      <c r="F5" s="4">
        <v>500</v>
      </c>
      <c r="G5" s="4">
        <v>700</v>
      </c>
      <c r="H5" s="3">
        <v>1000</v>
      </c>
      <c r="X5" s="3">
        <v>0.1</v>
      </c>
      <c r="Y5" s="3">
        <v>2.1252823576404498E-3</v>
      </c>
      <c r="Z5" s="3">
        <v>1.5349548257569E-3</v>
      </c>
      <c r="AA5" s="3">
        <v>1.2459906107288501E-3</v>
      </c>
      <c r="AB5" s="3">
        <v>1.13030798522664E-3</v>
      </c>
      <c r="AC5" s="3">
        <v>1.06244287429404E-3</v>
      </c>
      <c r="AD5" s="5">
        <v>9.978169398421491E-4</v>
      </c>
    </row>
    <row r="6" spans="2:30" x14ac:dyDescent="0.45">
      <c r="B6" s="3" t="s">
        <v>5</v>
      </c>
      <c r="C6" s="4">
        <f>LOG10(C5)</f>
        <v>1</v>
      </c>
      <c r="D6" s="4">
        <f t="shared" ref="D6:H6" si="0">LOG10(D5)</f>
        <v>2</v>
      </c>
      <c r="E6" s="4">
        <f t="shared" si="0"/>
        <v>2.4771212547196626</v>
      </c>
      <c r="F6" s="4">
        <f t="shared" si="0"/>
        <v>2.6989700043360187</v>
      </c>
      <c r="G6" s="4">
        <f t="shared" si="0"/>
        <v>2.8450980400142569</v>
      </c>
      <c r="H6" s="4">
        <f t="shared" si="0"/>
        <v>3</v>
      </c>
      <c r="X6" s="3"/>
      <c r="Y6" s="3"/>
      <c r="Z6" s="3"/>
      <c r="AA6" s="3"/>
      <c r="AB6" s="3"/>
      <c r="AC6" s="3"/>
      <c r="AD6" s="5"/>
    </row>
    <row r="7" spans="2:30" x14ac:dyDescent="0.45">
      <c r="B7" s="3">
        <v>0.1</v>
      </c>
      <c r="C7" s="1">
        <v>2.1867939205959799E-3</v>
      </c>
      <c r="D7" s="6">
        <v>1.5349548257569E-3</v>
      </c>
      <c r="E7" s="6">
        <v>1.2459906107288501E-3</v>
      </c>
      <c r="F7" s="6">
        <v>1.13030798522664E-3</v>
      </c>
      <c r="G7" s="6">
        <v>1.06244287429404E-3</v>
      </c>
      <c r="H7" s="7">
        <v>9.978169398421491E-4</v>
      </c>
      <c r="X7" s="3">
        <v>0.3</v>
      </c>
      <c r="Y7" s="3">
        <v>2.15971893357225E-3</v>
      </c>
      <c r="Z7" s="3">
        <v>1.5245798642394099E-3</v>
      </c>
      <c r="AA7" s="3">
        <v>1.2349915672320801E-3</v>
      </c>
      <c r="AB7" s="3">
        <v>1.1210804794715E-3</v>
      </c>
      <c r="AC7" s="3">
        <v>1.0543159670394599E-3</v>
      </c>
      <c r="AD7" s="5">
        <v>9.8983598711006393E-4</v>
      </c>
    </row>
    <row r="8" spans="2:30" x14ac:dyDescent="0.45">
      <c r="B8" s="3">
        <v>0.3</v>
      </c>
      <c r="C8" s="3">
        <v>2.15971893357225E-3</v>
      </c>
      <c r="D8" s="3">
        <v>1.5245798642394099E-3</v>
      </c>
      <c r="E8" s="3">
        <v>1.2349915672320801E-3</v>
      </c>
      <c r="F8" s="3">
        <v>1.1210804794715E-3</v>
      </c>
      <c r="G8" s="3">
        <v>1.0543159670394599E-3</v>
      </c>
      <c r="H8" s="5">
        <v>9.8983598711006393E-4</v>
      </c>
      <c r="X8" s="3">
        <v>0.5</v>
      </c>
      <c r="Y8" s="3">
        <v>2.14970508462505E-3</v>
      </c>
      <c r="Z8" s="3">
        <v>1.4839440203368701E-3</v>
      </c>
      <c r="AA8" s="3">
        <v>1.19766476738336E-3</v>
      </c>
      <c r="AB8" s="3">
        <v>1.0891446262729801E-3</v>
      </c>
      <c r="AC8" s="3">
        <v>1.02655644409088E-3</v>
      </c>
      <c r="AD8" s="5">
        <v>9.6648717426287402E-4</v>
      </c>
    </row>
    <row r="9" spans="2:30" x14ac:dyDescent="0.45">
      <c r="B9" s="3">
        <v>0.5</v>
      </c>
      <c r="C9" s="3">
        <v>2.14970508462505E-3</v>
      </c>
      <c r="D9" s="3">
        <v>1.4839440203368701E-3</v>
      </c>
      <c r="E9" s="3">
        <v>1.19766476738336E-3</v>
      </c>
      <c r="F9" s="3">
        <v>1.0891446262729801E-3</v>
      </c>
      <c r="G9" s="3">
        <v>1.02655644409088E-3</v>
      </c>
      <c r="H9" s="5">
        <v>9.6648717426287402E-4</v>
      </c>
    </row>
    <row r="11" spans="2:30" x14ac:dyDescent="0.45">
      <c r="B11" s="12" t="s">
        <v>6</v>
      </c>
      <c r="C11" s="12"/>
      <c r="D11" s="3" cm="1">
        <f t="array" aca="1" ref="D11" ca="1">INDIRECT("F" &amp; H11)</f>
        <v>0.34</v>
      </c>
      <c r="F11" s="12" t="s">
        <v>14</v>
      </c>
      <c r="G11" s="12"/>
      <c r="H11" s="3">
        <v>38</v>
      </c>
    </row>
    <row r="12" spans="2:30" x14ac:dyDescent="0.45">
      <c r="B12" s="12" t="s">
        <v>7</v>
      </c>
      <c r="C12" s="12"/>
      <c r="D12" s="5" cm="1">
        <f t="array" aca="1" ref="D12" ca="1">INDIRECT("E" &amp; H11)</f>
        <v>1.0840055469838461E-3</v>
      </c>
      <c r="E12" s="8"/>
      <c r="F12" s="12" t="s">
        <v>15</v>
      </c>
      <c r="G12" s="12"/>
      <c r="H12" s="3" cm="1">
        <f t="array" aca="1" ref="H12" ca="1">IF(MAX(IF(C15:H15 &gt; D12, COLUMN(C15:H15)-COLUMN(C15)+1, 0))=0,3,MAX(IF(C15:H15 &gt; D12, COLUMN(C15:H15)-COLUMN(C15)+1, 0))+2)</f>
        <v>6</v>
      </c>
    </row>
    <row r="13" spans="2:30" x14ac:dyDescent="0.45">
      <c r="B13" s="8"/>
      <c r="C13" s="8"/>
      <c r="E13" s="8"/>
      <c r="F13" s="8"/>
    </row>
    <row r="14" spans="2:30" x14ac:dyDescent="0.45">
      <c r="B14" s="11" t="s">
        <v>8</v>
      </c>
      <c r="C14" s="11"/>
      <c r="D14" s="11"/>
      <c r="E14" s="11"/>
      <c r="F14" s="11"/>
      <c r="G14" s="11"/>
      <c r="H14" s="11"/>
    </row>
    <row r="15" spans="2:30" x14ac:dyDescent="0.45">
      <c r="B15" s="3">
        <f ca="1">D11</f>
        <v>0.34</v>
      </c>
      <c r="C15" s="3">
        <f t="shared" ref="C15:H15" ca="1" si="1">_xlfn.FORECAST.LINEAR($D$11,C7:C8,$B$7:$B$8)</f>
        <v>2.154303936167504E-3</v>
      </c>
      <c r="D15" s="3">
        <f t="shared" ca="1" si="1"/>
        <v>1.522504871935912E-3</v>
      </c>
      <c r="E15" s="3">
        <f t="shared" ca="1" si="1"/>
        <v>1.2327917585327262E-3</v>
      </c>
      <c r="F15" s="3">
        <f t="shared" ca="1" si="1"/>
        <v>1.1192349783204721E-3</v>
      </c>
      <c r="G15" s="3">
        <f t="shared" ca="1" si="1"/>
        <v>1.052690585588544E-3</v>
      </c>
      <c r="H15" s="3">
        <f t="shared" ca="1" si="1"/>
        <v>9.8823979656364699E-4</v>
      </c>
    </row>
    <row r="17" spans="2:7" x14ac:dyDescent="0.45">
      <c r="B17" s="11" t="s">
        <v>9</v>
      </c>
      <c r="C17" s="11"/>
      <c r="D17" s="11"/>
      <c r="E17" s="11"/>
      <c r="F17" s="11"/>
      <c r="G17" s="11"/>
    </row>
    <row r="18" spans="2:7" x14ac:dyDescent="0.45">
      <c r="B18" s="11" t="s">
        <v>10</v>
      </c>
      <c r="C18" s="11"/>
      <c r="D18" s="9">
        <f ca="1">10^(_xlfn.FORECAST.LINEAR(D12,C6:D6,C15:D15))</f>
        <v>494.36613044511694</v>
      </c>
      <c r="E18" s="3" t="s">
        <v>4</v>
      </c>
      <c r="F18" s="4" t="s">
        <v>16</v>
      </c>
      <c r="G18" s="9">
        <f ca="1">10^(_xlfn.FORECAST.LINEAR($D$12,INDEX(6:6, H12):INDEX(6:6, H12+1),INDEX(15:15, H12):INDEX(15:15, H12+1)))</f>
        <v>597.4918815671075</v>
      </c>
    </row>
    <row r="21" spans="2:7" x14ac:dyDescent="0.45">
      <c r="B21" s="10" t="s">
        <v>11</v>
      </c>
      <c r="C21" s="10"/>
      <c r="E21" s="10" t="s">
        <v>17</v>
      </c>
      <c r="F21" s="10"/>
      <c r="G21" s="10"/>
    </row>
    <row r="22" spans="2:7" x14ac:dyDescent="0.45">
      <c r="B22" s="3" t="s">
        <v>7</v>
      </c>
      <c r="C22" s="3" t="s">
        <v>12</v>
      </c>
      <c r="E22" s="3" t="s">
        <v>7</v>
      </c>
      <c r="F22" s="3" t="s">
        <v>13</v>
      </c>
      <c r="G22" s="3" t="s">
        <v>12</v>
      </c>
    </row>
    <row r="23" spans="2:7" x14ac:dyDescent="0.45">
      <c r="B23" s="3">
        <v>1.8476923377406251E-3</v>
      </c>
      <c r="C23" s="3">
        <v>32.625908938905432</v>
      </c>
      <c r="E23" s="3">
        <v>2.0547276313969574E-3</v>
      </c>
      <c r="F23" s="3">
        <v>0.34</v>
      </c>
      <c r="G23" s="3">
        <v>14.374990072243435</v>
      </c>
    </row>
    <row r="24" spans="2:7" x14ac:dyDescent="0.45">
      <c r="B24" s="3">
        <v>1.7318046576407415E-3</v>
      </c>
      <c r="C24" s="3">
        <v>50.23345741286181</v>
      </c>
      <c r="E24" s="3">
        <v>3.5703822340265035E-3</v>
      </c>
      <c r="F24" s="3">
        <v>0.34</v>
      </c>
      <c r="G24" s="3">
        <v>5.7366344617829391E-2</v>
      </c>
    </row>
    <row r="25" spans="2:7" x14ac:dyDescent="0.45">
      <c r="B25" s="3">
        <v>1.6601886755722717E-3</v>
      </c>
      <c r="C25" s="3">
        <v>65.587469744581185</v>
      </c>
      <c r="E25" s="3">
        <v>1.9414441688326179E-3</v>
      </c>
      <c r="F25" s="3">
        <v>0.33</v>
      </c>
      <c r="G25" s="3">
        <v>21.807492181111002</v>
      </c>
    </row>
    <row r="26" spans="2:7" x14ac:dyDescent="0.45">
      <c r="B26" s="3">
        <v>2.656301880895029E-3</v>
      </c>
      <c r="C26" s="3">
        <v>1.606058593920398</v>
      </c>
      <c r="E26" s="3">
        <v>2.4805171976019836E-3</v>
      </c>
      <c r="F26" s="3">
        <v>0.34</v>
      </c>
      <c r="G26" s="3">
        <v>3.0456193140208896</v>
      </c>
    </row>
    <row r="27" spans="2:7" x14ac:dyDescent="0.45">
      <c r="B27" s="3">
        <v>3.093810425986021E-3</v>
      </c>
      <c r="C27" s="3">
        <v>0.31488993954243338</v>
      </c>
      <c r="E27" s="3">
        <v>1.7734721381273745E-3</v>
      </c>
      <c r="F27" s="3">
        <v>0.33</v>
      </c>
      <c r="G27" s="3">
        <v>40.189987871759591</v>
      </c>
    </row>
    <row r="28" spans="2:7" x14ac:dyDescent="0.45">
      <c r="B28" s="3"/>
      <c r="C28" s="3"/>
      <c r="E28" s="3"/>
      <c r="F28" s="3"/>
      <c r="G28" s="3"/>
    </row>
    <row r="29" spans="2:7" x14ac:dyDescent="0.45">
      <c r="B29" s="3">
        <v>1.6211254126045442E-3</v>
      </c>
      <c r="C29" s="3">
        <v>75.857701690571744</v>
      </c>
      <c r="E29" s="3">
        <v>8.9845504794894282E-4</v>
      </c>
      <c r="F29" s="3">
        <v>0.33</v>
      </c>
      <c r="G29" s="3">
        <v>1647.1172015370512</v>
      </c>
    </row>
    <row r="30" spans="2:7" x14ac:dyDescent="0.45">
      <c r="B30" s="3">
        <v>1.5820621496551723E-3</v>
      </c>
      <c r="C30" s="3">
        <v>87.736132035461452</v>
      </c>
      <c r="E30" s="3">
        <v>1.0273638156998999E-3</v>
      </c>
      <c r="F30" s="3">
        <v>0.34</v>
      </c>
      <c r="G30" s="3">
        <v>805.32052067017969</v>
      </c>
    </row>
    <row r="31" spans="2:7" x14ac:dyDescent="0.45">
      <c r="B31" s="3">
        <v>1.7422215277640874E-3</v>
      </c>
      <c r="C31" s="3">
        <v>48.322054338171974</v>
      </c>
      <c r="E31" s="3">
        <v>1.9375378425359635E-3</v>
      </c>
      <c r="F31" s="3">
        <v>0.34</v>
      </c>
      <c r="G31" s="3">
        <v>22.034003152339405</v>
      </c>
    </row>
    <row r="32" spans="2:7" x14ac:dyDescent="0.45">
      <c r="B32" s="3">
        <v>2.5625500498065888E-3</v>
      </c>
      <c r="C32" s="3">
        <v>2.2771441006533286</v>
      </c>
      <c r="E32" s="3">
        <v>3.3203773511200295E-3</v>
      </c>
      <c r="F32" s="3">
        <v>0.34</v>
      </c>
      <c r="G32" s="3">
        <v>0.14267909050834893</v>
      </c>
    </row>
    <row r="33" spans="2:7" x14ac:dyDescent="0.45">
      <c r="B33" s="3"/>
      <c r="C33" s="3"/>
      <c r="E33" s="3"/>
      <c r="F33" s="3"/>
      <c r="G33" s="3"/>
    </row>
    <row r="34" spans="2:7" x14ac:dyDescent="0.45">
      <c r="B34" s="3">
        <v>1.2070548252907543E-3</v>
      </c>
      <c r="C34" s="3">
        <v>370.78150112778985</v>
      </c>
      <c r="E34" s="3">
        <v>1.2343991093587193E-3</v>
      </c>
      <c r="F34" s="3">
        <v>0.33</v>
      </c>
      <c r="G34" s="3">
        <v>298.79936062858997</v>
      </c>
    </row>
    <row r="35" spans="2:7" x14ac:dyDescent="0.45">
      <c r="B35" s="3">
        <v>1.4414344030157622E-3</v>
      </c>
      <c r="C35" s="3">
        <v>148.8424139248626</v>
      </c>
      <c r="E35" s="3">
        <v>2.3242641457867919E-3</v>
      </c>
      <c r="F35" s="3">
        <v>0.33</v>
      </c>
      <c r="G35" s="3">
        <v>5.4135856487067358</v>
      </c>
    </row>
    <row r="36" spans="2:7" x14ac:dyDescent="0.45">
      <c r="B36" s="3">
        <v>2.027383347330769E-3</v>
      </c>
      <c r="C36" s="3">
        <v>16.708602347103685</v>
      </c>
      <c r="E36" s="3">
        <v>3.0977167522804549E-3</v>
      </c>
      <c r="F36" s="3">
        <v>0.34</v>
      </c>
      <c r="G36" s="3">
        <v>0.32120585608479896</v>
      </c>
    </row>
    <row r="37" spans="2:7" x14ac:dyDescent="0.45">
      <c r="B37" s="3">
        <v>2.3555147561467038E-3</v>
      </c>
      <c r="C37" s="3">
        <v>4.9230945106328168</v>
      </c>
      <c r="E37" s="3">
        <v>3.3828785718469589E-3</v>
      </c>
      <c r="F37" s="3">
        <v>0.34</v>
      </c>
      <c r="G37" s="3">
        <v>0.11361470459402538</v>
      </c>
    </row>
    <row r="38" spans="2:7" x14ac:dyDescent="0.45">
      <c r="E38" s="1">
        <v>1.0840055469838461E-3</v>
      </c>
      <c r="F38" s="1">
        <v>0.34</v>
      </c>
      <c r="G38" s="1">
        <v>597.4918815671075</v>
      </c>
    </row>
  </sheetData>
  <mergeCells count="11">
    <mergeCell ref="B21:C21"/>
    <mergeCell ref="B18:C18"/>
    <mergeCell ref="X3:AD3"/>
    <mergeCell ref="B4:H4"/>
    <mergeCell ref="B11:C11"/>
    <mergeCell ref="B12:C12"/>
    <mergeCell ref="B14:H14"/>
    <mergeCell ref="B17:G17"/>
    <mergeCell ref="E21:G21"/>
    <mergeCell ref="F11:G11"/>
    <mergeCell ref="F12:G12"/>
  </mergeCells>
  <conditionalFormatting sqref="C15:H15">
    <cfRule type="cellIs" dxfId="1" priority="2" operator="greaterThan">
      <formula>$D$12</formula>
    </cfRule>
  </conditionalFormatting>
  <conditionalFormatting sqref="E23:E37">
    <cfRule type="cellIs" dxfId="0" priority="1" operator="equal">
      <formula>$D$12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SSW_CalibrationCurve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Sebastián Alvarado Sarmiento</dc:creator>
  <cp:lastModifiedBy>Pablo Sebastián Alvarado Sarmiento</cp:lastModifiedBy>
  <dcterms:created xsi:type="dcterms:W3CDTF">2025-04-24T15:45:13Z</dcterms:created>
  <dcterms:modified xsi:type="dcterms:W3CDTF">2025-05-05T17:03:23Z</dcterms:modified>
</cp:coreProperties>
</file>