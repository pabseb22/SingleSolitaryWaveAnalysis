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"/>
    </mc:Choice>
  </mc:AlternateContent>
  <xr:revisionPtr revIDLastSave="0" documentId="13_ncr:1_{94A045B9-40BC-479E-814F-5446D060914D}" xr6:coauthVersionLast="47" xr6:coauthVersionMax="47" xr10:uidLastSave="{00000000-0000-0000-0000-000000000000}"/>
  <bookViews>
    <workbookView xWindow="-98" yWindow="-98" windowWidth="21795" windowHeight="12975" xr2:uid="{2BD432D8-4488-4A89-A586-01F393994D8E}"/>
  </bookViews>
  <sheets>
    <sheet name="SSW_Curve_Final" sheetId="5" r:id="rId1"/>
    <sheet name="SSW_CalibrationCurve (2)" sheetId="4" r:id="rId2"/>
    <sheet name="SSW_CalibrationCurve" sheetId="2" r:id="rId3"/>
    <sheet name="K_valu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E6" i="5"/>
  <c r="F6" i="5"/>
  <c r="G6" i="5"/>
  <c r="H6" i="5"/>
  <c r="I6" i="5"/>
  <c r="J6" i="5"/>
  <c r="K6" i="5"/>
  <c r="L6" i="5"/>
  <c r="M6" i="5"/>
  <c r="C6" i="5"/>
  <c r="C6" i="4"/>
  <c r="R6" i="4"/>
  <c r="Q6" i="4"/>
  <c r="P6" i="4"/>
  <c r="O6" i="4"/>
  <c r="N6" i="4"/>
  <c r="M6" i="4"/>
  <c r="L6" i="4"/>
  <c r="K6" i="4"/>
  <c r="H6" i="4"/>
  <c r="G6" i="4"/>
  <c r="F6" i="4"/>
  <c r="E6" i="4"/>
  <c r="D6" i="4"/>
  <c r="K6" i="2"/>
  <c r="L6" i="2"/>
  <c r="R6" i="2"/>
  <c r="Q6" i="2"/>
  <c r="P6" i="2"/>
  <c r="O6" i="2"/>
  <c r="N6" i="2"/>
  <c r="M6" i="2"/>
  <c r="N12" i="3"/>
  <c r="O11" i="3"/>
  <c r="O10" i="3"/>
  <c r="N10" i="3"/>
  <c r="N11" i="3"/>
  <c r="N13" i="3"/>
  <c r="N14" i="3"/>
  <c r="N15" i="3"/>
  <c r="N16" i="3"/>
  <c r="N17" i="3"/>
  <c r="N18" i="3"/>
  <c r="N19" i="3"/>
  <c r="C28" i="3"/>
  <c r="C29" i="3"/>
  <c r="C30" i="3"/>
  <c r="C31" i="3"/>
  <c r="C32" i="3"/>
  <c r="C33" i="3"/>
  <c r="C27" i="3"/>
  <c r="C26" i="3"/>
  <c r="C16" i="3"/>
  <c r="C17" i="3"/>
  <c r="C18" i="3"/>
  <c r="C19" i="3"/>
  <c r="C20" i="3"/>
  <c r="C21" i="3"/>
  <c r="C22" i="3"/>
  <c r="C15" i="3"/>
  <c r="C5" i="3"/>
  <c r="C6" i="3"/>
  <c r="C7" i="3"/>
  <c r="C8" i="3"/>
  <c r="C9" i="3"/>
  <c r="C10" i="3"/>
  <c r="C11" i="3"/>
  <c r="C4" i="3"/>
  <c r="H6" i="2"/>
  <c r="G6" i="2"/>
  <c r="F6" i="2"/>
  <c r="E6" i="2"/>
  <c r="D6" i="2"/>
  <c r="C6" i="2"/>
  <c r="D11" i="2" a="1"/>
  <c r="D11" i="4" a="1"/>
  <c r="D12" i="2" a="1"/>
  <c r="D12" i="4" a="1"/>
  <c r="D11" i="2" l="1"/>
  <c r="D11" i="4"/>
  <c r="D12" i="4"/>
  <c r="D12" i="2"/>
  <c r="F15" i="4" l="1"/>
  <c r="D15" i="4"/>
  <c r="C15" i="4"/>
  <c r="H15" i="4"/>
  <c r="G15" i="4"/>
  <c r="B15" i="4"/>
  <c r="E15" i="4"/>
  <c r="G15" i="2"/>
  <c r="C15" i="2"/>
  <c r="E15" i="2"/>
  <c r="B15" i="2"/>
  <c r="H15" i="2"/>
  <c r="D15" i="2"/>
  <c r="F15" i="2"/>
  <c r="D18" i="4" l="1"/>
  <c r="D18" i="2"/>
  <c r="H12" i="4" a="1"/>
  <c r="H12" i="4" s="1"/>
  <c r="G18" i="4" s="1"/>
  <c r="H12" i="2" a="1"/>
  <c r="H12" i="2" s="1"/>
  <c r="G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<sst xmlns="http://schemas.openxmlformats.org/spreadsheetml/2006/main" count="94" uniqueCount="37">
  <si>
    <t>Archivo: SSW_GroupSimulationModel.m</t>
  </si>
  <si>
    <t>V0</t>
  </si>
  <si>
    <r>
      <t xml:space="preserve">Orignal Datos Curva Calibración de Matlab -&gt; </t>
    </r>
    <r>
      <rPr>
        <b/>
        <sz val="11"/>
        <color rgb="FFFF0000"/>
        <rFont val="Aptos Narrow"/>
        <family val="2"/>
        <scheme val="minor"/>
      </rPr>
      <t>V0=0.26</t>
    </r>
  </si>
  <si>
    <r>
      <t xml:space="preserve">Datos Curva Calibración de Matlab -&gt; </t>
    </r>
    <r>
      <rPr>
        <b/>
        <sz val="11"/>
        <color rgb="FFFF0000"/>
        <rFont val="Aptos Narrow"/>
        <family val="2"/>
        <scheme val="minor"/>
      </rPr>
      <t>V0=0.26</t>
    </r>
  </si>
  <si>
    <t>Mpa</t>
  </si>
  <si>
    <t>LOG</t>
  </si>
  <si>
    <t>Mod. Poisson</t>
  </si>
  <si>
    <t>TOF</t>
  </si>
  <si>
    <t>Interpolación para Poisson Dado</t>
  </si>
  <si>
    <t>Interpolación para Módulo de Elasticidad</t>
  </si>
  <si>
    <t>Mod. Elasticidad</t>
  </si>
  <si>
    <t>Limo</t>
  </si>
  <si>
    <t>ModE</t>
  </si>
  <si>
    <t>Poisson</t>
  </si>
  <si>
    <t># Celda</t>
  </si>
  <si>
    <t># Celda Interpolacion</t>
  </si>
  <si>
    <t>Auto:</t>
  </si>
  <si>
    <t>E</t>
  </si>
  <si>
    <t>k</t>
  </si>
  <si>
    <t>Datos Matlab 0.5</t>
  </si>
  <si>
    <t>E (Mpa)</t>
  </si>
  <si>
    <t>K - 0.1</t>
  </si>
  <si>
    <t>Modelo de ley de potencia en el módulo efectivo del contacto</t>
  </si>
  <si>
    <t>A≈</t>
  </si>
  <si>
    <t>b≈</t>
  </si>
  <si>
    <t>k_ajustado</t>
  </si>
  <si>
    <t>K - 0.3</t>
  </si>
  <si>
    <t>0.1Mpa</t>
  </si>
  <si>
    <t>0.01Mpa</t>
  </si>
  <si>
    <t>0.001MPa</t>
  </si>
  <si>
    <t>0.0001MPa</t>
  </si>
  <si>
    <t>Mortero</t>
  </si>
  <si>
    <t>0p30</t>
  </si>
  <si>
    <t>0p35</t>
  </si>
  <si>
    <t>0p40</t>
  </si>
  <si>
    <t>0.3 10 Mpa Sin K</t>
  </si>
  <si>
    <t>0.5 10 Mpa Sin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</si>
</sst>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6" formatCode="0.00000"/>
    <numFmt numFmtId="167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  <font>
      <b/>
      <sz val="12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8">
    <xf numFmtId="0" fontId="0" fillId="0" borderId="0" xfId="0"/>
    <xf numFmtId="0" fontId="1" fillId="2" borderId="0" xfId="1" applyFill="1"/>
    <xf numFmtId="0" fontId="2" fillId="2" borderId="0" xfId="1" applyFont="1" applyFill="1"/>
    <xf numFmtId="0" fontId="1" fillId="2" borderId="1" xfId="1" applyFill="1" applyBorder="1"/>
    <xf numFmtId="2" fontId="1" fillId="2" borderId="1" xfId="1" applyNumberFormat="1" applyFill="1" applyBorder="1"/>
    <xf numFmtId="164" fontId="1" fillId="2" borderId="1" xfId="1" applyNumberFormat="1" applyFill="1" applyBorder="1"/>
    <xf numFmtId="0" fontId="1" fillId="2" borderId="2" xfId="1" applyFill="1" applyBorder="1"/>
    <xf numFmtId="164" fontId="1" fillId="2" borderId="2" xfId="1" applyNumberFormat="1" applyFill="1" applyBorder="1"/>
    <xf numFmtId="0" fontId="3" fillId="2" borderId="0" xfId="1" applyFont="1" applyFill="1" applyAlignment="1">
      <alignment horizontal="center"/>
    </xf>
    <xf numFmtId="165" fontId="1" fillId="2" borderId="1" xfId="1" applyNumberFormat="1" applyFill="1" applyBorder="1"/>
    <xf numFmtId="0" fontId="0" fillId="2" borderId="0" xfId="0" applyFill="1"/>
    <xf numFmtId="0" fontId="5" fillId="2" borderId="1" xfId="2" applyFill="1" applyBorder="1" applyAlignment="1">
      <alignment horizontal="center"/>
    </xf>
    <xf numFmtId="0" fontId="5" fillId="2" borderId="0" xfId="2" applyFill="1"/>
    <xf numFmtId="2" fontId="5" fillId="2" borderId="1" xfId="2" applyNumberForma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1" xfId="0" applyFill="1" applyBorder="1"/>
    <xf numFmtId="0" fontId="0" fillId="2" borderId="0" xfId="1" applyFont="1" applyFill="1"/>
    <xf numFmtId="0" fontId="2" fillId="2" borderId="1" xfId="1" applyFont="1" applyFill="1" applyBorder="1"/>
    <xf numFmtId="166" fontId="1" fillId="2" borderId="1" xfId="1" applyNumberFormat="1" applyFill="1" applyBorder="1"/>
    <xf numFmtId="167" fontId="7" fillId="2" borderId="1" xfId="0" applyNumberFormat="1" applyFont="1" applyFill="1" applyBorder="1" applyAlignment="1">
      <alignment horizontal="center"/>
    </xf>
    <xf numFmtId="0" fontId="1" fillId="2" borderId="0" xfId="1" applyFill="1" applyAlignment="1">
      <alignment horizontal="right"/>
    </xf>
    <xf numFmtId="0" fontId="0" fillId="2" borderId="1" xfId="1" applyFont="1" applyFill="1" applyBorder="1"/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3">
    <cellStyle name="Normal" xfId="0" builtinId="0"/>
    <cellStyle name="Normal 2" xfId="2" xr:uid="{A0AC99EA-4BF8-4951-9183-DBD917378CE6}"/>
    <cellStyle name="Normal 2 2" xfId="1" xr:uid="{C90D40CB-6B8A-4A17-91CD-8EF2FD126B89}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803149606299206E-2"/>
          <c:y val="5.0925925925925923E-2"/>
          <c:w val="0.7620995188101487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SSW_Curve_Final!$B$5</c:f>
              <c:strCache>
                <c:ptCount val="1"/>
                <c:pt idx="0">
                  <c:v>0.5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SSW_Curve_Final!$C$5:$H$5</c:f>
              <c:numCache>
                <c:formatCode>General</c:formatCode>
                <c:ptCount val="6"/>
                <c:pt idx="0">
                  <c:v>3.6714E-3</c:v>
                </c:pt>
                <c:pt idx="1">
                  <c:v>3.4153E-3</c:v>
                </c:pt>
                <c:pt idx="2">
                  <c:v>3.2349000000000002E-3</c:v>
                </c:pt>
                <c:pt idx="3">
                  <c:v>2.7461999999999999E-3</c:v>
                </c:pt>
                <c:pt idx="4">
                  <c:v>2.5167000000000002E-3</c:v>
                </c:pt>
                <c:pt idx="5">
                  <c:v>2.14970508462505E-3</c:v>
                </c:pt>
              </c:numCache>
            </c:numRef>
          </c:xVal>
          <c:yVal>
            <c:numRef>
              <c:f>SSW_Curve_Final!$C$2:$H$2</c:f>
              <c:numCache>
                <c:formatCode>General</c:formatCode>
                <c:ptCount val="6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4</c:v>
                </c:pt>
                <c:pt idx="4">
                  <c:v>7</c:v>
                </c:pt>
                <c:pt idx="5" formatCode="0.0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D5-4BF1-B6BC-AA0BD3FFFA91}"/>
            </c:ext>
          </c:extLst>
        </c:ser>
        <c:ser>
          <c:idx val="1"/>
          <c:order val="1"/>
          <c:tx>
            <c:strRef>
              <c:f>SSW_Curve_Final!$N$11</c:f>
              <c:strCache>
                <c:ptCount val="1"/>
                <c:pt idx="0">
                  <c:v>0p30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SSW_Curve_Final!$O$11</c:f>
              <c:numCache>
                <c:formatCode>0.00000</c:formatCode>
                <c:ptCount val="1"/>
                <c:pt idx="0">
                  <c:v>2.5586437235105598E-3</c:v>
                </c:pt>
              </c:numCache>
            </c:numRef>
          </c:xVal>
          <c:yVal>
            <c:numRef>
              <c:f>SSW_Curve_Final!$R$11</c:f>
              <c:numCache>
                <c:formatCode>0.000</c:formatCode>
                <c:ptCount val="1"/>
                <c:pt idx="0">
                  <c:v>7.25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D5-4BF1-B6BC-AA0BD3FFFA91}"/>
            </c:ext>
          </c:extLst>
        </c:ser>
        <c:ser>
          <c:idx val="2"/>
          <c:order val="2"/>
          <c:tx>
            <c:strRef>
              <c:f>SSW_Curve_Final!$N$12</c:f>
              <c:strCache>
                <c:ptCount val="1"/>
                <c:pt idx="0">
                  <c:v>0p35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SSW_Curve_Final!$O$12</c:f>
              <c:numCache>
                <c:formatCode>0.00000</c:formatCode>
                <c:ptCount val="1"/>
                <c:pt idx="0">
                  <c:v>3.3203773511161199E-3</c:v>
                </c:pt>
              </c:numCache>
            </c:numRef>
          </c:xVal>
          <c:yVal>
            <c:numRef>
              <c:f>SSW_Curve_Final!$Q$12</c:f>
              <c:numCache>
                <c:formatCode>0.000</c:formatCode>
                <c:ptCount val="1"/>
                <c:pt idx="0">
                  <c:v>5.56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D5-4BF1-B6BC-AA0BD3FFFA91}"/>
            </c:ext>
          </c:extLst>
        </c:ser>
        <c:ser>
          <c:idx val="3"/>
          <c:order val="3"/>
          <c:tx>
            <c:strRef>
              <c:f>SSW_Curve_Final!$N$13</c:f>
              <c:strCache>
                <c:ptCount val="1"/>
                <c:pt idx="0">
                  <c:v>0p40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SSW_Curve_Final!$O$13</c:f>
              <c:numCache>
                <c:formatCode>0.00000</c:formatCode>
                <c:ptCount val="1"/>
                <c:pt idx="0">
                  <c:v>3.4961620344202199E-3</c:v>
                </c:pt>
              </c:numCache>
            </c:numRef>
          </c:xVal>
          <c:yVal>
            <c:numRef>
              <c:f>SSW_Curve_Final!$Q$13</c:f>
              <c:numCache>
                <c:formatCode>0.000</c:formatCode>
                <c:ptCount val="1"/>
                <c:pt idx="0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1C-43B2-AD2B-7E0699A08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52319"/>
        <c:axId val="317559519"/>
      </c:scatterChart>
      <c:valAx>
        <c:axId val="317552319"/>
        <c:scaling>
          <c:orientation val="minMax"/>
          <c:min val="2.0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59519"/>
        <c:crosses val="autoZero"/>
        <c:crossBetween val="midCat"/>
      </c:valAx>
      <c:valAx>
        <c:axId val="31755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5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149736002717166E-2"/>
          <c:y val="3.6436257545135187E-2"/>
          <c:w val="0.87612213270007666"/>
          <c:h val="0.88698709186240399"/>
        </c:manualLayout>
      </c:layout>
      <c:scatterChart>
        <c:scatterStyle val="smoothMarker"/>
        <c:varyColors val="0"/>
        <c:ser>
          <c:idx val="0"/>
          <c:order val="0"/>
          <c:tx>
            <c:v>Pois 0.30</c:v>
          </c:tx>
          <c:spPr>
            <a:ln w="19050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'SSW_CalibrationCurve (2)'!$C$8:$H$8</c:f>
              <c:numCache>
                <c:formatCode>General</c:formatCode>
                <c:ptCount val="6"/>
                <c:pt idx="0">
                  <c:v>3.6903573000000001E-3</c:v>
                </c:pt>
                <c:pt idx="1">
                  <c:v>1.5245798642394099E-3</c:v>
                </c:pt>
                <c:pt idx="2">
                  <c:v>1.2349915672320801E-3</c:v>
                </c:pt>
                <c:pt idx="3">
                  <c:v>1.1210804794715E-3</c:v>
                </c:pt>
                <c:pt idx="4">
                  <c:v>1.0543159670394599E-3</c:v>
                </c:pt>
                <c:pt idx="5" formatCode="0.000000">
                  <c:v>9.8983598711006393E-4</c:v>
                </c:pt>
              </c:numCache>
            </c:numRef>
          </c:xVal>
          <c:yVal>
            <c:numRef>
              <c:f>'SSW_CalibrationCurve (2)'!$C$5:$H$5</c:f>
              <c:numCache>
                <c:formatCode>0.00</c:formatCode>
                <c:ptCount val="6"/>
                <c:pt idx="0">
                  <c:v>0.1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D-4AA4-8D47-80FD66777F4A}"/>
            </c:ext>
          </c:extLst>
        </c:ser>
        <c:ser>
          <c:idx val="2"/>
          <c:order val="1"/>
          <c:tx>
            <c:v>Pois 0.50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'SSW_CalibrationCurve (2)'!$C$9:$H$9</c:f>
              <c:numCache>
                <c:formatCode>General</c:formatCode>
                <c:ptCount val="6"/>
                <c:pt idx="0">
                  <c:v>3.6403573E-3</c:v>
                </c:pt>
                <c:pt idx="1">
                  <c:v>1.4839440203368701E-3</c:v>
                </c:pt>
                <c:pt idx="2">
                  <c:v>1.19766476738336E-3</c:v>
                </c:pt>
                <c:pt idx="3">
                  <c:v>1.0891446262729801E-3</c:v>
                </c:pt>
                <c:pt idx="4">
                  <c:v>1.02655644409088E-3</c:v>
                </c:pt>
                <c:pt idx="5" formatCode="0.000000">
                  <c:v>9.6648717426287402E-4</c:v>
                </c:pt>
              </c:numCache>
            </c:numRef>
          </c:xVal>
          <c:yVal>
            <c:numRef>
              <c:f>'SSW_CalibrationCurve (2)'!$C$5:$H$5</c:f>
              <c:numCache>
                <c:formatCode>0.00</c:formatCode>
                <c:ptCount val="6"/>
                <c:pt idx="0">
                  <c:v>0.1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B9-4DFA-B9B0-A29027BAC4F9}"/>
            </c:ext>
          </c:extLst>
        </c:ser>
        <c:ser>
          <c:idx val="1"/>
          <c:order val="2"/>
          <c:tx>
            <c:v>0p30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'SSW_CalibrationCurve (2)'!$E$23</c:f>
              <c:numCache>
                <c:formatCode>0.00000</c:formatCode>
                <c:ptCount val="1"/>
                <c:pt idx="0">
                  <c:v>2.5586437235105598E-3</c:v>
                </c:pt>
              </c:numCache>
            </c:numRef>
          </c:xVal>
          <c:yVal>
            <c:numRef>
              <c:f>'SSW_CalibrationCurve (2)'!$G$23</c:f>
              <c:numCache>
                <c:formatCode>0.000</c:formatCode>
                <c:ptCount val="1"/>
                <c:pt idx="0">
                  <c:v>8.11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9-4DFA-B9B0-A29027BAC4F9}"/>
            </c:ext>
          </c:extLst>
        </c:ser>
        <c:ser>
          <c:idx val="3"/>
          <c:order val="3"/>
          <c:tx>
            <c:v>0p35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x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'SSW_CalibrationCurve (2)'!$E$24</c:f>
              <c:numCache>
                <c:formatCode>0.00000</c:formatCode>
                <c:ptCount val="1"/>
                <c:pt idx="0">
                  <c:v>3.3203773511161199E-3</c:v>
                </c:pt>
              </c:numCache>
            </c:numRef>
          </c:xVal>
          <c:yVal>
            <c:numRef>
              <c:f>'SSW_CalibrationCurve (2)'!$G$24</c:f>
              <c:numCache>
                <c:formatCode>0.000</c:formatCode>
                <c:ptCount val="1"/>
                <c:pt idx="0">
                  <c:v>5.56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D-469B-BC34-2B69605138F4}"/>
            </c:ext>
          </c:extLst>
        </c:ser>
        <c:ser>
          <c:idx val="4"/>
          <c:order val="4"/>
          <c:tx>
            <c:v>0p40</c:v>
          </c:tx>
          <c:spPr>
            <a:ln w="19050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'SSW_CalibrationCurve (2)'!$E$25</c:f>
              <c:numCache>
                <c:formatCode>0.00000</c:formatCode>
                <c:ptCount val="1"/>
                <c:pt idx="0">
                  <c:v>3.4961620344202199E-3</c:v>
                </c:pt>
              </c:numCache>
            </c:numRef>
          </c:xVal>
          <c:yVal>
            <c:numRef>
              <c:f>'SSW_CalibrationCurve (2)'!$G$25</c:f>
              <c:numCache>
                <c:formatCode>0.000</c:formatCode>
                <c:ptCount val="1"/>
                <c:pt idx="0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ED-469B-BC34-2B696051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78976"/>
        <c:axId val="1420179936"/>
      </c:scatterChart>
      <c:valAx>
        <c:axId val="1420178976"/>
        <c:scaling>
          <c:orientation val="minMax"/>
          <c:min val="1.0000000000000002E-3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79936"/>
        <c:crosses val="autoZero"/>
        <c:crossBetween val="midCat"/>
      </c:valAx>
      <c:valAx>
        <c:axId val="1420179936"/>
        <c:scaling>
          <c:logBase val="10"/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7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601702345051888"/>
          <c:y val="3.2331244964584845E-2"/>
          <c:w val="0.12411298183738563"/>
          <c:h val="0.28056094909545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636482939632552E-2"/>
          <c:y val="5.0925925925925923E-2"/>
          <c:w val="0.8564468503937008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K_values!$B$13</c:f>
              <c:strCache>
                <c:ptCount val="1"/>
                <c:pt idx="0">
                  <c:v>K - 0.3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K_values!$C$15:$C$22</c:f>
              <c:numCache>
                <c:formatCode>0.00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K_values!$D$15:$D$22</c:f>
              <c:numCache>
                <c:formatCode>General</c:formatCode>
                <c:ptCount val="8"/>
                <c:pt idx="0">
                  <c:v>1.3259736795022041</c:v>
                </c:pt>
                <c:pt idx="1">
                  <c:v>1.1531017802399695</c:v>
                </c:pt>
                <c:pt idx="2">
                  <c:v>1.0821813204036701</c:v>
                </c:pt>
                <c:pt idx="3">
                  <c:v>1.05394888195359</c:v>
                </c:pt>
                <c:pt idx="4">
                  <c:v>1.0434829598242401</c:v>
                </c:pt>
                <c:pt idx="5">
                  <c:v>1.0350255733857601</c:v>
                </c:pt>
                <c:pt idx="6">
                  <c:v>1.0306193761935976</c:v>
                </c:pt>
                <c:pt idx="7">
                  <c:v>1.0245285302824279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E-4C28-90AC-10ED0CEFAEB0}"/>
            </c:ext>
          </c:extLst>
        </c:ser>
        <c:ser>
          <c:idx val="1"/>
          <c:order val="1"/>
          <c:tx>
            <c:strRef>
              <c:f>K_values!$N$7</c:f>
              <c:strCache>
                <c:ptCount val="1"/>
                <c:pt idx="0">
                  <c:v>k_ajustado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K_values!$M$8:$M$19</c:f>
              <c:numCache>
                <c:formatCode>0.00</c:formatCode>
                <c:ptCount val="12"/>
                <c:pt idx="2">
                  <c:v>0.1</c:v>
                </c:pt>
                <c:pt idx="3">
                  <c:v>5</c:v>
                </c:pt>
                <c:pt idx="4">
                  <c:v>10</c:v>
                </c:pt>
                <c:pt idx="5">
                  <c:v>40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500</c:v>
                </c:pt>
                <c:pt idx="10">
                  <c:v>700</c:v>
                </c:pt>
                <c:pt idx="11">
                  <c:v>1000</c:v>
                </c:pt>
              </c:numCache>
            </c:numRef>
          </c:xVal>
          <c:yVal>
            <c:numRef>
              <c:f>K_values!$N$8:$N$19</c:f>
              <c:numCache>
                <c:formatCode>General</c:formatCode>
                <c:ptCount val="12"/>
                <c:pt idx="2">
                  <c:v>3.3598199083828408</c:v>
                </c:pt>
                <c:pt idx="3">
                  <c:v>1.3337289319193049</c:v>
                </c:pt>
                <c:pt idx="4">
                  <c:v>1.2359819908382841</c:v>
                </c:pt>
                <c:pt idx="5">
                  <c:v>1.117990995419142</c:v>
                </c:pt>
                <c:pt idx="6">
                  <c:v>1.0746240577829964</c:v>
                </c:pt>
                <c:pt idx="7">
                  <c:v>1.0527671772980136</c:v>
                </c:pt>
                <c:pt idx="8">
                  <c:v>1.0430842198490353</c:v>
                </c:pt>
                <c:pt idx="9">
                  <c:v>1.0333728931919304</c:v>
                </c:pt>
                <c:pt idx="10">
                  <c:v>1.0282052426737605</c:v>
                </c:pt>
                <c:pt idx="11">
                  <c:v>1.0235981990838283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1E-4C28-90AC-10ED0CEFA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48111"/>
        <c:axId val="340841391"/>
      </c:scatterChart>
      <c:valAx>
        <c:axId val="34084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41391"/>
        <c:crosses val="autoZero"/>
        <c:crossBetween val="midCat"/>
        <c:majorUnit val="200"/>
      </c:valAx>
      <c:valAx>
        <c:axId val="34084139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48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28652668416444"/>
          <c:y val="7.9281860600758244E-2"/>
          <c:w val="0.152380139982502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349247</xdr:colOff>
      <xdr:row>7</xdr:row>
      <xdr:rowOff>82097</xdr:rowOff>
    </xdr:from>
    <xdr:to>
      <xdr:col>10</xdr:col>
      <xdr:colOff>380998</xdr:colOff>
      <xdr:row>22</xdr:row>
      <xdr:rowOff>103868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706A8-66E3-3EA5-F1B8-67D33ADE3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469597</xdr:colOff>
      <xdr:row>12</xdr:row>
      <xdr:rowOff>70459</xdr:rowOff>
    </xdr:from>
    <xdr:to>
      <xdr:col>24</xdr:col>
      <xdr:colOff>606869</xdr:colOff>
      <xdr:row>33</xdr:row>
      <xdr:rowOff>139374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BE251-8E36-BBEF-22F1-D0A54CC43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88106</xdr:colOff>
      <xdr:row>3</xdr:row>
      <xdr:rowOff>61912</xdr:rowOff>
    </xdr:from>
    <xdr:ext cx="1707775" cy="4172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3E68FDB-D23C-45F8-89C3-7C4E140E9423}"/>
                </a:ext>
              </a:extLst>
            </xdr:cNvPr>
            <xdr:cNvSpPr txBox="1"/>
          </xdr:nvSpPr>
          <xdr:spPr>
            <a:xfrm>
              <a:off x="5550694" y="623887"/>
              <a:ext cx="1707775" cy="417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C" sz="1100" b="0" i="1">
                        <a:latin typeface="Cambria Math" panose="02040503050406030204" pitchFamily="18" charset="0"/>
                      </a:rPr>
                      <m:t>𝑘</m:t>
                    </m:r>
                    <m:d>
                      <m:dPr>
                        <m:ctrlPr>
                          <a:rPr lang="es-EC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n-US"/>
                      <m:t>1+</m:t>
                    </m:r>
                    <m:r>
                      <m:rPr>
                        <m:nor/>
                      </m:rPr>
                      <a:rPr lang="en-US"/>
                      <m:t>A</m:t>
                    </m:r>
                    <m:r>
                      <a:rPr lang="en-US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en-US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d>
                      </m:e>
                      <m:sup>
                        <m:r>
                          <a:rPr lang="en-US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sup>
                    </m:sSup>
                    <m:r>
                      <m:rPr>
                        <m:nor/>
                      </m:rPr>
                      <a:rPr lang="en-US" b="0" i="0"/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3E68FDB-D23C-45F8-89C3-7C4E140E9423}"/>
                </a:ext>
              </a:extLst>
            </xdr:cNvPr>
            <xdr:cNvSpPr txBox="1"/>
          </xdr:nvSpPr>
          <xdr:spPr>
            <a:xfrm>
              <a:off x="5550694" y="623887"/>
              <a:ext cx="1707775" cy="417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C" sz="1100" b="0" i="0">
                  <a:latin typeface="Cambria Math" panose="02040503050406030204" pitchFamily="18" charset="0"/>
                </a:rPr>
                <a:t>𝑘(</a:t>
              </a:r>
              <a:r>
                <a:rPr lang="en-US" sz="1100" b="0" i="0">
                  <a:latin typeface="Cambria Math" panose="02040503050406030204" pitchFamily="18" charset="0"/>
                </a:rPr>
                <a:t>𝐸,𝑣)="</a:t>
              </a:r>
              <a:r>
                <a:rPr lang="en-US" i="0">
                  <a:latin typeface="Cambria Math" panose="02040503050406030204" pitchFamily="18" charset="0"/>
                </a:rPr>
                <a:t>1+A</a:t>
              </a:r>
              <a:r>
                <a:rPr lang="en-US" i="0">
                  <a:latin typeface="Cambria Math" panose="02040503050406030204" pitchFamily="18" charset="0"/>
                  <a:ea typeface="Cambria Math" panose="02040503050406030204" pitchFamily="18" charset="0"/>
                </a:rPr>
                <a:t>"∙(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𝐸/(1−𝑣^2 )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)^(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−𝑏) "</a:t>
              </a:r>
              <a:r>
                <a:rPr lang="en-US" b="0" i="0">
                  <a:latin typeface="Cambria Math" panose="02040503050406030204" pitchFamily="18" charset="0"/>
                </a:rPr>
                <a:t> </a:t>
              </a:r>
              <a:r>
                <a:rPr lang="en-US" b="0" i="0"/>
                <a:t>"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5</xdr:col>
      <xdr:colOff>492917</xdr:colOff>
      <xdr:row>6</xdr:row>
      <xdr:rowOff>114301</xdr:rowOff>
    </xdr:from>
    <xdr:to>
      <xdr:col>10</xdr:col>
      <xdr:colOff>511967</xdr:colOff>
      <xdr:row>21</xdr:row>
      <xdr:rowOff>123826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A8D9F7-E446-B7FE-5071-0481AA455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2221-804C-494B-B283-F4CA5455FFE0}">
  <dimension ref="B2:S13"/>
  <sheetViews>
    <sheetView tabSelected="1" topLeftCell="B1" zoomScale="105" workbookViewId="0">
      <selection activeCell="M20" sqref="M20"/>
    </sheetView>
  </sheetViews>
  <sheetFormatPr defaultRowHeight="14.25" x14ac:dyDescent="0.45"/>
  <cols>
    <col min="1" max="16384" width="9.06640625" style="10"/>
  </cols>
  <sheetData>
    <row r="2" spans="2:19" x14ac:dyDescent="0.45">
      <c r="B2" s="21" t="s">
        <v>4</v>
      </c>
      <c r="C2" s="3">
        <v>0.1</v>
      </c>
      <c r="D2" s="3">
        <v>0.5</v>
      </c>
      <c r="E2" s="3">
        <v>1</v>
      </c>
      <c r="F2" s="3">
        <v>4</v>
      </c>
      <c r="G2" s="3">
        <v>7</v>
      </c>
      <c r="H2" s="4">
        <v>10</v>
      </c>
      <c r="I2" s="4">
        <v>100</v>
      </c>
      <c r="J2" s="4">
        <v>300</v>
      </c>
      <c r="K2" s="4">
        <v>500</v>
      </c>
      <c r="L2" s="4">
        <v>700</v>
      </c>
      <c r="M2" s="3">
        <v>1000</v>
      </c>
      <c r="P2" s="10" t="s">
        <v>35</v>
      </c>
    </row>
    <row r="3" spans="2:19" x14ac:dyDescent="0.45">
      <c r="B3" s="3">
        <v>0.1</v>
      </c>
      <c r="C3" s="3"/>
      <c r="D3" s="3"/>
      <c r="E3" s="3"/>
      <c r="F3" s="3"/>
      <c r="G3" s="3"/>
      <c r="H3" s="3">
        <v>2.1252823576404498E-3</v>
      </c>
      <c r="I3" s="3">
        <v>1.5349548257569E-3</v>
      </c>
      <c r="J3" s="3">
        <v>1.2459906107288501E-3</v>
      </c>
      <c r="K3" s="3">
        <v>1.13030798522664E-3</v>
      </c>
      <c r="L3" s="3">
        <v>1.06244287429404E-3</v>
      </c>
      <c r="M3" s="5">
        <v>9.978169398421491E-4</v>
      </c>
      <c r="P3" s="10">
        <v>2.4484369999999999E-3</v>
      </c>
    </row>
    <row r="4" spans="2:19" x14ac:dyDescent="0.45">
      <c r="B4" s="3">
        <v>0.3</v>
      </c>
      <c r="C4" s="3">
        <v>3.6903573000000001E-3</v>
      </c>
      <c r="D4" s="3">
        <v>3.4573999999999998E-3</v>
      </c>
      <c r="E4" s="3">
        <v>3.2899280000000001E-3</v>
      </c>
      <c r="F4" s="3">
        <v>2.8225659999999999E-3</v>
      </c>
      <c r="G4" s="3">
        <v>2.597088E-3</v>
      </c>
      <c r="H4" s="3">
        <v>2.15971893357225E-3</v>
      </c>
      <c r="I4" s="3">
        <v>1.5245798642394099E-3</v>
      </c>
      <c r="J4" s="3">
        <v>1.2349915672320801E-3</v>
      </c>
      <c r="K4" s="3">
        <v>1.1210804794715E-3</v>
      </c>
      <c r="L4" s="3">
        <v>1.0543159670394599E-3</v>
      </c>
      <c r="M4" s="5">
        <v>9.8983598711006393E-4</v>
      </c>
      <c r="P4" s="10" t="s">
        <v>36</v>
      </c>
    </row>
    <row r="5" spans="2:19" x14ac:dyDescent="0.45">
      <c r="B5" s="3">
        <v>0.5</v>
      </c>
      <c r="C5" s="3">
        <v>3.6714E-3</v>
      </c>
      <c r="D5" s="3">
        <v>3.4153E-3</v>
      </c>
      <c r="E5" s="3">
        <v>3.2349000000000002E-3</v>
      </c>
      <c r="F5" s="3">
        <v>2.7461999999999999E-3</v>
      </c>
      <c r="G5" s="3">
        <v>2.5167000000000002E-3</v>
      </c>
      <c r="H5" s="3">
        <v>2.14970508462505E-3</v>
      </c>
      <c r="I5" s="3">
        <v>1.4839440203368701E-3</v>
      </c>
      <c r="J5" s="3">
        <v>1.19766476738336E-3</v>
      </c>
      <c r="K5" s="3">
        <v>1.0891446262729801E-3</v>
      </c>
      <c r="L5" s="3">
        <v>1.02655644409088E-3</v>
      </c>
      <c r="M5" s="5">
        <v>9.6648717426287402E-4</v>
      </c>
      <c r="P5" s="10">
        <v>2.3674E-3</v>
      </c>
    </row>
    <row r="6" spans="2:19" x14ac:dyDescent="0.45">
      <c r="B6" s="22" t="s">
        <v>5</v>
      </c>
      <c r="C6" s="22">
        <f>LOG(C2)</f>
        <v>-1</v>
      </c>
      <c r="D6" s="22">
        <f t="shared" ref="D6:M6" si="0">LOG(D2)</f>
        <v>-0.3010299956639812</v>
      </c>
      <c r="E6" s="22">
        <f t="shared" si="0"/>
        <v>0</v>
      </c>
      <c r="F6" s="22">
        <f t="shared" si="0"/>
        <v>0.6020599913279624</v>
      </c>
      <c r="G6" s="22">
        <f t="shared" si="0"/>
        <v>0.84509804001425681</v>
      </c>
      <c r="H6" s="22">
        <f t="shared" si="0"/>
        <v>1</v>
      </c>
      <c r="I6" s="22">
        <f t="shared" si="0"/>
        <v>2</v>
      </c>
      <c r="J6" s="22">
        <f t="shared" si="0"/>
        <v>2.4771212547196626</v>
      </c>
      <c r="K6" s="22">
        <f t="shared" si="0"/>
        <v>2.6989700043360187</v>
      </c>
      <c r="L6" s="22">
        <f t="shared" si="0"/>
        <v>2.8450980400142569</v>
      </c>
      <c r="M6" s="22">
        <f t="shared" si="0"/>
        <v>3</v>
      </c>
    </row>
    <row r="11" spans="2:19" x14ac:dyDescent="0.45">
      <c r="N11" s="20" t="s">
        <v>32</v>
      </c>
      <c r="O11" s="18">
        <v>2.5586437235105598E-3</v>
      </c>
      <c r="P11" s="3">
        <v>0.5</v>
      </c>
      <c r="Q11" s="19">
        <v>8.11</v>
      </c>
      <c r="R11" s="19">
        <v>7.25</v>
      </c>
      <c r="S11" s="1">
        <v>3.467614180219901</v>
      </c>
    </row>
    <row r="12" spans="2:19" x14ac:dyDescent="0.45">
      <c r="N12" s="20" t="s">
        <v>33</v>
      </c>
      <c r="O12" s="18">
        <v>3.3203773511161199E-3</v>
      </c>
      <c r="P12" s="3">
        <v>0.5</v>
      </c>
      <c r="Q12" s="19">
        <v>5.56</v>
      </c>
      <c r="R12" s="19">
        <v>5.56</v>
      </c>
      <c r="S12" s="1">
        <v>0.29870404899774289</v>
      </c>
    </row>
    <row r="13" spans="2:19" x14ac:dyDescent="0.45">
      <c r="N13" s="20" t="s">
        <v>34</v>
      </c>
      <c r="O13" s="18">
        <v>3.4961620344202199E-3</v>
      </c>
      <c r="P13" s="3">
        <v>0.5</v>
      </c>
      <c r="Q13" s="19">
        <v>0.18</v>
      </c>
      <c r="R13" s="19">
        <v>0.18</v>
      </c>
      <c r="S13" s="1">
        <v>0.16963693563959908</v>
      </c>
    </row>
  </sheetData>
  <conditionalFormatting sqref="O11:O13">
    <cfRule type="cellIs" dxfId="4" priority="1" operator="equal">
      <formula>$D$12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6EB9-EF01-4C35-8A8F-2C6A845001C7}">
  <dimension ref="B2:AF37"/>
  <sheetViews>
    <sheetView topLeftCell="A2" zoomScale="85" zoomScaleNormal="85" workbookViewId="0">
      <selection activeCell="D23" sqref="D23:I25"/>
    </sheetView>
  </sheetViews>
  <sheetFormatPr defaultColWidth="8.796875" defaultRowHeight="14.25" x14ac:dyDescent="0.45"/>
  <cols>
    <col min="1" max="3" width="8.796875" style="1"/>
    <col min="4" max="4" width="16.796875" style="1" bestFit="1" customWidth="1"/>
    <col min="5" max="6" width="8.796875" style="1"/>
    <col min="7" max="7" width="9.33203125" style="1" bestFit="1" customWidth="1"/>
    <col min="8" max="16384" width="8.796875" style="1"/>
  </cols>
  <sheetData>
    <row r="2" spans="2:32" x14ac:dyDescent="0.45">
      <c r="B2" s="1" t="s">
        <v>0</v>
      </c>
      <c r="G2" s="2" t="s">
        <v>1</v>
      </c>
      <c r="H2" s="2">
        <v>0.26</v>
      </c>
    </row>
    <row r="3" spans="2:32" x14ac:dyDescent="0.45">
      <c r="Z3" s="23" t="s">
        <v>2</v>
      </c>
      <c r="AA3" s="23"/>
      <c r="AB3" s="23"/>
      <c r="AC3" s="23"/>
      <c r="AD3" s="23"/>
      <c r="AE3" s="23"/>
      <c r="AF3" s="23"/>
    </row>
    <row r="4" spans="2:32" x14ac:dyDescent="0.45">
      <c r="B4" s="23" t="s">
        <v>3</v>
      </c>
      <c r="C4" s="23"/>
      <c r="D4" s="23"/>
      <c r="E4" s="23"/>
      <c r="F4" s="23"/>
      <c r="G4" s="23"/>
      <c r="H4" s="23"/>
      <c r="J4" s="23" t="s">
        <v>3</v>
      </c>
      <c r="K4" s="23"/>
      <c r="L4" s="23"/>
      <c r="M4" s="23"/>
      <c r="N4" s="23"/>
      <c r="O4" s="23"/>
      <c r="P4" s="23"/>
      <c r="Q4" s="23"/>
      <c r="R4" s="23"/>
      <c r="Z4" s="3" t="s">
        <v>4</v>
      </c>
      <c r="AA4" s="4">
        <v>10</v>
      </c>
      <c r="AB4" s="4">
        <v>100</v>
      </c>
      <c r="AC4" s="4">
        <v>300</v>
      </c>
      <c r="AD4" s="4">
        <v>500</v>
      </c>
      <c r="AE4" s="4">
        <v>700</v>
      </c>
      <c r="AF4" s="3">
        <v>1000</v>
      </c>
    </row>
    <row r="5" spans="2:32" x14ac:dyDescent="0.45">
      <c r="B5" s="3" t="s">
        <v>4</v>
      </c>
      <c r="C5" s="4">
        <v>0.1</v>
      </c>
      <c r="D5" s="4">
        <v>100</v>
      </c>
      <c r="E5" s="4">
        <v>300</v>
      </c>
      <c r="F5" s="4">
        <v>500</v>
      </c>
      <c r="G5" s="4">
        <v>700</v>
      </c>
      <c r="H5" s="3">
        <v>1000</v>
      </c>
      <c r="J5" s="3" t="s">
        <v>4</v>
      </c>
      <c r="K5" s="3">
        <v>1</v>
      </c>
      <c r="L5" s="3">
        <v>0.1</v>
      </c>
      <c r="M5" s="4">
        <v>10</v>
      </c>
      <c r="N5" s="4">
        <v>100</v>
      </c>
      <c r="O5" s="4">
        <v>300</v>
      </c>
      <c r="P5" s="4">
        <v>500</v>
      </c>
      <c r="Q5" s="4">
        <v>700</v>
      </c>
      <c r="R5" s="3">
        <v>1000</v>
      </c>
      <c r="Z5" s="3">
        <v>0.1</v>
      </c>
      <c r="AA5" s="3">
        <v>2.1252823576404498E-3</v>
      </c>
      <c r="AB5" s="3">
        <v>1.5349548257569E-3</v>
      </c>
      <c r="AC5" s="3">
        <v>1.2459906107288501E-3</v>
      </c>
      <c r="AD5" s="3">
        <v>1.13030798522664E-3</v>
      </c>
      <c r="AE5" s="3">
        <v>1.06244287429404E-3</v>
      </c>
      <c r="AF5" s="5">
        <v>9.978169398421491E-4</v>
      </c>
    </row>
    <row r="6" spans="2:32" x14ac:dyDescent="0.45">
      <c r="B6" s="3" t="s">
        <v>5</v>
      </c>
      <c r="C6" s="4">
        <f>LOG10(C5)</f>
        <v>-1</v>
      </c>
      <c r="D6" s="4">
        <f t="shared" ref="D6:H6" si="0">LOG10(D5)</f>
        <v>2</v>
      </c>
      <c r="E6" s="4">
        <f t="shared" si="0"/>
        <v>2.4771212547196626</v>
      </c>
      <c r="F6" s="4">
        <f t="shared" si="0"/>
        <v>2.6989700043360187</v>
      </c>
      <c r="G6" s="4">
        <f t="shared" si="0"/>
        <v>2.8450980400142569</v>
      </c>
      <c r="H6" s="4">
        <f t="shared" si="0"/>
        <v>3</v>
      </c>
      <c r="J6" s="3" t="s">
        <v>5</v>
      </c>
      <c r="K6" s="4">
        <f>LOG10(K5)</f>
        <v>0</v>
      </c>
      <c r="L6" s="4">
        <f>LOG10(L5)</f>
        <v>-1</v>
      </c>
      <c r="M6" s="4">
        <f>LOG10(M5)</f>
        <v>1</v>
      </c>
      <c r="N6" s="4">
        <f t="shared" ref="N6:R6" si="1">LOG10(N5)</f>
        <v>2</v>
      </c>
      <c r="O6" s="4">
        <f t="shared" si="1"/>
        <v>2.4771212547196626</v>
      </c>
      <c r="P6" s="4">
        <f t="shared" si="1"/>
        <v>2.6989700043360187</v>
      </c>
      <c r="Q6" s="4">
        <f t="shared" si="1"/>
        <v>2.8450980400142569</v>
      </c>
      <c r="R6" s="4">
        <f t="shared" si="1"/>
        <v>3</v>
      </c>
      <c r="Z6" s="3"/>
      <c r="AA6" s="3"/>
      <c r="AB6" s="3"/>
      <c r="AC6" s="3"/>
      <c r="AD6" s="3"/>
      <c r="AE6" s="3"/>
      <c r="AF6" s="5"/>
    </row>
    <row r="7" spans="2:32" x14ac:dyDescent="0.45">
      <c r="B7" s="3">
        <v>0.1</v>
      </c>
      <c r="C7" s="1">
        <v>3.7203573000000002E-3</v>
      </c>
      <c r="D7" s="6">
        <v>1.5349548257569E-3</v>
      </c>
      <c r="E7" s="6">
        <v>1.2459906107288501E-3</v>
      </c>
      <c r="F7" s="6">
        <v>1.13030798522664E-3</v>
      </c>
      <c r="G7" s="6">
        <v>1.06244287429404E-3</v>
      </c>
      <c r="H7" s="7">
        <v>9.978169398421491E-4</v>
      </c>
      <c r="J7" s="3">
        <v>0.1</v>
      </c>
      <c r="K7" s="3"/>
      <c r="L7" s="3">
        <v>3.7203573000000002E-3</v>
      </c>
      <c r="M7" s="1">
        <v>2.1867939205959799E-3</v>
      </c>
      <c r="N7" s="6">
        <v>1.5349548257569E-3</v>
      </c>
      <c r="O7" s="6">
        <v>1.2459906107288501E-3</v>
      </c>
      <c r="P7" s="6">
        <v>1.13030798522664E-3</v>
      </c>
      <c r="Q7" s="6">
        <v>1.06244287429404E-3</v>
      </c>
      <c r="R7" s="7">
        <v>9.978169398421491E-4</v>
      </c>
      <c r="Z7" s="3">
        <v>0.3</v>
      </c>
      <c r="AA7" s="3">
        <v>2.15971893357225E-3</v>
      </c>
      <c r="AB7" s="3">
        <v>1.5245798642394099E-3</v>
      </c>
      <c r="AC7" s="3">
        <v>1.2349915672320801E-3</v>
      </c>
      <c r="AD7" s="3">
        <v>1.1210804794715E-3</v>
      </c>
      <c r="AE7" s="3">
        <v>1.0543159670394599E-3</v>
      </c>
      <c r="AF7" s="5">
        <v>9.8983598711006393E-4</v>
      </c>
    </row>
    <row r="8" spans="2:32" x14ac:dyDescent="0.45">
      <c r="B8" s="3">
        <v>0.3</v>
      </c>
      <c r="C8" s="3">
        <v>3.6903573000000001E-3</v>
      </c>
      <c r="D8" s="3">
        <v>1.5245798642394099E-3</v>
      </c>
      <c r="E8" s="3">
        <v>1.2349915672320801E-3</v>
      </c>
      <c r="F8" s="3">
        <v>1.1210804794715E-3</v>
      </c>
      <c r="G8" s="3">
        <v>1.0543159670394599E-3</v>
      </c>
      <c r="H8" s="5">
        <v>9.8983598711006393E-4</v>
      </c>
      <c r="J8" s="3">
        <v>0.3</v>
      </c>
      <c r="K8" s="3"/>
      <c r="L8" s="3">
        <v>3.6903573000000001E-3</v>
      </c>
      <c r="M8" s="3">
        <v>2.15971893357225E-3</v>
      </c>
      <c r="N8" s="3">
        <v>1.5245798642394099E-3</v>
      </c>
      <c r="O8" s="3">
        <v>1.2349915672320801E-3</v>
      </c>
      <c r="P8" s="3">
        <v>1.1210804794715E-3</v>
      </c>
      <c r="Q8" s="3">
        <v>1.0543159670394599E-3</v>
      </c>
      <c r="R8" s="5">
        <v>9.8983598711006393E-4</v>
      </c>
      <c r="Z8" s="3">
        <v>0.5</v>
      </c>
      <c r="AA8" s="3">
        <v>2.14970508462505E-3</v>
      </c>
      <c r="AB8" s="3">
        <v>1.4839440203368701E-3</v>
      </c>
      <c r="AC8" s="3">
        <v>1.19766476738336E-3</v>
      </c>
      <c r="AD8" s="3">
        <v>1.0891446262729801E-3</v>
      </c>
      <c r="AE8" s="3">
        <v>1.02655644409088E-3</v>
      </c>
      <c r="AF8" s="5">
        <v>9.6648717426287402E-4</v>
      </c>
    </row>
    <row r="9" spans="2:32" x14ac:dyDescent="0.45">
      <c r="B9" s="3">
        <v>0.5</v>
      </c>
      <c r="C9" s="17">
        <v>3.6403573E-3</v>
      </c>
      <c r="D9" s="3">
        <v>1.4839440203368701E-3</v>
      </c>
      <c r="E9" s="3">
        <v>1.19766476738336E-3</v>
      </c>
      <c r="F9" s="3">
        <v>1.0891446262729801E-3</v>
      </c>
      <c r="G9" s="3">
        <v>1.02655644409088E-3</v>
      </c>
      <c r="H9" s="5">
        <v>9.6648717426287402E-4</v>
      </c>
      <c r="J9" s="3">
        <v>0.5</v>
      </c>
      <c r="K9" s="3"/>
      <c r="L9" s="3">
        <v>3.6403573E-3</v>
      </c>
      <c r="M9" s="3">
        <v>2.14970508462505E-3</v>
      </c>
      <c r="N9" s="3">
        <v>1.4839440203368701E-3</v>
      </c>
      <c r="O9" s="3">
        <v>1.19766476738336E-3</v>
      </c>
      <c r="P9" s="3">
        <v>1.0891446262729801E-3</v>
      </c>
      <c r="Q9" s="3">
        <v>1.02655644409088E-3</v>
      </c>
      <c r="R9" s="5">
        <v>9.6648717426287402E-4</v>
      </c>
    </row>
    <row r="11" spans="2:32" x14ac:dyDescent="0.45">
      <c r="B11" s="24" t="s">
        <v>6</v>
      </c>
      <c r="C11" s="24"/>
      <c r="D11" s="3" cm="1">
        <f t="array" aca="1" ref="D11" ca="1">INDIRECT("F" &amp; H11)</f>
        <v>0.5</v>
      </c>
      <c r="F11" s="24" t="s">
        <v>14</v>
      </c>
      <c r="G11" s="24"/>
      <c r="H11" s="3">
        <v>25</v>
      </c>
    </row>
    <row r="12" spans="2:32" x14ac:dyDescent="0.45">
      <c r="B12" s="24" t="s">
        <v>7</v>
      </c>
      <c r="C12" s="24"/>
      <c r="D12" s="5" cm="1">
        <f t="array" aca="1" ref="D12" ca="1">INDIRECT("E" &amp; H11)</f>
        <v>3.4961620344202199E-3</v>
      </c>
      <c r="E12" s="8"/>
      <c r="F12" s="24" t="s">
        <v>15</v>
      </c>
      <c r="G12" s="24"/>
      <c r="H12" s="3" cm="1">
        <f t="array" aca="1" ref="H12" ca="1">IF(MAX(IF(C15:H15 &gt; D12, COLUMN(C15:H15)-COLUMN(C15)+1, 0))=0,3,MAX(IF(C15:H15 &gt; D12, COLUMN(C15:H15)-COLUMN(C15)+1, 0))+2)</f>
        <v>3</v>
      </c>
      <c r="K12" s="1">
        <v>0.3</v>
      </c>
      <c r="L12" s="16" t="s">
        <v>7</v>
      </c>
      <c r="M12" s="16" t="s">
        <v>18</v>
      </c>
    </row>
    <row r="13" spans="2:32" x14ac:dyDescent="0.45">
      <c r="B13" s="8"/>
      <c r="C13" s="8"/>
      <c r="E13" s="8"/>
      <c r="F13" s="8"/>
      <c r="K13" s="16" t="s">
        <v>27</v>
      </c>
      <c r="L13" s="1">
        <v>2.4086954999999999E-3</v>
      </c>
      <c r="M13" s="1">
        <v>1.75</v>
      </c>
    </row>
    <row r="14" spans="2:32" x14ac:dyDescent="0.45">
      <c r="B14" s="23" t="s">
        <v>8</v>
      </c>
      <c r="C14" s="23"/>
      <c r="D14" s="23"/>
      <c r="E14" s="23"/>
      <c r="F14" s="23"/>
      <c r="G14" s="23"/>
      <c r="H14" s="23"/>
      <c r="K14" s="16" t="s">
        <v>27</v>
      </c>
      <c r="L14" s="1">
        <v>3.6903573000000001E-3</v>
      </c>
      <c r="M14" s="1">
        <v>1</v>
      </c>
    </row>
    <row r="15" spans="2:32" x14ac:dyDescent="0.45">
      <c r="B15" s="3">
        <f ca="1">D11</f>
        <v>0.5</v>
      </c>
      <c r="C15" s="3">
        <f t="shared" ref="C15:H15" ca="1" si="2">_xlfn.FORECAST.LINEAR($D$11,C7:C8,$B$7:$B$8)</f>
        <v>3.6603572999999996E-3</v>
      </c>
      <c r="D15" s="3">
        <f t="shared" ca="1" si="2"/>
        <v>1.5142049027219199E-3</v>
      </c>
      <c r="E15" s="3">
        <f t="shared" ca="1" si="2"/>
        <v>1.22399252373531E-3</v>
      </c>
      <c r="F15" s="3">
        <f t="shared" ca="1" si="2"/>
        <v>1.1118529737163601E-3</v>
      </c>
      <c r="G15" s="3">
        <f t="shared" ca="1" si="2"/>
        <v>1.0461890597848798E-3</v>
      </c>
      <c r="H15" s="3">
        <f t="shared" ca="1" si="2"/>
        <v>9.8185503437797899E-4</v>
      </c>
      <c r="K15" s="16" t="s">
        <v>27</v>
      </c>
      <c r="L15" s="1">
        <v>1.5500348999999999E-3</v>
      </c>
      <c r="M15" s="1">
        <v>3.35</v>
      </c>
    </row>
    <row r="17" spans="2:13" x14ac:dyDescent="0.45">
      <c r="B17" s="23" t="s">
        <v>9</v>
      </c>
      <c r="C17" s="23"/>
      <c r="D17" s="23"/>
      <c r="E17" s="23"/>
      <c r="F17" s="23"/>
      <c r="G17" s="23"/>
      <c r="K17" s="16" t="s">
        <v>28</v>
      </c>
      <c r="L17" s="1">
        <v>2.4463623000000002E-3</v>
      </c>
      <c r="M17" s="1">
        <v>1.75</v>
      </c>
    </row>
    <row r="18" spans="2:13" x14ac:dyDescent="0.45">
      <c r="B18" s="23" t="s">
        <v>10</v>
      </c>
      <c r="C18" s="23"/>
      <c r="D18" s="9">
        <f ca="1">10^(_xlfn.FORECAST.LINEAR(D12,C6:D6,C15:D15))</f>
        <v>0.16963693563959908</v>
      </c>
      <c r="E18" s="3" t="s">
        <v>4</v>
      </c>
      <c r="F18" s="4" t="s">
        <v>16</v>
      </c>
      <c r="G18" s="9">
        <f ca="1">10^(_xlfn.FORECAST.LINEAR($D$12,INDEX(6:6, H12):INDEX(6:6, H12+1),INDEX(15:15, H12):INDEX(15:15, H12+1)))</f>
        <v>0.16963693563959908</v>
      </c>
      <c r="K18" s="16" t="s">
        <v>28</v>
      </c>
      <c r="L18" s="1">
        <v>3.8038566000000002E-3</v>
      </c>
      <c r="M18" s="1">
        <v>1</v>
      </c>
    </row>
    <row r="20" spans="2:13" x14ac:dyDescent="0.45">
      <c r="K20" s="16" t="s">
        <v>29</v>
      </c>
      <c r="L20" s="1">
        <v>3.8302898E-3</v>
      </c>
      <c r="M20" s="1">
        <v>1</v>
      </c>
    </row>
    <row r="21" spans="2:13" x14ac:dyDescent="0.45">
      <c r="E21" s="25" t="s">
        <v>31</v>
      </c>
      <c r="F21" s="25"/>
      <c r="G21" s="25"/>
    </row>
    <row r="22" spans="2:13" x14ac:dyDescent="0.45">
      <c r="E22" s="3" t="s">
        <v>7</v>
      </c>
      <c r="F22" s="3" t="s">
        <v>13</v>
      </c>
      <c r="G22" s="3" t="s">
        <v>12</v>
      </c>
      <c r="K22" s="16" t="s">
        <v>30</v>
      </c>
      <c r="L22" s="1">
        <v>3.8360415999999999E-3</v>
      </c>
      <c r="M22" s="1">
        <v>1</v>
      </c>
    </row>
    <row r="23" spans="2:13" x14ac:dyDescent="0.45">
      <c r="D23" s="20" t="s">
        <v>32</v>
      </c>
      <c r="E23" s="18">
        <v>2.5586437235105598E-3</v>
      </c>
      <c r="F23" s="3">
        <v>0.5</v>
      </c>
      <c r="G23" s="19">
        <v>8.11</v>
      </c>
      <c r="H23" s="19">
        <v>7.25</v>
      </c>
      <c r="I23" s="1">
        <v>3.467614180219901</v>
      </c>
    </row>
    <row r="24" spans="2:13" x14ac:dyDescent="0.45">
      <c r="D24" s="20" t="s">
        <v>33</v>
      </c>
      <c r="E24" s="18">
        <v>3.3203773511161199E-3</v>
      </c>
      <c r="F24" s="3">
        <v>0.5</v>
      </c>
      <c r="G24" s="19">
        <v>5.56</v>
      </c>
      <c r="H24" s="19">
        <v>5.56</v>
      </c>
      <c r="I24" s="1">
        <v>0.29870404899774289</v>
      </c>
    </row>
    <row r="25" spans="2:13" x14ac:dyDescent="0.45">
      <c r="D25" s="20" t="s">
        <v>34</v>
      </c>
      <c r="E25" s="18">
        <v>3.4961620344202199E-3</v>
      </c>
      <c r="F25" s="3">
        <v>0.5</v>
      </c>
      <c r="G25" s="19">
        <v>0.18</v>
      </c>
      <c r="H25" s="19">
        <v>0.18</v>
      </c>
      <c r="I25" s="1">
        <v>0.16963693563959908</v>
      </c>
    </row>
    <row r="26" spans="2:13" x14ac:dyDescent="0.45">
      <c r="E26" s="3"/>
      <c r="F26" s="3"/>
      <c r="G26" s="3"/>
    </row>
    <row r="27" spans="2:13" x14ac:dyDescent="0.45">
      <c r="E27" s="3"/>
      <c r="F27" s="3"/>
      <c r="G27" s="3"/>
    </row>
    <row r="28" spans="2:13" x14ac:dyDescent="0.45">
      <c r="E28" s="3"/>
      <c r="F28" s="3"/>
      <c r="G28" s="3"/>
    </row>
    <row r="29" spans="2:13" x14ac:dyDescent="0.45">
      <c r="E29" s="3"/>
      <c r="F29" s="3"/>
      <c r="G29" s="3"/>
    </row>
    <row r="30" spans="2:13" x14ac:dyDescent="0.45">
      <c r="E30" s="3"/>
      <c r="F30" s="3"/>
      <c r="G30" s="3"/>
    </row>
    <row r="31" spans="2:13" x14ac:dyDescent="0.45">
      <c r="E31" s="3"/>
      <c r="F31" s="3"/>
      <c r="G31" s="3"/>
    </row>
    <row r="32" spans="2:13" x14ac:dyDescent="0.45">
      <c r="E32" s="3"/>
      <c r="F32" s="3"/>
      <c r="G32" s="3"/>
    </row>
    <row r="33" spans="5:7" x14ac:dyDescent="0.45">
      <c r="E33" s="3"/>
      <c r="F33" s="3"/>
      <c r="G33" s="3"/>
    </row>
    <row r="34" spans="5:7" x14ac:dyDescent="0.45">
      <c r="E34" s="3"/>
      <c r="F34" s="3"/>
      <c r="G34" s="3"/>
    </row>
    <row r="35" spans="5:7" x14ac:dyDescent="0.45">
      <c r="E35" s="3"/>
      <c r="F35" s="3"/>
      <c r="G35" s="3"/>
    </row>
    <row r="36" spans="5:7" x14ac:dyDescent="0.45">
      <c r="E36" s="3"/>
      <c r="F36" s="3"/>
      <c r="G36" s="3"/>
    </row>
    <row r="37" spans="5:7" x14ac:dyDescent="0.45">
      <c r="E37" s="3"/>
      <c r="F37" s="3"/>
      <c r="G37" s="3"/>
    </row>
  </sheetData>
  <mergeCells count="11">
    <mergeCell ref="B14:H14"/>
    <mergeCell ref="B17:G17"/>
    <mergeCell ref="B18:C18"/>
    <mergeCell ref="E21:G21"/>
    <mergeCell ref="B12:C12"/>
    <mergeCell ref="F12:G12"/>
    <mergeCell ref="Z3:AF3"/>
    <mergeCell ref="B4:H4"/>
    <mergeCell ref="J4:R4"/>
    <mergeCell ref="B11:C11"/>
    <mergeCell ref="F11:G11"/>
  </mergeCells>
  <conditionalFormatting sqref="C15:H15">
    <cfRule type="cellIs" dxfId="3" priority="2" operator="greaterThan">
      <formula>$D$12</formula>
    </cfRule>
  </conditionalFormatting>
  <conditionalFormatting sqref="E23:E37">
    <cfRule type="cellIs" dxfId="2" priority="1" operator="equal">
      <formula>$D$12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438D-FD9D-44C5-9D03-77FA3395C423}">
  <dimension ref="B2:AF37"/>
  <sheetViews>
    <sheetView topLeftCell="I1" zoomScale="85" zoomScaleNormal="100" workbookViewId="0">
      <selection activeCell="Z4" sqref="Z4:AF8"/>
    </sheetView>
  </sheetViews>
  <sheetFormatPr defaultColWidth="8.796875" defaultRowHeight="14.25" x14ac:dyDescent="0.45"/>
  <cols>
    <col min="1" max="3" width="8.796875" style="1"/>
    <col min="4" max="4" width="9" style="1" bestFit="1" customWidth="1"/>
    <col min="5" max="6" width="8.796875" style="1"/>
    <col min="7" max="7" width="9.33203125" style="1" bestFit="1" customWidth="1"/>
    <col min="8" max="16384" width="8.796875" style="1"/>
  </cols>
  <sheetData>
    <row r="2" spans="2:32" x14ac:dyDescent="0.45">
      <c r="B2" s="1" t="s">
        <v>0</v>
      </c>
      <c r="G2" s="2" t="s">
        <v>1</v>
      </c>
      <c r="H2" s="2">
        <v>0.26</v>
      </c>
    </row>
    <row r="3" spans="2:32" x14ac:dyDescent="0.45">
      <c r="Z3" s="23" t="s">
        <v>2</v>
      </c>
      <c r="AA3" s="23"/>
      <c r="AB3" s="23"/>
      <c r="AC3" s="23"/>
      <c r="AD3" s="23"/>
      <c r="AE3" s="23"/>
      <c r="AF3" s="23"/>
    </row>
    <row r="4" spans="2:32" x14ac:dyDescent="0.45">
      <c r="B4" s="23" t="s">
        <v>3</v>
      </c>
      <c r="C4" s="23"/>
      <c r="D4" s="23"/>
      <c r="E4" s="23"/>
      <c r="F4" s="23"/>
      <c r="G4" s="23"/>
      <c r="H4" s="23"/>
      <c r="J4" s="23" t="s">
        <v>3</v>
      </c>
      <c r="K4" s="23"/>
      <c r="L4" s="23"/>
      <c r="M4" s="23"/>
      <c r="N4" s="23"/>
      <c r="O4" s="23"/>
      <c r="P4" s="23"/>
      <c r="Q4" s="23"/>
      <c r="R4" s="23"/>
      <c r="Z4" s="3" t="s">
        <v>4</v>
      </c>
      <c r="AA4" s="4">
        <v>10</v>
      </c>
      <c r="AB4" s="4">
        <v>100</v>
      </c>
      <c r="AC4" s="4">
        <v>300</v>
      </c>
      <c r="AD4" s="4">
        <v>500</v>
      </c>
      <c r="AE4" s="4">
        <v>700</v>
      </c>
      <c r="AF4" s="3">
        <v>1000</v>
      </c>
    </row>
    <row r="5" spans="2:32" x14ac:dyDescent="0.45">
      <c r="B5" s="3" t="s">
        <v>4</v>
      </c>
      <c r="C5" s="4">
        <v>10</v>
      </c>
      <c r="D5" s="4">
        <v>100</v>
      </c>
      <c r="E5" s="4">
        <v>300</v>
      </c>
      <c r="F5" s="4">
        <v>500</v>
      </c>
      <c r="G5" s="4">
        <v>700</v>
      </c>
      <c r="H5" s="3">
        <v>1000</v>
      </c>
      <c r="J5" s="3" t="s">
        <v>4</v>
      </c>
      <c r="K5" s="3">
        <v>1</v>
      </c>
      <c r="L5" s="3">
        <v>5</v>
      </c>
      <c r="M5" s="4">
        <v>10</v>
      </c>
      <c r="N5" s="4">
        <v>100</v>
      </c>
      <c r="O5" s="4">
        <v>300</v>
      </c>
      <c r="P5" s="4">
        <v>500</v>
      </c>
      <c r="Q5" s="4">
        <v>700</v>
      </c>
      <c r="R5" s="3">
        <v>1000</v>
      </c>
      <c r="Z5" s="3">
        <v>0.1</v>
      </c>
      <c r="AA5" s="3">
        <v>2.1252823576404498E-3</v>
      </c>
      <c r="AB5" s="3">
        <v>1.5349548257569E-3</v>
      </c>
      <c r="AC5" s="3">
        <v>1.2459906107288501E-3</v>
      </c>
      <c r="AD5" s="3">
        <v>1.13030798522664E-3</v>
      </c>
      <c r="AE5" s="3">
        <v>1.06244287429404E-3</v>
      </c>
      <c r="AF5" s="5">
        <v>9.978169398421491E-4</v>
      </c>
    </row>
    <row r="6" spans="2:32" x14ac:dyDescent="0.45">
      <c r="B6" s="3" t="s">
        <v>5</v>
      </c>
      <c r="C6" s="4">
        <f>LOG10(C5)</f>
        <v>1</v>
      </c>
      <c r="D6" s="4">
        <f t="shared" ref="D6:H6" si="0">LOG10(D5)</f>
        <v>2</v>
      </c>
      <c r="E6" s="4">
        <f t="shared" si="0"/>
        <v>2.4771212547196626</v>
      </c>
      <c r="F6" s="4">
        <f t="shared" si="0"/>
        <v>2.6989700043360187</v>
      </c>
      <c r="G6" s="4">
        <f t="shared" si="0"/>
        <v>2.8450980400142569</v>
      </c>
      <c r="H6" s="4">
        <f t="shared" si="0"/>
        <v>3</v>
      </c>
      <c r="J6" s="3" t="s">
        <v>5</v>
      </c>
      <c r="K6" s="4">
        <f>LOG10(K5)</f>
        <v>0</v>
      </c>
      <c r="L6" s="4">
        <f>LOG10(L5)</f>
        <v>0.69897000433601886</v>
      </c>
      <c r="M6" s="4">
        <f>LOG10(M5)</f>
        <v>1</v>
      </c>
      <c r="N6" s="4">
        <f t="shared" ref="N6:R6" si="1">LOG10(N5)</f>
        <v>2</v>
      </c>
      <c r="O6" s="4">
        <f t="shared" si="1"/>
        <v>2.4771212547196626</v>
      </c>
      <c r="P6" s="4">
        <f t="shared" si="1"/>
        <v>2.6989700043360187</v>
      </c>
      <c r="Q6" s="4">
        <f t="shared" si="1"/>
        <v>2.8450980400142569</v>
      </c>
      <c r="R6" s="4">
        <f t="shared" si="1"/>
        <v>3</v>
      </c>
      <c r="Z6" s="3"/>
      <c r="AA6" s="3"/>
      <c r="AB6" s="3"/>
      <c r="AC6" s="3"/>
      <c r="AD6" s="3"/>
      <c r="AE6" s="3"/>
      <c r="AF6" s="5"/>
    </row>
    <row r="7" spans="2:32" x14ac:dyDescent="0.45">
      <c r="B7" s="3">
        <v>0.1</v>
      </c>
      <c r="C7" s="1">
        <v>2.1867939205959799E-3</v>
      </c>
      <c r="D7" s="6">
        <v>1.5349548257569E-3</v>
      </c>
      <c r="E7" s="6">
        <v>1.2459906107288501E-3</v>
      </c>
      <c r="F7" s="6">
        <v>1.13030798522664E-3</v>
      </c>
      <c r="G7" s="6">
        <v>1.06244287429404E-3</v>
      </c>
      <c r="H7" s="7">
        <v>9.978169398421491E-4</v>
      </c>
      <c r="J7" s="3">
        <v>0.1</v>
      </c>
      <c r="K7" s="3"/>
      <c r="L7" s="3"/>
      <c r="M7" s="1">
        <v>2.1867939205959799E-3</v>
      </c>
      <c r="N7" s="6">
        <v>1.5349548257569E-3</v>
      </c>
      <c r="O7" s="6">
        <v>1.2459906107288501E-3</v>
      </c>
      <c r="P7" s="6">
        <v>1.13030798522664E-3</v>
      </c>
      <c r="Q7" s="6">
        <v>1.06244287429404E-3</v>
      </c>
      <c r="R7" s="7">
        <v>9.978169398421491E-4</v>
      </c>
      <c r="Z7" s="3">
        <v>0.3</v>
      </c>
      <c r="AA7" s="3">
        <v>2.15971893357225E-3</v>
      </c>
      <c r="AB7" s="3">
        <v>1.5245798642394099E-3</v>
      </c>
      <c r="AC7" s="3">
        <v>1.2349915672320801E-3</v>
      </c>
      <c r="AD7" s="3">
        <v>1.1210804794715E-3</v>
      </c>
      <c r="AE7" s="3">
        <v>1.0543159670394599E-3</v>
      </c>
      <c r="AF7" s="5">
        <v>9.8983598711006393E-4</v>
      </c>
    </row>
    <row r="8" spans="2:32" x14ac:dyDescent="0.45">
      <c r="B8" s="3">
        <v>0.3</v>
      </c>
      <c r="C8" s="3">
        <v>2.15971893357225E-3</v>
      </c>
      <c r="D8" s="3">
        <v>1.5245798642394099E-3</v>
      </c>
      <c r="E8" s="3">
        <v>1.2349915672320801E-3</v>
      </c>
      <c r="F8" s="3">
        <v>1.1210804794715E-3</v>
      </c>
      <c r="G8" s="3">
        <v>1.0543159670394599E-3</v>
      </c>
      <c r="H8" s="5">
        <v>9.8983598711006393E-4</v>
      </c>
      <c r="J8" s="3">
        <v>0.3</v>
      </c>
      <c r="K8" s="3"/>
      <c r="L8" s="3"/>
      <c r="M8" s="3">
        <v>2.15971893357225E-3</v>
      </c>
      <c r="N8" s="3">
        <v>1.5245798642394099E-3</v>
      </c>
      <c r="O8" s="3">
        <v>1.2349915672320801E-3</v>
      </c>
      <c r="P8" s="3">
        <v>1.1210804794715E-3</v>
      </c>
      <c r="Q8" s="3">
        <v>1.0543159670394599E-3</v>
      </c>
      <c r="R8" s="5">
        <v>9.8983598711006393E-4</v>
      </c>
      <c r="Z8" s="3">
        <v>0.5</v>
      </c>
      <c r="AA8" s="3">
        <v>2.14970508462505E-3</v>
      </c>
      <c r="AB8" s="3">
        <v>1.4839440203368701E-3</v>
      </c>
      <c r="AC8" s="3">
        <v>1.19766476738336E-3</v>
      </c>
      <c r="AD8" s="3">
        <v>1.0891446262729801E-3</v>
      </c>
      <c r="AE8" s="3">
        <v>1.02655644409088E-3</v>
      </c>
      <c r="AF8" s="5">
        <v>9.6648717426287402E-4</v>
      </c>
    </row>
    <row r="9" spans="2:32" x14ac:dyDescent="0.45">
      <c r="B9" s="3">
        <v>0.5</v>
      </c>
      <c r="C9" s="3">
        <v>2.14970508462505E-3</v>
      </c>
      <c r="D9" s="3">
        <v>1.4839440203368701E-3</v>
      </c>
      <c r="E9" s="3">
        <v>1.19766476738336E-3</v>
      </c>
      <c r="F9" s="3">
        <v>1.0891446262729801E-3</v>
      </c>
      <c r="G9" s="3">
        <v>1.02655644409088E-3</v>
      </c>
      <c r="H9" s="5">
        <v>9.6648717426287402E-4</v>
      </c>
      <c r="J9" s="3">
        <v>0.5</v>
      </c>
      <c r="K9" s="3"/>
      <c r="L9" s="3"/>
      <c r="M9" s="3">
        <v>2.14970508462505E-3</v>
      </c>
      <c r="N9" s="3">
        <v>1.4839440203368701E-3</v>
      </c>
      <c r="O9" s="3">
        <v>1.19766476738336E-3</v>
      </c>
      <c r="P9" s="3">
        <v>1.0891446262729801E-3</v>
      </c>
      <c r="Q9" s="3">
        <v>1.02655644409088E-3</v>
      </c>
      <c r="R9" s="5">
        <v>9.6648717426287402E-4</v>
      </c>
    </row>
    <row r="11" spans="2:32" x14ac:dyDescent="0.45">
      <c r="B11" s="24" t="s">
        <v>6</v>
      </c>
      <c r="C11" s="24"/>
      <c r="D11" s="3" cm="1">
        <f t="array" aca="1" ref="D11" ca="1">INDIRECT("F" &amp; H11)</f>
        <v>0.3</v>
      </c>
      <c r="F11" s="24" t="s">
        <v>14</v>
      </c>
      <c r="G11" s="24"/>
      <c r="H11" s="3">
        <v>23</v>
      </c>
    </row>
    <row r="12" spans="2:32" x14ac:dyDescent="0.45">
      <c r="B12" s="24" t="s">
        <v>7</v>
      </c>
      <c r="C12" s="24"/>
      <c r="D12" s="5" cm="1">
        <f t="array" aca="1" ref="D12" ca="1">INDIRECT("E" &amp; H11)</f>
        <v>3.4375671399828902E-3</v>
      </c>
      <c r="E12" s="8"/>
      <c r="F12" s="24" t="s">
        <v>15</v>
      </c>
      <c r="G12" s="24"/>
      <c r="H12" s="3" cm="1">
        <f t="array" aca="1" ref="H12" ca="1">IF(MAX(IF(C15:H15 &gt; D12, COLUMN(C15:H15)-COLUMN(C15)+1, 0))=0,3,MAX(IF(C15:H15 &gt; D12, COLUMN(C15:H15)-COLUMN(C15)+1, 0))+2)</f>
        <v>3</v>
      </c>
      <c r="L12" s="16" t="s">
        <v>7</v>
      </c>
      <c r="M12" s="16" t="s">
        <v>18</v>
      </c>
    </row>
    <row r="13" spans="2:32" x14ac:dyDescent="0.45">
      <c r="B13" s="8"/>
      <c r="C13" s="8"/>
      <c r="E13" s="8"/>
      <c r="F13" s="8"/>
      <c r="K13" s="16" t="s">
        <v>27</v>
      </c>
      <c r="L13" s="1">
        <v>2.4086954999999999E-3</v>
      </c>
      <c r="M13" s="1">
        <v>1.75</v>
      </c>
    </row>
    <row r="14" spans="2:32" x14ac:dyDescent="0.45">
      <c r="B14" s="23" t="s">
        <v>8</v>
      </c>
      <c r="C14" s="23"/>
      <c r="D14" s="23"/>
      <c r="E14" s="23"/>
      <c r="F14" s="23"/>
      <c r="G14" s="23"/>
      <c r="H14" s="23"/>
      <c r="K14" s="16" t="s">
        <v>27</v>
      </c>
      <c r="L14" s="1">
        <v>3.6903573000000001E-3</v>
      </c>
      <c r="M14" s="1">
        <v>1</v>
      </c>
    </row>
    <row r="15" spans="2:32" x14ac:dyDescent="0.45">
      <c r="B15" s="3">
        <f ca="1">D11</f>
        <v>0.3</v>
      </c>
      <c r="C15" s="3">
        <f t="shared" ref="C15:H15" ca="1" si="2">_xlfn.FORECAST.LINEAR($D$11,C7:C8,$B$7:$B$8)</f>
        <v>2.1597189335722496E-3</v>
      </c>
      <c r="D15" s="3">
        <f t="shared" ca="1" si="2"/>
        <v>1.5245798642394099E-3</v>
      </c>
      <c r="E15" s="3">
        <f t="shared" ca="1" si="2"/>
        <v>1.2349915672320803E-3</v>
      </c>
      <c r="F15" s="3">
        <f t="shared" ca="1" si="2"/>
        <v>1.1210804794715003E-3</v>
      </c>
      <c r="G15" s="3">
        <f t="shared" ca="1" si="2"/>
        <v>1.0543159670394599E-3</v>
      </c>
      <c r="H15" s="3">
        <f t="shared" ca="1" si="2"/>
        <v>9.8983598711006393E-4</v>
      </c>
      <c r="K15" s="16" t="s">
        <v>27</v>
      </c>
      <c r="L15" s="1">
        <v>1.5500348999999999E-3</v>
      </c>
      <c r="M15" s="1">
        <v>3.35</v>
      </c>
    </row>
    <row r="17" spans="2:13" x14ac:dyDescent="0.45">
      <c r="B17" s="23" t="s">
        <v>9</v>
      </c>
      <c r="C17" s="23"/>
      <c r="D17" s="23"/>
      <c r="E17" s="23"/>
      <c r="F17" s="23"/>
      <c r="G17" s="23"/>
      <c r="K17" s="16" t="s">
        <v>28</v>
      </c>
      <c r="L17" s="1">
        <v>2.4463623000000002E-3</v>
      </c>
      <c r="M17" s="1">
        <v>1.75</v>
      </c>
    </row>
    <row r="18" spans="2:13" x14ac:dyDescent="0.45">
      <c r="B18" s="23" t="s">
        <v>10</v>
      </c>
      <c r="C18" s="23"/>
      <c r="D18" s="9">
        <f ca="1">10^(_xlfn.FORECAST.LINEAR(D12,C6:D6,C15:D15))</f>
        <v>9.7292921327766527E-2</v>
      </c>
      <c r="E18" s="3" t="s">
        <v>4</v>
      </c>
      <c r="F18" s="4" t="s">
        <v>16</v>
      </c>
      <c r="G18" s="9">
        <f ca="1">10^(_xlfn.FORECAST.LINEAR($D$12,INDEX(6:6, H12):INDEX(6:6, H12+1),INDEX(15:15, H12):INDEX(15:15, H12+1)))</f>
        <v>9.7292921327766527E-2</v>
      </c>
      <c r="K18" s="16" t="s">
        <v>28</v>
      </c>
      <c r="L18" s="1">
        <v>3.8038566000000002E-3</v>
      </c>
      <c r="M18" s="1">
        <v>1</v>
      </c>
    </row>
    <row r="20" spans="2:13" x14ac:dyDescent="0.45">
      <c r="K20" s="16" t="s">
        <v>29</v>
      </c>
      <c r="L20" s="1">
        <v>3.8302898E-3</v>
      </c>
      <c r="M20" s="1">
        <v>1</v>
      </c>
    </row>
    <row r="21" spans="2:13" x14ac:dyDescent="0.45">
      <c r="B21" s="25" t="s">
        <v>11</v>
      </c>
      <c r="C21" s="25"/>
      <c r="E21" s="25" t="s">
        <v>31</v>
      </c>
      <c r="F21" s="25"/>
      <c r="G21" s="25"/>
    </row>
    <row r="22" spans="2:13" x14ac:dyDescent="0.45">
      <c r="B22" s="3" t="s">
        <v>7</v>
      </c>
      <c r="C22" s="3" t="s">
        <v>12</v>
      </c>
      <c r="E22" s="3" t="s">
        <v>7</v>
      </c>
      <c r="F22" s="3" t="s">
        <v>13</v>
      </c>
      <c r="G22" s="3" t="s">
        <v>12</v>
      </c>
      <c r="K22" s="16" t="s">
        <v>30</v>
      </c>
      <c r="L22" s="1">
        <v>3.8360415999999999E-3</v>
      </c>
      <c r="M22" s="1">
        <v>1</v>
      </c>
    </row>
    <row r="23" spans="2:13" x14ac:dyDescent="0.45">
      <c r="B23" s="3">
        <v>1.8476923377406251E-3</v>
      </c>
      <c r="C23" s="3">
        <v>32.625908938905432</v>
      </c>
      <c r="E23" s="3">
        <v>3.4375671399828902E-3</v>
      </c>
      <c r="F23" s="3">
        <v>0.3</v>
      </c>
      <c r="G23" s="3"/>
    </row>
    <row r="24" spans="2:13" x14ac:dyDescent="0.45">
      <c r="B24" s="3">
        <v>1.7318046576407415E-3</v>
      </c>
      <c r="C24" s="3">
        <v>50.23345741286181</v>
      </c>
      <c r="E24" s="3">
        <v>2.9297447215697048E-3</v>
      </c>
      <c r="F24" s="3">
        <v>0.3</v>
      </c>
      <c r="G24" s="3"/>
    </row>
    <row r="25" spans="2:13" x14ac:dyDescent="0.45">
      <c r="B25" s="3">
        <v>1.6601886755722717E-3</v>
      </c>
      <c r="C25" s="3">
        <v>65.587469744581185</v>
      </c>
      <c r="E25" s="3">
        <v>2.8906814586235896E-3</v>
      </c>
      <c r="F25" s="3">
        <v>0.3</v>
      </c>
      <c r="G25" s="3"/>
    </row>
    <row r="26" spans="2:13" x14ac:dyDescent="0.45">
      <c r="B26" s="3">
        <v>2.656301880895029E-3</v>
      </c>
      <c r="C26" s="3">
        <v>1.606058593920398</v>
      </c>
      <c r="E26" s="3">
        <v>2.7344284068107072E-3</v>
      </c>
      <c r="F26" s="3">
        <v>0.3</v>
      </c>
      <c r="G26" s="3"/>
    </row>
    <row r="27" spans="2:13" x14ac:dyDescent="0.45">
      <c r="B27" s="3">
        <v>3.093810425986021E-3</v>
      </c>
      <c r="C27" s="3">
        <v>0.31488993954243338</v>
      </c>
      <c r="E27" s="3">
        <v>2.5977069864779878E-3</v>
      </c>
      <c r="F27" s="3">
        <v>0.3</v>
      </c>
      <c r="G27" s="3"/>
    </row>
    <row r="28" spans="2:13" x14ac:dyDescent="0.45">
      <c r="B28" s="3"/>
      <c r="C28" s="3"/>
      <c r="E28" s="3">
        <v>2.5586437235176618E-3</v>
      </c>
      <c r="F28" s="3">
        <v>0.3</v>
      </c>
      <c r="G28" s="3"/>
    </row>
    <row r="29" spans="2:13" x14ac:dyDescent="0.45">
      <c r="B29" s="3">
        <v>1.6211254126045442E-3</v>
      </c>
      <c r="C29" s="3">
        <v>75.857701690571744</v>
      </c>
      <c r="E29" s="3">
        <v>2.5586437235105564E-3</v>
      </c>
      <c r="F29" s="3">
        <v>0.3</v>
      </c>
      <c r="G29" s="3"/>
    </row>
    <row r="30" spans="2:13" x14ac:dyDescent="0.45">
      <c r="B30" s="3">
        <v>1.5820621496551723E-3</v>
      </c>
      <c r="C30" s="3">
        <v>87.736132035461452</v>
      </c>
      <c r="E30" s="3"/>
      <c r="F30" s="3"/>
      <c r="G30" s="3"/>
    </row>
    <row r="31" spans="2:13" x14ac:dyDescent="0.45">
      <c r="B31" s="3">
        <v>1.7422215277640874E-3</v>
      </c>
      <c r="C31" s="3">
        <v>48.322054338171974</v>
      </c>
      <c r="E31" s="3"/>
      <c r="F31" s="3"/>
      <c r="G31" s="3"/>
    </row>
    <row r="32" spans="2:13" x14ac:dyDescent="0.45">
      <c r="B32" s="3">
        <v>2.5625500498065888E-3</v>
      </c>
      <c r="C32" s="3">
        <v>2.2771441006533286</v>
      </c>
      <c r="E32" s="3"/>
      <c r="F32" s="3"/>
      <c r="G32" s="3"/>
    </row>
    <row r="33" spans="2:7" x14ac:dyDescent="0.45">
      <c r="B33" s="3"/>
      <c r="C33" s="3"/>
      <c r="E33" s="3"/>
      <c r="F33" s="3"/>
      <c r="G33" s="3"/>
    </row>
    <row r="34" spans="2:7" x14ac:dyDescent="0.45">
      <c r="B34" s="3">
        <v>1.2070548252907543E-3</v>
      </c>
      <c r="C34" s="3">
        <v>370.78150112778985</v>
      </c>
      <c r="E34" s="3"/>
      <c r="F34" s="3"/>
      <c r="G34" s="3"/>
    </row>
    <row r="35" spans="2:7" x14ac:dyDescent="0.45">
      <c r="B35" s="3">
        <v>1.4414344030157622E-3</v>
      </c>
      <c r="C35" s="3">
        <v>148.8424139248626</v>
      </c>
      <c r="E35" s="3"/>
      <c r="F35" s="3"/>
      <c r="G35" s="3"/>
    </row>
    <row r="36" spans="2:7" x14ac:dyDescent="0.45">
      <c r="B36" s="3">
        <v>2.027383347330769E-3</v>
      </c>
      <c r="C36" s="3">
        <v>16.708602347103685</v>
      </c>
      <c r="E36" s="3"/>
      <c r="F36" s="3"/>
      <c r="G36" s="3"/>
    </row>
    <row r="37" spans="2:7" x14ac:dyDescent="0.45">
      <c r="B37" s="3">
        <v>2.3555147561467038E-3</v>
      </c>
      <c r="C37" s="3">
        <v>4.9230945106328168</v>
      </c>
      <c r="E37" s="3"/>
      <c r="F37" s="3"/>
      <c r="G37" s="3"/>
    </row>
  </sheetData>
  <mergeCells count="12">
    <mergeCell ref="B21:C21"/>
    <mergeCell ref="B18:C18"/>
    <mergeCell ref="Z3:AF3"/>
    <mergeCell ref="B4:H4"/>
    <mergeCell ref="B11:C11"/>
    <mergeCell ref="B12:C12"/>
    <mergeCell ref="B14:H14"/>
    <mergeCell ref="B17:G17"/>
    <mergeCell ref="E21:G21"/>
    <mergeCell ref="F11:G11"/>
    <mergeCell ref="F12:G12"/>
    <mergeCell ref="J4:R4"/>
  </mergeCells>
  <conditionalFormatting sqref="C15:H15">
    <cfRule type="cellIs" dxfId="1" priority="2" operator="greaterThan">
      <formula>$D$12</formula>
    </cfRule>
  </conditionalFormatting>
  <conditionalFormatting sqref="E23:E37">
    <cfRule type="cellIs" dxfId="0" priority="1" operator="equal">
      <formula>$D$12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E93B-6E63-4919-B10E-28F208192998}">
  <dimension ref="B2:O33"/>
  <sheetViews>
    <sheetView topLeftCell="A18" workbookViewId="0">
      <selection activeCell="H28" sqref="H28"/>
    </sheetView>
  </sheetViews>
  <sheetFormatPr defaultRowHeight="14.25" x14ac:dyDescent="0.45"/>
  <cols>
    <col min="1" max="1" width="9.06640625" style="10"/>
    <col min="2" max="2" width="13.265625" style="10" bestFit="1" customWidth="1"/>
    <col min="3" max="3" width="13.265625" style="10" customWidth="1"/>
    <col min="4" max="6" width="9.06640625" style="10"/>
    <col min="7" max="10" width="13.6640625" style="10" customWidth="1"/>
    <col min="11" max="16384" width="9.06640625" style="10"/>
  </cols>
  <sheetData>
    <row r="2" spans="2:15" ht="15.75" x14ac:dyDescent="0.5">
      <c r="B2" s="26" t="s">
        <v>21</v>
      </c>
      <c r="C2" s="26"/>
      <c r="D2" s="26"/>
      <c r="G2" s="27" t="s">
        <v>22</v>
      </c>
      <c r="H2" s="27"/>
      <c r="I2" s="27"/>
      <c r="J2" s="27"/>
    </row>
    <row r="3" spans="2:15" x14ac:dyDescent="0.45">
      <c r="B3" s="11" t="s">
        <v>17</v>
      </c>
      <c r="C3" s="11" t="s">
        <v>20</v>
      </c>
      <c r="D3" s="11" t="s">
        <v>18</v>
      </c>
    </row>
    <row r="4" spans="2:15" x14ac:dyDescent="0.45">
      <c r="B4" s="13">
        <v>10000000</v>
      </c>
      <c r="C4" s="13">
        <f>B4/1000000</f>
        <v>10</v>
      </c>
      <c r="D4" s="11">
        <v>1.4007381733822328</v>
      </c>
      <c r="L4" s="14" t="s">
        <v>23</v>
      </c>
      <c r="M4">
        <v>0.75</v>
      </c>
    </row>
    <row r="5" spans="2:15" x14ac:dyDescent="0.45">
      <c r="B5" s="13">
        <v>40000000</v>
      </c>
      <c r="C5" s="13">
        <f t="shared" ref="C5:C11" si="0">B5/1000000</f>
        <v>40</v>
      </c>
      <c r="D5" s="11">
        <v>1.2140668286409155</v>
      </c>
      <c r="L5" s="14" t="s">
        <v>24</v>
      </c>
      <c r="M5" s="10">
        <v>0.5</v>
      </c>
    </row>
    <row r="6" spans="2:15" x14ac:dyDescent="0.45">
      <c r="B6" s="13">
        <v>100000000</v>
      </c>
      <c r="C6" s="13">
        <f t="shared" si="0"/>
        <v>100</v>
      </c>
      <c r="D6" s="11">
        <v>1.1177048296059127</v>
      </c>
    </row>
    <row r="7" spans="2:15" x14ac:dyDescent="0.45">
      <c r="B7" s="13">
        <v>200000000</v>
      </c>
      <c r="C7" s="13">
        <f t="shared" si="0"/>
        <v>200</v>
      </c>
      <c r="D7" s="11">
        <v>1.0909213561826436</v>
      </c>
      <c r="M7" s="11" t="s">
        <v>20</v>
      </c>
      <c r="N7" s="15" t="s">
        <v>25</v>
      </c>
    </row>
    <row r="8" spans="2:15" x14ac:dyDescent="0.45">
      <c r="B8" s="13">
        <v>300000000</v>
      </c>
      <c r="C8" s="13">
        <f t="shared" si="0"/>
        <v>300</v>
      </c>
      <c r="D8" s="11">
        <v>1.08058437749855</v>
      </c>
      <c r="M8" s="13"/>
      <c r="N8" s="15"/>
    </row>
    <row r="9" spans="2:15" x14ac:dyDescent="0.45">
      <c r="B9" s="13">
        <v>500000000</v>
      </c>
      <c r="C9" s="13">
        <f t="shared" si="0"/>
        <v>500</v>
      </c>
      <c r="D9" s="11">
        <v>1.0723113034395499</v>
      </c>
      <c r="M9" s="13"/>
      <c r="N9" s="15"/>
    </row>
    <row r="10" spans="2:15" x14ac:dyDescent="0.45">
      <c r="B10" s="13">
        <v>700000000</v>
      </c>
      <c r="C10" s="13">
        <f t="shared" si="0"/>
        <v>700</v>
      </c>
      <c r="D10" s="11">
        <v>1.0694334868948585</v>
      </c>
      <c r="M10" s="13">
        <v>0.1</v>
      </c>
      <c r="N10" s="15">
        <f t="shared" ref="N10:N11" si="1">1+$M$4*(M10/(1-0.1^2))^-$M$5</f>
        <v>3.3598199083828408</v>
      </c>
      <c r="O10" s="10">
        <f>M10*1000000</f>
        <v>100000</v>
      </c>
    </row>
    <row r="11" spans="2:15" x14ac:dyDescent="0.45">
      <c r="B11" s="13">
        <v>1000000000</v>
      </c>
      <c r="C11" s="13">
        <f t="shared" si="0"/>
        <v>1000</v>
      </c>
      <c r="D11" s="11">
        <v>1.0629208338167233</v>
      </c>
      <c r="M11" s="13">
        <v>5</v>
      </c>
      <c r="N11" s="15">
        <f t="shared" si="1"/>
        <v>1.3337289319193049</v>
      </c>
      <c r="O11" s="10">
        <f>M11*1000000</f>
        <v>5000000</v>
      </c>
    </row>
    <row r="12" spans="2:15" x14ac:dyDescent="0.45">
      <c r="B12" s="12"/>
      <c r="C12" s="12"/>
      <c r="D12" s="12"/>
      <c r="M12" s="13">
        <v>10</v>
      </c>
      <c r="N12" s="15">
        <f>1+$M$4*(M12/(1-0.1^2))^-$M$5</f>
        <v>1.2359819908382841</v>
      </c>
    </row>
    <row r="13" spans="2:15" ht="15.75" x14ac:dyDescent="0.5">
      <c r="B13" s="26" t="s">
        <v>26</v>
      </c>
      <c r="C13" s="26"/>
      <c r="D13" s="26"/>
      <c r="M13" s="13">
        <v>40</v>
      </c>
      <c r="N13" s="15">
        <f t="shared" ref="N13:N19" si="2">1+$M$4*(M13/(1-0.1^2))^-$M$5</f>
        <v>1.117990995419142</v>
      </c>
    </row>
    <row r="14" spans="2:15" x14ac:dyDescent="0.45">
      <c r="B14" s="11" t="s">
        <v>17</v>
      </c>
      <c r="C14" s="11" t="s">
        <v>20</v>
      </c>
      <c r="D14" s="11" t="s">
        <v>18</v>
      </c>
      <c r="M14" s="13">
        <v>100</v>
      </c>
      <c r="N14" s="15">
        <f t="shared" si="2"/>
        <v>1.0746240577829964</v>
      </c>
    </row>
    <row r="15" spans="2:15" x14ac:dyDescent="0.45">
      <c r="B15" s="13">
        <v>10000000</v>
      </c>
      <c r="C15" s="13">
        <f>B15/1000000</f>
        <v>10</v>
      </c>
      <c r="D15" s="11">
        <v>1.3259736795022041</v>
      </c>
      <c r="M15" s="13">
        <v>200</v>
      </c>
      <c r="N15" s="15">
        <f t="shared" si="2"/>
        <v>1.0527671772980136</v>
      </c>
    </row>
    <row r="16" spans="2:15" x14ac:dyDescent="0.45">
      <c r="B16" s="13">
        <v>40000000</v>
      </c>
      <c r="C16" s="13">
        <f t="shared" ref="C16:C22" si="3">B16/1000000</f>
        <v>40</v>
      </c>
      <c r="D16" s="11">
        <v>1.1531017802399695</v>
      </c>
      <c r="M16" s="13">
        <v>300</v>
      </c>
      <c r="N16" s="15">
        <f t="shared" si="2"/>
        <v>1.0430842198490353</v>
      </c>
    </row>
    <row r="17" spans="2:14" x14ac:dyDescent="0.45">
      <c r="B17" s="13">
        <v>100000000</v>
      </c>
      <c r="C17" s="13">
        <f t="shared" si="3"/>
        <v>100</v>
      </c>
      <c r="D17" s="11">
        <v>1.0821813204036701</v>
      </c>
      <c r="M17" s="13">
        <v>500</v>
      </c>
      <c r="N17" s="15">
        <f t="shared" si="2"/>
        <v>1.0333728931919304</v>
      </c>
    </row>
    <row r="18" spans="2:14" x14ac:dyDescent="0.45">
      <c r="B18" s="13">
        <v>200000000</v>
      </c>
      <c r="C18" s="13">
        <f t="shared" si="3"/>
        <v>200</v>
      </c>
      <c r="D18" s="11">
        <v>1.05394888195359</v>
      </c>
      <c r="M18" s="13">
        <v>700</v>
      </c>
      <c r="N18" s="15">
        <f t="shared" si="2"/>
        <v>1.0282052426737605</v>
      </c>
    </row>
    <row r="19" spans="2:14" x14ac:dyDescent="0.45">
      <c r="B19" s="13">
        <v>300000000</v>
      </c>
      <c r="C19" s="13">
        <f t="shared" si="3"/>
        <v>300</v>
      </c>
      <c r="D19" s="11">
        <v>1.0434829598242401</v>
      </c>
      <c r="M19" s="13">
        <v>1000</v>
      </c>
      <c r="N19" s="15">
        <f t="shared" si="2"/>
        <v>1.0235981990838283</v>
      </c>
    </row>
    <row r="20" spans="2:14" x14ac:dyDescent="0.45">
      <c r="B20" s="13">
        <v>500000000</v>
      </c>
      <c r="C20" s="13">
        <f t="shared" si="3"/>
        <v>500</v>
      </c>
      <c r="D20" s="11">
        <v>1.0350255733857601</v>
      </c>
    </row>
    <row r="21" spans="2:14" x14ac:dyDescent="0.45">
      <c r="B21" s="13">
        <v>700000000</v>
      </c>
      <c r="C21" s="13">
        <f t="shared" si="3"/>
        <v>700</v>
      </c>
      <c r="D21" s="11">
        <v>1.0306193761935976</v>
      </c>
    </row>
    <row r="22" spans="2:14" x14ac:dyDescent="0.45">
      <c r="B22" s="13">
        <v>1000000000</v>
      </c>
      <c r="C22" s="13">
        <f t="shared" si="3"/>
        <v>1000</v>
      </c>
      <c r="D22" s="11">
        <v>1.0245285302824279</v>
      </c>
    </row>
    <row r="23" spans="2:14" x14ac:dyDescent="0.45">
      <c r="B23" s="12"/>
      <c r="C23" s="12"/>
      <c r="D23" s="12"/>
    </row>
    <row r="24" spans="2:14" ht="15.75" x14ac:dyDescent="0.5">
      <c r="B24" s="26" t="s">
        <v>19</v>
      </c>
      <c r="C24" s="26"/>
      <c r="D24" s="26"/>
    </row>
    <row r="25" spans="2:14" x14ac:dyDescent="0.45">
      <c r="B25" s="11" t="s">
        <v>17</v>
      </c>
      <c r="C25" s="11" t="s">
        <v>20</v>
      </c>
      <c r="D25" s="11" t="s">
        <v>18</v>
      </c>
    </row>
    <row r="26" spans="2:14" x14ac:dyDescent="0.45">
      <c r="B26" s="11">
        <v>10000000</v>
      </c>
      <c r="C26" s="13">
        <f>B26/1000000</f>
        <v>10</v>
      </c>
      <c r="D26" s="11">
        <v>1.2535678601649396</v>
      </c>
    </row>
    <row r="27" spans="2:14" x14ac:dyDescent="0.45">
      <c r="B27" s="11">
        <v>40000000</v>
      </c>
      <c r="C27" s="13">
        <f t="shared" ref="C27:C33" si="4">B27/1000000</f>
        <v>40</v>
      </c>
      <c r="D27" s="11">
        <v>1.0971579631994441</v>
      </c>
    </row>
    <row r="28" spans="2:14" x14ac:dyDescent="0.45">
      <c r="B28" s="11">
        <v>100000000</v>
      </c>
      <c r="C28" s="13">
        <f t="shared" si="4"/>
        <v>100</v>
      </c>
      <c r="D28" s="11">
        <v>1.0400670315095699</v>
      </c>
    </row>
    <row r="29" spans="2:14" x14ac:dyDescent="0.45">
      <c r="B29" s="11">
        <v>200000000</v>
      </c>
      <c r="C29" s="13">
        <f t="shared" si="4"/>
        <v>200</v>
      </c>
      <c r="D29" s="11">
        <v>1.0169791360217704</v>
      </c>
    </row>
    <row r="30" spans="2:14" x14ac:dyDescent="0.45">
      <c r="B30" s="11">
        <v>300000000</v>
      </c>
      <c r="C30" s="13">
        <f t="shared" si="4"/>
        <v>300</v>
      </c>
      <c r="D30" s="11">
        <v>1.00942182278415</v>
      </c>
    </row>
    <row r="31" spans="2:14" x14ac:dyDescent="0.45">
      <c r="B31" s="11">
        <v>500000000</v>
      </c>
      <c r="C31" s="13">
        <f t="shared" si="4"/>
        <v>500</v>
      </c>
      <c r="D31" s="11">
        <v>0.99776030496475798</v>
      </c>
    </row>
    <row r="32" spans="2:14" x14ac:dyDescent="0.45">
      <c r="B32" s="11">
        <v>700000000</v>
      </c>
      <c r="C32" s="13">
        <f t="shared" si="4"/>
        <v>700</v>
      </c>
      <c r="D32" s="11">
        <v>0.98765618756805007</v>
      </c>
    </row>
    <row r="33" spans="2:4" x14ac:dyDescent="0.45">
      <c r="B33" s="11">
        <v>1000000000</v>
      </c>
      <c r="C33" s="13">
        <f t="shared" si="4"/>
        <v>1000</v>
      </c>
      <c r="D33" s="11">
        <v>0.97950536977613056</v>
      </c>
    </row>
  </sheetData>
  <mergeCells count="4">
    <mergeCell ref="B2:D2"/>
    <mergeCell ref="B13:D13"/>
    <mergeCell ref="B24:D24"/>
    <mergeCell ref="G2:J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SSW_Curve_Final</vt:lpstr>
      <vt:lpstr>SSW_CalibrationCurve (2)</vt:lpstr>
      <vt:lpstr>SSW_CalibrationCurve</vt:lpstr>
      <vt:lpstr>K_values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2025-04-24T15:45:13Z</dcterms:created>
  <dcterms:modified xsi:type="dcterms:W3CDTF">2025-10-24T17:19:27Z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2025-09-25T20:49:20Z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23e6ab28-f66b-43bf-b1c8-0c6e444caa52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