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C69670CD-90A6-4C44-BB11-419F10EF381B}" xr6:coauthVersionLast="47" xr6:coauthVersionMax="47" xr10:uidLastSave="{00000000-0000-0000-0000-000000000000}"/>
  <bookViews>
    <workbookView xWindow="-98" yWindow="-98" windowWidth="21795" windowHeight="12975" xr2:uid="{2BD432D8-4488-4A89-A586-01F393994D8E}"/>
  </bookViews>
  <sheets>
    <sheet name="SSW_CalibrationCurve" sheetId="2" r:id="rId1"/>
    <sheet name="K_valu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/>
  <c r="L6" i="2"/>
  <c r="R6" i="2"/>
  <c r="Q6" i="2"/>
  <c r="P6" i="2"/>
  <c r="O6" i="2"/>
  <c r="N6" i="2"/>
  <c r="M6" i="2"/>
  <c r="N12" i="3"/>
  <c r="O11" i="3"/>
  <c r="O10" i="3"/>
  <c r="N10" i="3"/>
  <c r="N11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2" i="2" a="1"/>
  <c r="D11" i="2" a="1"/>
  <c r="D12" i="2" l="1"/>
  <c r="D11" i="2"/>
  <c r="G15" i="2" l="1"/>
  <c r="C15" i="2"/>
  <c r="E15" i="2"/>
  <c r="B15" i="2"/>
  <c r="H15" i="2"/>
  <c r="D15" i="2"/>
  <c r="F15" i="2"/>
  <c r="D18" i="2" l="1"/>
  <c r="H12" i="2" a="1"/>
  <c r="H12" i="2" s="1"/>
  <c r="G1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<sst xmlns="http://schemas.openxmlformats.org/spreadsheetml/2006/main" count="43" uniqueCount="28">
  <si>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</si>
  <si>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</si>
  <si>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</si>
  <si>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</si>
  <si>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</si>
  <si>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</si>
  <si>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</si>
  <si>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</si>
  <si>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</si>
  <si>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</si>
  <si>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</si>
  <si>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</si>
  <si>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</si>
  <si>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</si>
  <si>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</si>
  <si>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</si>
  <si>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</si>
  <si>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Base</t>
  </si>
  <si>
    <t>E</t>
  </si>
  <si>
    <t>k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</si>
  <si>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</si>
  <si>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</si>
  <si>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</si>
  <si>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</si>
  <si>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</si>
  <si>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</si>
  <si>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</si>
  <si>
    <t>K - 0.3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</si>
</sst>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1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K_values!$B$13</c:f>
              <c:strCache>
                <c:ptCount val="1"/>
                <c:pt idx="0">
                  <c:v>K - 0.3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K_values!$C$15:$C$22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K_values!$D$15:$D$22</c:f>
              <c:numCache>
                <c:formatCode>General</c:formatCode>
                <c:ptCount val="8"/>
                <c:pt idx="0">
                  <c:v>1.3259736795022041</c:v>
                </c:pt>
                <c:pt idx="1">
                  <c:v>1.1531017802399695</c:v>
                </c:pt>
                <c:pt idx="2">
                  <c:v>1.0821813204036701</c:v>
                </c:pt>
                <c:pt idx="3">
                  <c:v>1.05394888195359</c:v>
                </c:pt>
                <c:pt idx="4">
                  <c:v>1.0434829598242401</c:v>
                </c:pt>
                <c:pt idx="5">
                  <c:v>1.0350255733857601</c:v>
                </c:pt>
                <c:pt idx="6">
                  <c:v>1.0306193761935976</c:v>
                </c:pt>
                <c:pt idx="7">
                  <c:v>1.0245285302824279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1.746240577829965</c:v>
                </c:pt>
                <c:pt idx="3">
                  <c:v>1.3337289319193049</c:v>
                </c:pt>
                <c:pt idx="4">
                  <c:v>1.2359819908382841</c:v>
                </c:pt>
                <c:pt idx="5">
                  <c:v>1.117990995419142</c:v>
                </c:pt>
                <c:pt idx="6">
                  <c:v>1.0746240577829964</c:v>
                </c:pt>
                <c:pt idx="7">
                  <c:v>1.0527671772980136</c:v>
                </c:pt>
                <c:pt idx="8">
                  <c:v>1.0430842198490353</c:v>
                </c:pt>
                <c:pt idx="9">
                  <c:v>1.0333728931919304</c:v>
                </c:pt>
                <c:pt idx="10">
                  <c:v>1.0282052426737605</c:v>
                </c:pt>
                <c:pt idx="11">
                  <c:v>1.0235981990838283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F38"/>
  <sheetViews>
    <sheetView tabSelected="1" zoomScale="85" zoomScaleNormal="100" workbookViewId="0">
      <selection activeCell="L8" sqref="L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7" t="s">
        <v>2</v>
      </c>
      <c r="AA3" s="17"/>
      <c r="AB3" s="17"/>
      <c r="AC3" s="17"/>
      <c r="AD3" s="17"/>
      <c r="AE3" s="17"/>
      <c r="AF3" s="17"/>
    </row>
    <row r="4" spans="2:32" x14ac:dyDescent="0.45">
      <c r="B4" s="17" t="s">
        <v>3</v>
      </c>
      <c r="C4" s="17"/>
      <c r="D4" s="17"/>
      <c r="E4" s="17"/>
      <c r="F4" s="17"/>
      <c r="G4" s="17"/>
      <c r="H4" s="17"/>
      <c r="J4" s="17" t="s">
        <v>3</v>
      </c>
      <c r="K4" s="17"/>
      <c r="L4" s="17"/>
      <c r="M4" s="17"/>
      <c r="N4" s="17"/>
      <c r="O4" s="17"/>
      <c r="P4" s="17"/>
      <c r="Q4" s="17"/>
      <c r="R4" s="17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>
        <v>2.3675139000000002E-3</v>
      </c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8" t="s">
        <v>6</v>
      </c>
      <c r="C11" s="18"/>
      <c r="D11" s="3" cm="1">
        <f t="array" aca="1" ref="D11" ca="1">INDIRECT("F" &amp; H11)</f>
        <v>0.34</v>
      </c>
      <c r="F11" s="18" t="s">
        <v>14</v>
      </c>
      <c r="G11" s="18"/>
      <c r="H11" s="3">
        <v>38</v>
      </c>
    </row>
    <row r="12" spans="2:32" x14ac:dyDescent="0.45">
      <c r="B12" s="18" t="s">
        <v>7</v>
      </c>
      <c r="C12" s="18"/>
      <c r="D12" s="5" cm="1">
        <f t="array" aca="1" ref="D12" ca="1">INDIRECT("E" &amp; H11)</f>
        <v>1.0840055469838461E-3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6</v>
      </c>
    </row>
    <row r="13" spans="2:32" x14ac:dyDescent="0.45">
      <c r="B13" s="8"/>
      <c r="C13" s="8"/>
      <c r="E13" s="8"/>
      <c r="F13" s="8"/>
    </row>
    <row r="14" spans="2:32" x14ac:dyDescent="0.45">
      <c r="B14" s="17" t="s">
        <v>8</v>
      </c>
      <c r="C14" s="17"/>
      <c r="D14" s="17"/>
      <c r="E14" s="17"/>
      <c r="F14" s="17"/>
      <c r="G14" s="17"/>
      <c r="H14" s="17"/>
    </row>
    <row r="15" spans="2:32" x14ac:dyDescent="0.45">
      <c r="B15" s="3">
        <f ca="1">D11</f>
        <v>0.34</v>
      </c>
      <c r="C15" s="3">
        <f t="shared" ref="C15:H15" ca="1" si="2">_xlfn.FORECAST.LINEAR($D$11,C7:C8,$B$7:$B$8)</f>
        <v>2.154303936167504E-3</v>
      </c>
      <c r="D15" s="3">
        <f t="shared" ca="1" si="2"/>
        <v>1.522504871935912E-3</v>
      </c>
      <c r="E15" s="3">
        <f t="shared" ca="1" si="2"/>
        <v>1.2327917585327262E-3</v>
      </c>
      <c r="F15" s="3">
        <f t="shared" ca="1" si="2"/>
        <v>1.1192349783204721E-3</v>
      </c>
      <c r="G15" s="3">
        <f t="shared" ca="1" si="2"/>
        <v>1.052690585588544E-3</v>
      </c>
      <c r="H15" s="3">
        <f t="shared" ca="1" si="2"/>
        <v>9.8823979656364699E-4</v>
      </c>
    </row>
    <row r="17" spans="2:7" x14ac:dyDescent="0.45">
      <c r="B17" s="17" t="s">
        <v>9</v>
      </c>
      <c r="C17" s="17"/>
      <c r="D17" s="17"/>
      <c r="E17" s="17"/>
      <c r="F17" s="17"/>
      <c r="G17" s="17"/>
    </row>
    <row r="18" spans="2:7" x14ac:dyDescent="0.45">
      <c r="B18" s="17" t="s">
        <v>10</v>
      </c>
      <c r="C18" s="17"/>
      <c r="D18" s="9">
        <f ca="1">10^(_xlfn.FORECAST.LINEAR(D12,C6:D6,C15:D15))</f>
        <v>494.36613044511694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597.4918815671075</v>
      </c>
    </row>
    <row r="21" spans="2:7" x14ac:dyDescent="0.45">
      <c r="B21" s="16" t="s">
        <v>11</v>
      </c>
      <c r="C21" s="16"/>
      <c r="E21" s="16" t="s">
        <v>17</v>
      </c>
      <c r="F21" s="16"/>
      <c r="G21" s="16"/>
    </row>
    <row r="22" spans="2:7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</row>
    <row r="23" spans="2:7" x14ac:dyDescent="0.45">
      <c r="B23" s="3">
        <v>1.8476923377406251E-3</v>
      </c>
      <c r="C23" s="3">
        <v>32.625908938905432</v>
      </c>
      <c r="E23" s="3">
        <v>2.0547276313969574E-3</v>
      </c>
      <c r="F23" s="3">
        <v>0.34</v>
      </c>
      <c r="G23" s="3">
        <v>14.374990072243435</v>
      </c>
    </row>
    <row r="24" spans="2:7" x14ac:dyDescent="0.45">
      <c r="B24" s="3">
        <v>1.7318046576407415E-3</v>
      </c>
      <c r="C24" s="3">
        <v>50.23345741286181</v>
      </c>
      <c r="E24" s="3">
        <v>3.5703822340265035E-3</v>
      </c>
      <c r="F24" s="3">
        <v>0.34</v>
      </c>
      <c r="G24" s="3">
        <v>5.7366344617829391E-2</v>
      </c>
    </row>
    <row r="25" spans="2:7" x14ac:dyDescent="0.45">
      <c r="B25" s="3">
        <v>1.6601886755722717E-3</v>
      </c>
      <c r="C25" s="3">
        <v>65.587469744581185</v>
      </c>
      <c r="E25" s="3">
        <v>1.9414441688326179E-3</v>
      </c>
      <c r="F25" s="3">
        <v>0.33</v>
      </c>
      <c r="G25" s="3">
        <v>21.807492181111002</v>
      </c>
    </row>
    <row r="26" spans="2:7" x14ac:dyDescent="0.45">
      <c r="B26" s="3">
        <v>2.656301880895029E-3</v>
      </c>
      <c r="C26" s="3">
        <v>1.606058593920398</v>
      </c>
      <c r="E26" s="3">
        <v>2.4805171976019836E-3</v>
      </c>
      <c r="F26" s="3">
        <v>0.34</v>
      </c>
      <c r="G26" s="3">
        <v>3.0456193140208896</v>
      </c>
    </row>
    <row r="27" spans="2:7" x14ac:dyDescent="0.45">
      <c r="B27" s="3">
        <v>3.093810425986021E-3</v>
      </c>
      <c r="C27" s="3">
        <v>0.31488993954243338</v>
      </c>
      <c r="E27" s="3">
        <v>1.7734721381273745E-3</v>
      </c>
      <c r="F27" s="3">
        <v>0.33</v>
      </c>
      <c r="G27" s="3">
        <v>40.189987871759591</v>
      </c>
    </row>
    <row r="28" spans="2:7" x14ac:dyDescent="0.45">
      <c r="B28" s="3"/>
      <c r="C28" s="3"/>
      <c r="E28" s="3"/>
      <c r="F28" s="3"/>
      <c r="G28" s="3"/>
    </row>
    <row r="29" spans="2:7" x14ac:dyDescent="0.45">
      <c r="B29" s="3">
        <v>1.6211254126045442E-3</v>
      </c>
      <c r="C29" s="3">
        <v>75.857701690571744</v>
      </c>
      <c r="E29" s="3">
        <v>8.9845504794894282E-4</v>
      </c>
      <c r="F29" s="3">
        <v>0.33</v>
      </c>
      <c r="G29" s="3">
        <v>1647.1172015370512</v>
      </c>
    </row>
    <row r="30" spans="2:7" x14ac:dyDescent="0.45">
      <c r="B30" s="3">
        <v>1.5820621496551723E-3</v>
      </c>
      <c r="C30" s="3">
        <v>87.736132035461452</v>
      </c>
      <c r="E30" s="3">
        <v>1.0273638156998999E-3</v>
      </c>
      <c r="F30" s="3">
        <v>0.34</v>
      </c>
      <c r="G30" s="3">
        <v>805.32052067017969</v>
      </c>
    </row>
    <row r="31" spans="2:7" x14ac:dyDescent="0.45">
      <c r="B31" s="3">
        <v>1.7422215277640874E-3</v>
      </c>
      <c r="C31" s="3">
        <v>48.322054338171974</v>
      </c>
      <c r="E31" s="3">
        <v>1.9375378425359635E-3</v>
      </c>
      <c r="F31" s="3">
        <v>0.34</v>
      </c>
      <c r="G31" s="3">
        <v>22.034003152339405</v>
      </c>
    </row>
    <row r="32" spans="2:7" x14ac:dyDescent="0.45">
      <c r="B32" s="3">
        <v>2.5625500498065888E-3</v>
      </c>
      <c r="C32" s="3">
        <v>2.2771441006533286</v>
      </c>
      <c r="E32" s="3">
        <v>3.3203773511200295E-3</v>
      </c>
      <c r="F32" s="3">
        <v>0.34</v>
      </c>
      <c r="G32" s="3">
        <v>0.14267909050834893</v>
      </c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>
        <v>1.2343991093587193E-3</v>
      </c>
      <c r="F34" s="3">
        <v>0.33</v>
      </c>
      <c r="G34" s="3">
        <v>298.79936062858997</v>
      </c>
    </row>
    <row r="35" spans="2:7" x14ac:dyDescent="0.45">
      <c r="B35" s="3">
        <v>1.4414344030157622E-3</v>
      </c>
      <c r="C35" s="3">
        <v>148.8424139248626</v>
      </c>
      <c r="E35" s="3">
        <v>2.3242641457867919E-3</v>
      </c>
      <c r="F35" s="3">
        <v>0.33</v>
      </c>
      <c r="G35" s="3">
        <v>5.4135856487067358</v>
      </c>
    </row>
    <row r="36" spans="2:7" x14ac:dyDescent="0.45">
      <c r="B36" s="3">
        <v>2.027383347330769E-3</v>
      </c>
      <c r="C36" s="3">
        <v>16.708602347103685</v>
      </c>
      <c r="E36" s="3">
        <v>3.0977167522804549E-3</v>
      </c>
      <c r="F36" s="3">
        <v>0.34</v>
      </c>
      <c r="G36" s="3">
        <v>0.32120585608479896</v>
      </c>
    </row>
    <row r="37" spans="2:7" x14ac:dyDescent="0.45">
      <c r="B37" s="3">
        <v>2.3555147561467038E-3</v>
      </c>
      <c r="C37" s="3">
        <v>4.9230945106328168</v>
      </c>
      <c r="E37" s="3">
        <v>3.3828785718469589E-3</v>
      </c>
      <c r="F37" s="3">
        <v>0.34</v>
      </c>
      <c r="G37" s="3">
        <v>0.11361470459402538</v>
      </c>
    </row>
    <row r="38" spans="2:7" x14ac:dyDescent="0.45">
      <c r="E38" s="1">
        <v>1.0840055469838461E-3</v>
      </c>
      <c r="F38" s="1">
        <v>0.34</v>
      </c>
      <c r="G38" s="1">
        <v>597.4918815671075</v>
      </c>
    </row>
  </sheetData>
  <mergeCells count="12">
    <mergeCell ref="B21:C21"/>
    <mergeCell ref="B18:C18"/>
    <mergeCell ref="Z3:AF3"/>
    <mergeCell ref="B4:H4"/>
    <mergeCell ref="B11:C11"/>
    <mergeCell ref="B12:C12"/>
    <mergeCell ref="B14:H14"/>
    <mergeCell ref="B17:G17"/>
    <mergeCell ref="E21:G21"/>
    <mergeCell ref="F11:G11"/>
    <mergeCell ref="F12:G12"/>
    <mergeCell ref="J4:R4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O33"/>
  <sheetViews>
    <sheetView workbookViewId="0">
      <selection activeCell="N10" sqref="N10:N11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5" ht="15.75" x14ac:dyDescent="0.5">
      <c r="B2" s="19" t="s">
        <v>22</v>
      </c>
      <c r="C2" s="19"/>
      <c r="D2" s="19"/>
      <c r="G2" s="20" t="s">
        <v>23</v>
      </c>
      <c r="H2" s="20"/>
      <c r="I2" s="20"/>
      <c r="J2" s="20"/>
    </row>
    <row r="3" spans="2:15" x14ac:dyDescent="0.45">
      <c r="B3" s="11" t="s">
        <v>18</v>
      </c>
      <c r="C3" s="11" t="s">
        <v>21</v>
      </c>
      <c r="D3" s="11" t="s">
        <v>19</v>
      </c>
    </row>
    <row r="4" spans="2:15" x14ac:dyDescent="0.45">
      <c r="B4" s="13">
        <v>10000000</v>
      </c>
      <c r="C4" s="13">
        <f>B4/1000000</f>
        <v>10</v>
      </c>
      <c r="D4" s="11">
        <v>1.4007381733822328</v>
      </c>
      <c r="L4" s="14" t="s">
        <v>24</v>
      </c>
      <c r="M4">
        <v>0.75</v>
      </c>
    </row>
    <row r="5" spans="2:15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25</v>
      </c>
      <c r="M5" s="10">
        <v>0.5</v>
      </c>
    </row>
    <row r="6" spans="2:15" x14ac:dyDescent="0.45">
      <c r="B6" s="13">
        <v>100000000</v>
      </c>
      <c r="C6" s="13">
        <f t="shared" si="0"/>
        <v>100</v>
      </c>
      <c r="D6" s="11">
        <v>1.1177048296059127</v>
      </c>
    </row>
    <row r="7" spans="2:15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21</v>
      </c>
      <c r="N7" s="15" t="s">
        <v>26</v>
      </c>
    </row>
    <row r="8" spans="2:15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5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5" x14ac:dyDescent="0.45">
      <c r="B10" s="13">
        <v>700000000</v>
      </c>
      <c r="C10" s="13">
        <f t="shared" si="0"/>
        <v>700</v>
      </c>
      <c r="D10" s="11">
        <v>1.0694334868948585</v>
      </c>
      <c r="M10" s="13">
        <v>1</v>
      </c>
      <c r="N10" s="15">
        <f t="shared" ref="N10:N11" si="1">1+$M$4*(M10/(1-0.1^2))^-$M$5</f>
        <v>1.746240577829965</v>
      </c>
      <c r="O10" s="10">
        <f>M10*1000000</f>
        <v>1000000</v>
      </c>
    </row>
    <row r="11" spans="2:15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1.3337289319193049</v>
      </c>
      <c r="O11" s="10">
        <f>M11*1000000</f>
        <v>5000000</v>
      </c>
    </row>
    <row r="12" spans="2:15" x14ac:dyDescent="0.45">
      <c r="B12" s="12"/>
      <c r="C12" s="12"/>
      <c r="D12" s="12"/>
      <c r="M12" s="13">
        <v>10</v>
      </c>
      <c r="N12" s="15">
        <f>1+$M$4*(M12/(1-0.1^2))^-$M$5</f>
        <v>1.2359819908382841</v>
      </c>
    </row>
    <row r="13" spans="2:15" ht="15.75" x14ac:dyDescent="0.5">
      <c r="B13" s="19" t="s">
        <v>27</v>
      </c>
      <c r="C13" s="19"/>
      <c r="D13" s="19"/>
      <c r="M13" s="13">
        <v>40</v>
      </c>
      <c r="N13" s="15">
        <f t="shared" ref="N13:N19" si="2">1+$M$4*(M13/(1-0.1^2))^-$M$5</f>
        <v>1.117990995419142</v>
      </c>
    </row>
    <row r="14" spans="2:15" x14ac:dyDescent="0.45">
      <c r="B14" s="11" t="s">
        <v>18</v>
      </c>
      <c r="C14" s="11" t="s">
        <v>21</v>
      </c>
      <c r="D14" s="11" t="s">
        <v>19</v>
      </c>
      <c r="M14" s="13">
        <v>100</v>
      </c>
      <c r="N14" s="15">
        <f t="shared" si="2"/>
        <v>1.0746240577829964</v>
      </c>
    </row>
    <row r="15" spans="2:15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1.0527671772980136</v>
      </c>
    </row>
    <row r="16" spans="2:15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1.0430842198490353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1.0333728931919304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1.0282052426737605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1.0235981990838283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19" t="s">
        <v>20</v>
      </c>
      <c r="C24" s="19"/>
      <c r="D24" s="19"/>
    </row>
    <row r="25" spans="2:14" x14ac:dyDescent="0.45">
      <c r="B25" s="11" t="s">
        <v>18</v>
      </c>
      <c r="C25" s="11" t="s">
        <v>21</v>
      </c>
      <c r="D25" s="11" t="s">
        <v>19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2025-09-26T03:34:32Z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