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ocuments/GitHub/SingleSolitaryWaveAnalysis/Pastas_Mortero_2025/0p30/"/>
    </mc:Choice>
  </mc:AlternateContent>
  <xr:revisionPtr revIDLastSave="0" documentId="13_ncr:1_{4BF7263A-E805-5D4F-B7E9-AE52990FE3B5}" xr6:coauthVersionLast="47" xr6:coauthVersionMax="47" xr10:uidLastSave="{00000000-0000-0000-0000-000000000000}"/>
  <bookViews>
    <workbookView xWindow="20" yWindow="50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1" l="1"/>
  <c r="L8" i="1" s="1"/>
  <c r="K60" i="1"/>
  <c r="L9" i="1"/>
  <c r="K2" i="1"/>
  <c r="L2" i="1" s="1"/>
  <c r="K44" i="1"/>
  <c r="L7" i="1" s="1"/>
  <c r="K32" i="1"/>
  <c r="L6" i="1" s="1"/>
  <c r="K24" i="1"/>
  <c r="L5" i="1" s="1"/>
  <c r="K18" i="1"/>
  <c r="K10" i="1"/>
  <c r="L3" i="1" s="1"/>
  <c r="L4" i="1"/>
</calcChain>
</file>

<file path=xl/sharedStrings.xml><?xml version="1.0" encoding="utf-8"?>
<sst xmlns="http://schemas.openxmlformats.org/spreadsheetml/2006/main" count="79" uniqueCount="20">
  <si>
    <t>Filename</t>
  </si>
  <si>
    <t>Ref_0p30_0h.mat</t>
  </si>
  <si>
    <t>---</t>
  </si>
  <si>
    <t>Ref_0p30_10min.mat</t>
  </si>
  <si>
    <t>Ref_0p30_20min.mat</t>
  </si>
  <si>
    <t>Ref_0p30_30min.mat</t>
  </si>
  <si>
    <t>Ref_0p30_40min.mat</t>
  </si>
  <si>
    <t>Ref_0p30_5min.mat</t>
  </si>
  <si>
    <t>Ref_0p30_60min.mat</t>
  </si>
  <si>
    <t>Ref_0p30_90min.mat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</si>
  <si>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</si>
  <si>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</si>
  <si>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</si>
  <si>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</si>
  <si>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</si>
  <si>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</si>
  <si>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</si>
  <si>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</si>
  <si>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</si>
  <si>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TOF1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</si>
</sst>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58" zoomScale="200" zoomScaleNormal="208" workbookViewId="0">
      <selection activeCell="K51" sqref="K51"/>
    </sheetView>
  </sheetViews>
  <sheetFormatPr baseColWidth="10" defaultColWidth="8.83203125" defaultRowHeight="15" x14ac:dyDescent="0.2"/>
  <cols>
    <col min="1" max="1" width="18.33203125" customWidth="1"/>
    <col min="2" max="2" width="6.1640625" customWidth="1"/>
    <col min="3" max="3" width="11.83203125" customWidth="1"/>
    <col min="4" max="4" width="13.83203125" customWidth="1"/>
    <col min="5" max="5" width="11.83203125" customWidth="1"/>
    <col min="6" max="6" width="14.83203125" customWidth="1"/>
    <col min="7" max="7" width="11.83203125" customWidth="1"/>
    <col min="8" max="9" width="14.83203125" customWidth="1"/>
    <col min="10" max="10" width="15.83203125" customWidth="1"/>
  </cols>
  <sheetData>
    <row r="1" spans="1:12" x14ac:dyDescent="0.2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s="1" t="s">
        <v>19</v>
      </c>
    </row>
    <row r="2" spans="1:12" x14ac:dyDescent="0.2">
      <c r="A2" t="s">
        <v>1</v>
      </c>
      <c r="B2">
        <v>1</v>
      </c>
      <c r="C2">
        <v>10.394174949829097</v>
      </c>
      <c r="D2">
        <v>1.6025508237E-2</v>
      </c>
      <c r="E2">
        <v>10.397241415971015</v>
      </c>
      <c r="F2">
        <v>3.2903312730000003E-3</v>
      </c>
      <c r="G2">
        <v>10.397788301652376</v>
      </c>
      <c r="H2">
        <v>4.6268291429999997E-3</v>
      </c>
      <c r="I2">
        <v>3.0664661419184114E-3</v>
      </c>
      <c r="J2">
        <v>5.4688568136107563E-4</v>
      </c>
      <c r="K2">
        <f>AVERAGE(I2:I8)</f>
        <v>3.188538838648558E-3</v>
      </c>
      <c r="L2">
        <f>K2</f>
        <v>3.188538838648558E-3</v>
      </c>
    </row>
    <row r="3" spans="1:12" x14ac:dyDescent="0.2">
      <c r="A3" t="s">
        <v>1</v>
      </c>
      <c r="B3">
        <v>2</v>
      </c>
      <c r="C3">
        <v>26.961223578337467</v>
      </c>
      <c r="D3">
        <v>2.0086264778999999E-2</v>
      </c>
      <c r="E3">
        <v>26.965305689316196</v>
      </c>
      <c r="F3">
        <v>5.4043169450000003E-3</v>
      </c>
      <c r="G3">
        <v>26.966067422943805</v>
      </c>
      <c r="H3">
        <v>3.8737522610000001E-3</v>
      </c>
      <c r="J3">
        <v>7.61733627609118E-4</v>
      </c>
      <c r="L3">
        <f>K10</f>
        <v>2.8237158649864519E-3</v>
      </c>
    </row>
    <row r="4" spans="1:12" x14ac:dyDescent="0.2">
      <c r="A4" t="s">
        <v>1</v>
      </c>
      <c r="B4">
        <v>3</v>
      </c>
      <c r="C4">
        <v>39.580164766675132</v>
      </c>
      <c r="D4">
        <v>1.7679958339999999E-2</v>
      </c>
      <c r="E4">
        <v>39.583465612394775</v>
      </c>
      <c r="F4">
        <v>3.3965187750000002E-3</v>
      </c>
      <c r="G4">
        <v>39.584090624602048</v>
      </c>
      <c r="H4">
        <v>4.2277106010000006E-3</v>
      </c>
      <c r="I4">
        <v>3.3008457196430641E-3</v>
      </c>
      <c r="J4">
        <v>6.250122072728459E-4</v>
      </c>
      <c r="L4">
        <f>K18</f>
        <v>2.832086564190206E-3</v>
      </c>
    </row>
    <row r="5" spans="1:12" x14ac:dyDescent="0.2">
      <c r="A5" t="s">
        <v>1</v>
      </c>
      <c r="B5">
        <v>4</v>
      </c>
      <c r="C5">
        <v>67.081189318976925</v>
      </c>
      <c r="D5">
        <v>1.8618558213999999E-2</v>
      </c>
      <c r="E5">
        <v>67.085310493218614</v>
      </c>
      <c r="F5">
        <v>4.9398991920000003E-3</v>
      </c>
      <c r="G5">
        <v>67.08593550542588</v>
      </c>
      <c r="H5">
        <v>3.3818722230000002E-3</v>
      </c>
      <c r="J5">
        <v>6.2501220726574047E-4</v>
      </c>
      <c r="L5">
        <f>K24</f>
        <v>2.667462813169002E-3</v>
      </c>
    </row>
    <row r="6" spans="1:12" x14ac:dyDescent="0.2">
      <c r="A6" t="s">
        <v>1</v>
      </c>
      <c r="B6">
        <v>5</v>
      </c>
      <c r="C6">
        <v>67.081189318976925</v>
      </c>
      <c r="D6">
        <v>1.8618558213999999E-2</v>
      </c>
      <c r="E6">
        <v>67.085310493218614</v>
      </c>
      <c r="F6">
        <v>4.9398991920000003E-3</v>
      </c>
      <c r="G6">
        <v>67.08593550542588</v>
      </c>
      <c r="H6">
        <v>3.3818722230000002E-3</v>
      </c>
      <c r="J6">
        <v>6.2501220726574047E-4</v>
      </c>
      <c r="L6">
        <f>K32</f>
        <v>2.5825157175414721E-3</v>
      </c>
    </row>
    <row r="7" spans="1:12" x14ac:dyDescent="0.2">
      <c r="A7" t="s">
        <v>1</v>
      </c>
      <c r="B7">
        <v>6</v>
      </c>
      <c r="C7">
        <v>84.016746186157931</v>
      </c>
      <c r="D7">
        <v>1.6039544515999999E-2</v>
      </c>
      <c r="E7">
        <v>84.019968905351661</v>
      </c>
      <c r="F7">
        <v>2.9803125890000004E-3</v>
      </c>
      <c r="G7">
        <v>84.020691575716327</v>
      </c>
      <c r="H7">
        <v>4.8184548650000002E-3</v>
      </c>
      <c r="I7">
        <v>3.2227191937295174E-3</v>
      </c>
      <c r="J7">
        <v>7.2267036466655554E-4</v>
      </c>
      <c r="L7">
        <f>K44</f>
        <v>2.5716648111675511E-3</v>
      </c>
    </row>
    <row r="8" spans="1:12" x14ac:dyDescent="0.2">
      <c r="A8" t="s">
        <v>1</v>
      </c>
      <c r="B8">
        <v>7</v>
      </c>
      <c r="C8">
        <v>97.087475912556897</v>
      </c>
      <c r="D8">
        <v>1.7747698643E-2</v>
      </c>
      <c r="E8">
        <v>97.0906400368562</v>
      </c>
      <c r="F8">
        <v>3.6717518980000003E-3</v>
      </c>
      <c r="G8">
        <v>97.091362707220853</v>
      </c>
      <c r="H8">
        <v>4.4004178600000003E-3</v>
      </c>
      <c r="I8">
        <v>3.1641242993032392E-3</v>
      </c>
      <c r="J8">
        <v>7.2267036465234469E-4</v>
      </c>
      <c r="L8">
        <f>K51</f>
        <v>2.5879411707254727E-3</v>
      </c>
    </row>
    <row r="9" spans="1:12" x14ac:dyDescent="0.2">
      <c r="A9" t="s">
        <v>2</v>
      </c>
      <c r="L9">
        <f>K60</f>
        <v>2.7266157542214843E-3</v>
      </c>
    </row>
    <row r="10" spans="1:12" x14ac:dyDescent="0.2">
      <c r="A10" t="s">
        <v>7</v>
      </c>
      <c r="B10">
        <v>1</v>
      </c>
      <c r="C10">
        <v>10.963346700603527</v>
      </c>
      <c r="D10">
        <v>1.6069447893000001E-2</v>
      </c>
      <c r="E10">
        <v>10.966042065747377</v>
      </c>
      <c r="F10">
        <v>4.2936200849999998E-3</v>
      </c>
      <c r="G10">
        <v>10.966745204480555</v>
      </c>
      <c r="H10">
        <v>4.109317639E-3</v>
      </c>
      <c r="I10">
        <v>2.6953651438503812E-3</v>
      </c>
      <c r="J10">
        <v>7.0313873317751074E-4</v>
      </c>
      <c r="K10">
        <f>AVERAGE(I10:I16)</f>
        <v>2.8237158649864519E-3</v>
      </c>
    </row>
    <row r="11" spans="1:12" x14ac:dyDescent="0.2">
      <c r="A11" t="s">
        <v>7</v>
      </c>
      <c r="B11">
        <v>2</v>
      </c>
      <c r="C11">
        <v>38.695790839002719</v>
      </c>
      <c r="D11">
        <v>1.8616727395000001E-2</v>
      </c>
      <c r="E11">
        <v>38.698564330672475</v>
      </c>
      <c r="F11">
        <v>5.6142508569999999E-3</v>
      </c>
      <c r="G11">
        <v>38.699189342879748</v>
      </c>
      <c r="H11">
        <v>4.6066901340000004E-3</v>
      </c>
      <c r="I11">
        <v>2.7734916697568224E-3</v>
      </c>
      <c r="J11">
        <v>6.250122072728459E-4</v>
      </c>
    </row>
    <row r="12" spans="1:12" x14ac:dyDescent="0.2">
      <c r="A12" t="s">
        <v>7</v>
      </c>
      <c r="B12">
        <v>3</v>
      </c>
      <c r="C12">
        <v>51.2136082535987</v>
      </c>
      <c r="D12">
        <v>1.5598317137E-2</v>
      </c>
      <c r="E12">
        <v>51.216342682005504</v>
      </c>
      <c r="F12">
        <v>4.1776682150000003E-3</v>
      </c>
      <c r="G12">
        <v>51.216909099318343</v>
      </c>
      <c r="H12">
        <v>4.2234386900000002E-3</v>
      </c>
      <c r="I12">
        <v>2.7344284068036018E-3</v>
      </c>
      <c r="J12">
        <v>5.6641731283946228E-4</v>
      </c>
    </row>
    <row r="13" spans="1:12" x14ac:dyDescent="0.2">
      <c r="A13" t="s">
        <v>7</v>
      </c>
      <c r="B13">
        <v>4</v>
      </c>
      <c r="C13">
        <v>75.234424772569781</v>
      </c>
      <c r="D13">
        <v>2.0340748619999998E-2</v>
      </c>
      <c r="E13">
        <v>75.237315454028405</v>
      </c>
      <c r="F13">
        <v>6.3069107120000004E-3</v>
      </c>
      <c r="G13">
        <v>75.238038124393057</v>
      </c>
      <c r="H13">
        <v>6.2410012280000003E-3</v>
      </c>
      <c r="I13">
        <v>2.8906814586235896E-3</v>
      </c>
      <c r="J13">
        <v>7.2267036465234469E-4</v>
      </c>
    </row>
    <row r="14" spans="1:12" x14ac:dyDescent="0.2">
      <c r="A14" t="s">
        <v>7</v>
      </c>
      <c r="B14">
        <v>5</v>
      </c>
      <c r="C14">
        <v>75.234424772569781</v>
      </c>
      <c r="D14">
        <v>2.0340748619999998E-2</v>
      </c>
      <c r="E14">
        <v>75.237315454028405</v>
      </c>
      <c r="F14">
        <v>6.3069107120000004E-3</v>
      </c>
      <c r="G14">
        <v>75.238038124393057</v>
      </c>
      <c r="H14">
        <v>6.2410012280000003E-3</v>
      </c>
      <c r="I14">
        <v>2.8906814586235896E-3</v>
      </c>
      <c r="J14">
        <v>7.2267036465234469E-4</v>
      </c>
    </row>
    <row r="15" spans="1:12" x14ac:dyDescent="0.2">
      <c r="A15" t="s">
        <v>7</v>
      </c>
      <c r="B15">
        <v>6</v>
      </c>
      <c r="C15">
        <v>82.687338382151992</v>
      </c>
      <c r="D15">
        <v>2.1086502226E-2</v>
      </c>
      <c r="E15">
        <v>82.690268126873562</v>
      </c>
      <c r="F15">
        <v>5.168751567E-3</v>
      </c>
      <c r="G15">
        <v>82.690990797238214</v>
      </c>
      <c r="H15">
        <v>6.1866869309999996E-3</v>
      </c>
      <c r="I15">
        <v>2.9297447215697048E-3</v>
      </c>
      <c r="J15">
        <v>7.2267036465234469E-4</v>
      </c>
    </row>
    <row r="16" spans="1:12" x14ac:dyDescent="0.2">
      <c r="A16" t="s">
        <v>7</v>
      </c>
      <c r="B16">
        <v>7</v>
      </c>
      <c r="C16">
        <v>124.93913806754428</v>
      </c>
      <c r="D16">
        <v>1.6450258244999998E-2</v>
      </c>
      <c r="E16">
        <v>124.94198968573996</v>
      </c>
      <c r="F16">
        <v>3.7870934950000002E-3</v>
      </c>
      <c r="G16">
        <v>124.9426342295787</v>
      </c>
      <c r="H16">
        <v>5.7253205429999999E-3</v>
      </c>
      <c r="I16">
        <v>2.8516181956774744E-3</v>
      </c>
      <c r="J16">
        <v>6.4454383874590349E-4</v>
      </c>
    </row>
    <row r="17" spans="1:11" x14ac:dyDescent="0.2">
      <c r="A17" t="s">
        <v>2</v>
      </c>
    </row>
    <row r="18" spans="1:11" x14ac:dyDescent="0.2">
      <c r="A18" t="s">
        <v>3</v>
      </c>
      <c r="B18">
        <v>1</v>
      </c>
      <c r="C18">
        <v>4.8051651737104244</v>
      </c>
      <c r="D18">
        <v>1.6356886476000001E-2</v>
      </c>
      <c r="E18">
        <v>4.8078605388542748</v>
      </c>
      <c r="F18">
        <v>3.8731419880000005E-3</v>
      </c>
      <c r="G18">
        <v>4.8084269561671125</v>
      </c>
      <c r="H18">
        <v>4.5102670000000001E-3</v>
      </c>
      <c r="I18">
        <v>2.6953651438503812E-3</v>
      </c>
      <c r="J18">
        <v>5.6641731283768593E-4</v>
      </c>
      <c r="K18">
        <f>AVERAGE(I19:I22)</f>
        <v>2.832086564190206E-3</v>
      </c>
    </row>
    <row r="19" spans="1:11" x14ac:dyDescent="0.2">
      <c r="A19" t="s">
        <v>3</v>
      </c>
      <c r="B19">
        <v>2</v>
      </c>
      <c r="C19">
        <v>47.395816018514033</v>
      </c>
      <c r="D19">
        <v>2.2606692269000001E-2</v>
      </c>
      <c r="E19">
        <v>47.398804358130043</v>
      </c>
      <c r="F19">
        <v>8.7101657860000001E-3</v>
      </c>
      <c r="G19">
        <v>47.399507496863222</v>
      </c>
      <c r="H19">
        <v>7.7605809979999999E-3</v>
      </c>
      <c r="I19">
        <v>2.9883396160101938E-3</v>
      </c>
      <c r="J19">
        <v>7.031387331792871E-4</v>
      </c>
    </row>
    <row r="20" spans="1:11" x14ac:dyDescent="0.2">
      <c r="A20" t="s">
        <v>3</v>
      </c>
      <c r="B20">
        <v>3</v>
      </c>
      <c r="C20">
        <v>54.576743256628056</v>
      </c>
      <c r="D20">
        <v>1.2924100851000001E-2</v>
      </c>
      <c r="E20">
        <v>54.579477685034867</v>
      </c>
      <c r="F20">
        <v>3.8328639700000002E-3</v>
      </c>
      <c r="G20">
        <v>54.579965975821793</v>
      </c>
      <c r="H20">
        <v>3.9323384689999999E-3</v>
      </c>
      <c r="I20">
        <v>2.7344284068107072E-3</v>
      </c>
      <c r="J20">
        <v>4.8829078692591565E-4</v>
      </c>
    </row>
    <row r="21" spans="1:11" x14ac:dyDescent="0.2">
      <c r="A21" t="s">
        <v>3</v>
      </c>
      <c r="B21">
        <v>4</v>
      </c>
      <c r="C21">
        <v>67.092082956096803</v>
      </c>
      <c r="D21">
        <v>1.6692536625999999E-2</v>
      </c>
      <c r="E21">
        <v>67.094797852872119</v>
      </c>
      <c r="F21">
        <v>4.3692939369999999E-3</v>
      </c>
      <c r="G21">
        <v>67.095383801816439</v>
      </c>
      <c r="H21">
        <v>4.6475784249999999E-3</v>
      </c>
      <c r="I21">
        <v>2.7148967753163333E-3</v>
      </c>
      <c r="J21">
        <v>5.859489443196253E-4</v>
      </c>
    </row>
    <row r="22" spans="1:11" x14ac:dyDescent="0.2">
      <c r="A22" t="s">
        <v>3</v>
      </c>
      <c r="B22">
        <v>5</v>
      </c>
      <c r="C22">
        <v>75.760866122232855</v>
      </c>
      <c r="D22">
        <v>2.0054530583E-2</v>
      </c>
      <c r="E22">
        <v>75.763756803691479</v>
      </c>
      <c r="F22">
        <v>6.5894671110000008E-3</v>
      </c>
      <c r="G22">
        <v>75.764362284267264</v>
      </c>
      <c r="H22">
        <v>5.5422386430000001E-3</v>
      </c>
      <c r="I22">
        <v>2.8906814586235896E-3</v>
      </c>
      <c r="J22">
        <v>6.0548057578557746E-4</v>
      </c>
    </row>
    <row r="23" spans="1:11" x14ac:dyDescent="0.2">
      <c r="A23" t="s">
        <v>2</v>
      </c>
    </row>
    <row r="24" spans="1:11" x14ac:dyDescent="0.2">
      <c r="A24" t="s">
        <v>4</v>
      </c>
      <c r="B24">
        <v>1</v>
      </c>
      <c r="C24">
        <v>11.708006440742983</v>
      </c>
      <c r="D24">
        <v>2.2416897365999999E-2</v>
      </c>
      <c r="E24">
        <v>11.710623679360925</v>
      </c>
      <c r="F24">
        <v>6.8262530350000003E-3</v>
      </c>
      <c r="G24">
        <v>11.711326818094104</v>
      </c>
      <c r="H24">
        <v>6.8665310530000006E-3</v>
      </c>
      <c r="I24">
        <v>2.6172386179421636E-3</v>
      </c>
      <c r="J24">
        <v>7.031387331792871E-4</v>
      </c>
      <c r="K24">
        <f>AVERAGE(I24:I30)</f>
        <v>2.667462813169002E-3</v>
      </c>
    </row>
    <row r="25" spans="1:11" x14ac:dyDescent="0.2">
      <c r="A25" t="s">
        <v>4</v>
      </c>
      <c r="B25">
        <v>2</v>
      </c>
      <c r="C25">
        <v>11.708006440742983</v>
      </c>
      <c r="D25">
        <v>2.2416897365999999E-2</v>
      </c>
      <c r="E25">
        <v>11.710623679360925</v>
      </c>
      <c r="F25">
        <v>6.8262530350000003E-3</v>
      </c>
      <c r="G25">
        <v>11.711326818094104</v>
      </c>
      <c r="H25">
        <v>6.8665310530000006E-3</v>
      </c>
      <c r="I25">
        <v>2.6172386179421636E-3</v>
      </c>
      <c r="J25">
        <v>7.031387331792871E-4</v>
      </c>
    </row>
    <row r="26" spans="1:11" x14ac:dyDescent="0.2">
      <c r="A26" t="s">
        <v>4</v>
      </c>
      <c r="B26">
        <v>3</v>
      </c>
      <c r="C26">
        <v>25.793781041860193</v>
      </c>
      <c r="D26">
        <v>2.0565939356999997E-2</v>
      </c>
      <c r="E26">
        <v>25.79641781210961</v>
      </c>
      <c r="F26">
        <v>6.5229473540000006E-3</v>
      </c>
      <c r="G26">
        <v>25.797160014105742</v>
      </c>
      <c r="H26">
        <v>6.8384584949999997E-3</v>
      </c>
      <c r="I26">
        <v>2.6367702494169976E-3</v>
      </c>
      <c r="J26">
        <v>7.422019961325077E-4</v>
      </c>
    </row>
    <row r="27" spans="1:11" x14ac:dyDescent="0.2">
      <c r="A27" t="s">
        <v>4</v>
      </c>
      <c r="B27">
        <v>4</v>
      </c>
      <c r="C27">
        <v>52.473283655456157</v>
      </c>
      <c r="D27">
        <v>2.0501250419E-2</v>
      </c>
      <c r="E27">
        <v>52.475979020600008</v>
      </c>
      <c r="F27">
        <v>6.8177092130000004E-3</v>
      </c>
      <c r="G27">
        <v>52.476623564438761</v>
      </c>
      <c r="H27">
        <v>5.5251509990000003E-3</v>
      </c>
      <c r="I27">
        <v>2.6953651438503812E-3</v>
      </c>
      <c r="J27">
        <v>6.4454383875300891E-4</v>
      </c>
    </row>
    <row r="28" spans="1:11" x14ac:dyDescent="0.2">
      <c r="A28" t="s">
        <v>4</v>
      </c>
      <c r="B28">
        <v>5</v>
      </c>
      <c r="C28">
        <v>58.172582839793748</v>
      </c>
      <c r="D28">
        <v>1.9782959098E-2</v>
      </c>
      <c r="E28">
        <v>58.175258673306118</v>
      </c>
      <c r="F28">
        <v>6.6175396689999999E-3</v>
      </c>
      <c r="G28">
        <v>58.175961812039297</v>
      </c>
      <c r="H28">
        <v>5.8974175290000003E-3</v>
      </c>
      <c r="I28">
        <v>2.6758335123702182E-3</v>
      </c>
      <c r="J28">
        <v>7.031387331792871E-4</v>
      </c>
    </row>
    <row r="29" spans="1:11" x14ac:dyDescent="0.2">
      <c r="A29" t="s">
        <v>4</v>
      </c>
      <c r="B29">
        <v>6</v>
      </c>
      <c r="C29">
        <v>64.091672081511348</v>
      </c>
      <c r="D29">
        <v>2.0696537778999997E-2</v>
      </c>
      <c r="E29">
        <v>64.094406509918159</v>
      </c>
      <c r="F29">
        <v>7.2442900400000003E-3</v>
      </c>
      <c r="G29">
        <v>64.095148711914291</v>
      </c>
      <c r="H29">
        <v>5.9084024429999996E-3</v>
      </c>
      <c r="I29">
        <v>2.7344284068107072E-3</v>
      </c>
      <c r="J29">
        <v>7.422019961325077E-4</v>
      </c>
    </row>
    <row r="30" spans="1:11" x14ac:dyDescent="0.2">
      <c r="A30" t="s">
        <v>4</v>
      </c>
      <c r="B30">
        <v>7</v>
      </c>
      <c r="C30">
        <v>88.209183738133561</v>
      </c>
      <c r="D30">
        <v>2.2472432208999998E-2</v>
      </c>
      <c r="E30">
        <v>88.211879103277411</v>
      </c>
      <c r="F30">
        <v>6.4857207009999997E-3</v>
      </c>
      <c r="G30">
        <v>88.21267990016797</v>
      </c>
      <c r="H30">
        <v>7.4511725869999997E-3</v>
      </c>
      <c r="I30">
        <v>2.6953651438503812E-3</v>
      </c>
      <c r="J30">
        <v>8.0079689055878589E-4</v>
      </c>
    </row>
    <row r="31" spans="1:11" x14ac:dyDescent="0.2">
      <c r="A31" t="s">
        <v>2</v>
      </c>
    </row>
    <row r="32" spans="1:11" x14ac:dyDescent="0.2">
      <c r="A32" t="s">
        <v>5</v>
      </c>
      <c r="B32">
        <v>1</v>
      </c>
      <c r="C32">
        <v>6.5425103909783395</v>
      </c>
      <c r="D32">
        <v>1.5362141486E-2</v>
      </c>
      <c r="E32">
        <v>6.544990908175941</v>
      </c>
      <c r="F32">
        <v>5.122370819E-3</v>
      </c>
      <c r="G32">
        <v>6.5455768571202562</v>
      </c>
      <c r="H32">
        <v>4.6219469590000001E-3</v>
      </c>
      <c r="J32">
        <v>5.8594894431518441E-4</v>
      </c>
      <c r="K32">
        <f>AVERAGE(I32:I42)</f>
        <v>2.5825157175414721E-3</v>
      </c>
    </row>
    <row r="33" spans="1:11" x14ac:dyDescent="0.2">
      <c r="A33" t="s">
        <v>5</v>
      </c>
      <c r="B33">
        <v>2</v>
      </c>
      <c r="C33">
        <v>16.764839743291859</v>
      </c>
      <c r="D33">
        <v>1.5955326842E-2</v>
      </c>
      <c r="E33">
        <v>16.767339792120939</v>
      </c>
      <c r="F33">
        <v>4.9081649959999999E-3</v>
      </c>
      <c r="G33">
        <v>16.767984335959685</v>
      </c>
      <c r="H33">
        <v>4.9667512040000002E-3</v>
      </c>
      <c r="I33">
        <v>2.5000488290807255E-3</v>
      </c>
      <c r="J33">
        <v>6.4454383874590349E-4</v>
      </c>
    </row>
    <row r="34" spans="1:11" x14ac:dyDescent="0.2">
      <c r="A34" t="s">
        <v>5</v>
      </c>
      <c r="B34">
        <v>3</v>
      </c>
      <c r="C34">
        <v>26.77285503799293</v>
      </c>
      <c r="D34">
        <v>1.3265243458E-2</v>
      </c>
      <c r="E34">
        <v>26.7752769602961</v>
      </c>
      <c r="F34">
        <v>4.5023334510000002E-3</v>
      </c>
      <c r="G34">
        <v>26.775706656188596</v>
      </c>
      <c r="H34">
        <v>4.0452389740000001E-3</v>
      </c>
      <c r="J34">
        <v>4.2969589249608475E-4</v>
      </c>
    </row>
    <row r="35" spans="1:11" x14ac:dyDescent="0.2">
      <c r="A35" t="s">
        <v>5</v>
      </c>
      <c r="B35">
        <v>4</v>
      </c>
      <c r="C35">
        <v>35.051824139229282</v>
      </c>
      <c r="D35">
        <v>1.8107149440000001E-2</v>
      </c>
      <c r="E35">
        <v>35.054421846215746</v>
      </c>
      <c r="F35">
        <v>6.0994178920000001E-3</v>
      </c>
      <c r="G35">
        <v>35.055027326791539</v>
      </c>
      <c r="H35">
        <v>5.1333557330000001E-3</v>
      </c>
      <c r="I35">
        <v>2.597706986463777E-3</v>
      </c>
      <c r="J35">
        <v>6.0548057579268288E-4</v>
      </c>
    </row>
    <row r="36" spans="1:11" x14ac:dyDescent="0.2">
      <c r="A36" t="s">
        <v>5</v>
      </c>
      <c r="B36">
        <v>5</v>
      </c>
      <c r="C36">
        <v>46.597504914580362</v>
      </c>
      <c r="D36">
        <v>2.2517592410999997E-2</v>
      </c>
      <c r="E36">
        <v>46.600063558303873</v>
      </c>
      <c r="F36">
        <v>7.9241341619999996E-3</v>
      </c>
      <c r="G36">
        <v>46.600864355194439</v>
      </c>
      <c r="H36">
        <v>6.9574617300000004E-3</v>
      </c>
      <c r="I36">
        <v>2.5586437235105564E-3</v>
      </c>
      <c r="J36">
        <v>8.0079689056589132E-4</v>
      </c>
    </row>
    <row r="37" spans="1:11" x14ac:dyDescent="0.2">
      <c r="A37" t="s">
        <v>5</v>
      </c>
      <c r="B37">
        <v>6</v>
      </c>
      <c r="C37">
        <v>53.982315976913611</v>
      </c>
      <c r="D37">
        <v>2.0002047105E-2</v>
      </c>
      <c r="E37">
        <v>53.984894152268602</v>
      </c>
      <c r="F37">
        <v>7.3047070669999999E-3</v>
      </c>
      <c r="G37">
        <v>53.985577759370301</v>
      </c>
      <c r="H37">
        <v>7.2510030430000001E-3</v>
      </c>
      <c r="I37">
        <v>2.5781753549907194E-3</v>
      </c>
      <c r="J37">
        <v>6.8360710169912409E-4</v>
      </c>
    </row>
    <row r="38" spans="1:11" x14ac:dyDescent="0.2">
      <c r="A38" t="s">
        <v>5</v>
      </c>
      <c r="B38">
        <v>7</v>
      </c>
      <c r="C38">
        <v>63.509221528406805</v>
      </c>
      <c r="D38">
        <v>2.1400182548E-2</v>
      </c>
      <c r="E38">
        <v>63.511819235393268</v>
      </c>
      <c r="F38">
        <v>6.8061140260000002E-3</v>
      </c>
      <c r="G38">
        <v>63.512502842494975</v>
      </c>
      <c r="H38">
        <v>6.4564275970000005E-3</v>
      </c>
      <c r="I38">
        <v>2.597706986463777E-3</v>
      </c>
      <c r="J38">
        <v>6.8360710170622951E-4</v>
      </c>
    </row>
    <row r="39" spans="1:11" x14ac:dyDescent="0.2">
      <c r="A39" t="s">
        <v>5</v>
      </c>
      <c r="B39">
        <v>8</v>
      </c>
      <c r="C39">
        <v>72.744393072218202</v>
      </c>
      <c r="D39">
        <v>1.6392892582999998E-2</v>
      </c>
      <c r="E39">
        <v>72.747010310836146</v>
      </c>
      <c r="F39">
        <v>5.4982989870000004E-3</v>
      </c>
      <c r="G39">
        <v>72.747635323043411</v>
      </c>
      <c r="H39">
        <v>5.4598517880000003E-3</v>
      </c>
      <c r="I39">
        <v>2.61723861794394E-3</v>
      </c>
      <c r="J39">
        <v>6.2501220726574047E-4</v>
      </c>
    </row>
    <row r="40" spans="1:11" x14ac:dyDescent="0.2">
      <c r="A40" t="s">
        <v>5</v>
      </c>
      <c r="B40">
        <v>9</v>
      </c>
      <c r="C40">
        <v>85.527036848916964</v>
      </c>
      <c r="D40">
        <v>2.1005335917E-2</v>
      </c>
      <c r="E40">
        <v>85.529634555903428</v>
      </c>
      <c r="F40">
        <v>6.4027235730000007E-3</v>
      </c>
      <c r="G40">
        <v>85.530396289531041</v>
      </c>
      <c r="H40">
        <v>6.3801434720000003E-3</v>
      </c>
      <c r="I40">
        <v>2.597706986463777E-3</v>
      </c>
      <c r="J40">
        <v>7.6173362761267072E-4</v>
      </c>
    </row>
    <row r="41" spans="1:11" x14ac:dyDescent="0.2">
      <c r="A41" t="s">
        <v>5</v>
      </c>
      <c r="B41">
        <v>10</v>
      </c>
      <c r="C41">
        <v>138.21423030181253</v>
      </c>
      <c r="D41">
        <v>1.8483077607999998E-2</v>
      </c>
      <c r="E41">
        <v>138.21682800879901</v>
      </c>
      <c r="F41">
        <v>6.1921793880000001E-3</v>
      </c>
      <c r="G41">
        <v>138.21745302100626</v>
      </c>
      <c r="H41">
        <v>5.0778208900000002E-3</v>
      </c>
      <c r="I41">
        <v>2.5977069864779878E-3</v>
      </c>
      <c r="J41">
        <v>6.2501220725152962E-4</v>
      </c>
    </row>
    <row r="42" spans="1:11" x14ac:dyDescent="0.2">
      <c r="A42" t="s">
        <v>5</v>
      </c>
      <c r="B42">
        <v>11</v>
      </c>
      <c r="C42">
        <v>138.21423030181253</v>
      </c>
      <c r="D42">
        <v>1.8483077607999998E-2</v>
      </c>
      <c r="E42">
        <v>138.21682800879901</v>
      </c>
      <c r="F42">
        <v>6.1921793880000001E-3</v>
      </c>
      <c r="G42">
        <v>138.21745302100626</v>
      </c>
      <c r="H42">
        <v>5.0778208900000002E-3</v>
      </c>
      <c r="I42">
        <v>2.5977069864779878E-3</v>
      </c>
      <c r="J42">
        <v>6.2501220725152962E-4</v>
      </c>
    </row>
    <row r="43" spans="1:11" x14ac:dyDescent="0.2">
      <c r="A43" t="s">
        <v>2</v>
      </c>
    </row>
    <row r="44" spans="1:11" x14ac:dyDescent="0.2">
      <c r="A44" t="s">
        <v>6</v>
      </c>
      <c r="B44">
        <v>1</v>
      </c>
      <c r="C44">
        <v>39.638895356001093</v>
      </c>
      <c r="D44">
        <v>2.3322542498000001E-2</v>
      </c>
      <c r="E44">
        <v>39.641493062987557</v>
      </c>
      <c r="F44">
        <v>7.4536136789999999E-3</v>
      </c>
      <c r="G44">
        <v>39.642176670089263</v>
      </c>
      <c r="H44">
        <v>5.3048424459999997E-3</v>
      </c>
      <c r="I44">
        <v>2.597706986463777E-3</v>
      </c>
      <c r="J44">
        <v>6.8360710170622951E-4</v>
      </c>
      <c r="K44">
        <f>AVERAGE(I44:I49)</f>
        <v>2.5716648111675511E-3</v>
      </c>
    </row>
    <row r="45" spans="1:11" x14ac:dyDescent="0.2">
      <c r="A45" t="s">
        <v>6</v>
      </c>
      <c r="B45">
        <v>2</v>
      </c>
      <c r="C45">
        <v>50.317660718545284</v>
      </c>
      <c r="D45">
        <v>2.0769770538999997E-2</v>
      </c>
      <c r="E45">
        <v>50.320258425531755</v>
      </c>
      <c r="F45">
        <v>6.6535457760000007E-3</v>
      </c>
      <c r="G45">
        <v>50.320922501001974</v>
      </c>
      <c r="H45">
        <v>6.0713453340000001E-3</v>
      </c>
      <c r="I45">
        <v>2.5977069864708824E-3</v>
      </c>
      <c r="J45">
        <v>6.6407547021896107E-4</v>
      </c>
    </row>
    <row r="46" spans="1:11" x14ac:dyDescent="0.2">
      <c r="A46" t="s">
        <v>6</v>
      </c>
      <c r="B46">
        <v>3</v>
      </c>
      <c r="C46">
        <v>115.04091954222153</v>
      </c>
      <c r="D46">
        <v>1.7625644042999999E-2</v>
      </c>
      <c r="E46">
        <v>115.04347818594505</v>
      </c>
      <c r="F46">
        <v>6.0743966990000004E-3</v>
      </c>
      <c r="G46">
        <v>115.04410319815231</v>
      </c>
      <c r="H46">
        <v>4.5615299320000005E-3</v>
      </c>
      <c r="I46">
        <v>2.5586437235176618E-3</v>
      </c>
      <c r="J46">
        <v>6.2501220726574047E-4</v>
      </c>
    </row>
    <row r="47" spans="1:11" x14ac:dyDescent="0.2">
      <c r="A47" t="s">
        <v>6</v>
      </c>
      <c r="B47">
        <v>4</v>
      </c>
      <c r="C47">
        <v>142.21023172401999</v>
      </c>
      <c r="D47">
        <v>1.5953496022999999E-2</v>
      </c>
      <c r="E47">
        <v>142.21279036774351</v>
      </c>
      <c r="F47">
        <v>5.0753797979999999E-3</v>
      </c>
      <c r="G47">
        <v>142.21339584831929</v>
      </c>
      <c r="H47">
        <v>4.9167088179999999E-3</v>
      </c>
      <c r="I47">
        <v>2.5586437235176618E-3</v>
      </c>
      <c r="J47">
        <v>6.0548057578557746E-4</v>
      </c>
    </row>
    <row r="48" spans="1:11" x14ac:dyDescent="0.2">
      <c r="A48" t="s">
        <v>6</v>
      </c>
      <c r="B48">
        <v>5</v>
      </c>
      <c r="C48">
        <v>152.7269465554796</v>
      </c>
      <c r="D48">
        <v>1.4767735584E-2</v>
      </c>
      <c r="E48">
        <v>152.72946613594016</v>
      </c>
      <c r="F48">
        <v>4.723252277E-3</v>
      </c>
      <c r="G48">
        <v>152.73003255325298</v>
      </c>
      <c r="H48">
        <v>4.5310162820000003E-3</v>
      </c>
      <c r="I48">
        <v>2.5195804605573358E-3</v>
      </c>
      <c r="J48">
        <v>5.6641731282525143E-4</v>
      </c>
    </row>
    <row r="49" spans="1:11" x14ac:dyDescent="0.2">
      <c r="A49" t="s">
        <v>6</v>
      </c>
      <c r="B49">
        <v>6</v>
      </c>
      <c r="C49">
        <v>165.34360883506318</v>
      </c>
      <c r="D49">
        <v>2.2642088102999999E-2</v>
      </c>
      <c r="E49">
        <v>165.34620654204966</v>
      </c>
      <c r="F49">
        <v>7.7813302800000001E-3</v>
      </c>
      <c r="G49">
        <v>165.34690968078283</v>
      </c>
      <c r="H49">
        <v>6.1201671740000003E-3</v>
      </c>
      <c r="I49">
        <v>2.5977069864779878E-3</v>
      </c>
      <c r="J49">
        <v>7.0313873317218167E-4</v>
      </c>
    </row>
    <row r="50" spans="1:11" x14ac:dyDescent="0.2">
      <c r="A50" t="s">
        <v>2</v>
      </c>
    </row>
    <row r="51" spans="1:11" x14ac:dyDescent="0.2">
      <c r="A51" t="s">
        <v>8</v>
      </c>
      <c r="B51">
        <v>1</v>
      </c>
      <c r="C51">
        <v>11.621796481612922</v>
      </c>
      <c r="D51">
        <v>1.8004013302999999E-2</v>
      </c>
      <c r="E51">
        <v>11.624413720230864</v>
      </c>
      <c r="F51">
        <v>7.4578855899999994E-3</v>
      </c>
      <c r="G51">
        <v>11.625038732438133</v>
      </c>
      <c r="H51">
        <v>6.5784821969999997E-3</v>
      </c>
      <c r="I51">
        <v>2.6172386179421636E-3</v>
      </c>
      <c r="J51">
        <v>6.2501220726929319E-4</v>
      </c>
      <c r="K51">
        <f>AVERAGE(I52:I55)</f>
        <v>2.5879411707254727E-3</v>
      </c>
    </row>
    <row r="52" spans="1:11" x14ac:dyDescent="0.2">
      <c r="A52" t="s">
        <v>8</v>
      </c>
      <c r="B52">
        <v>2</v>
      </c>
      <c r="C52">
        <v>24.269325110174027</v>
      </c>
      <c r="D52">
        <v>1.7806895124000001E-2</v>
      </c>
      <c r="E52">
        <v>24.27192281716049</v>
      </c>
      <c r="F52">
        <v>6.6437814079999997E-3</v>
      </c>
      <c r="G52">
        <v>24.272528297736283</v>
      </c>
      <c r="H52">
        <v>6.8415098600000009E-3</v>
      </c>
      <c r="I52">
        <v>2.597706986463777E-3</v>
      </c>
      <c r="J52">
        <v>6.0548057579268288E-4</v>
      </c>
    </row>
    <row r="53" spans="1:11" x14ac:dyDescent="0.2">
      <c r="A53" t="s">
        <v>8</v>
      </c>
      <c r="B53">
        <v>3</v>
      </c>
      <c r="C53">
        <v>32.41355313364128</v>
      </c>
      <c r="D53">
        <v>2.4153734324E-2</v>
      </c>
      <c r="E53">
        <v>32.41611177736479</v>
      </c>
      <c r="F53">
        <v>7.501825246E-3</v>
      </c>
      <c r="G53">
        <v>32.416893042623876</v>
      </c>
      <c r="H53">
        <v>5.4165224050000006E-3</v>
      </c>
      <c r="I53">
        <v>2.5586437235105598E-3</v>
      </c>
      <c r="J53">
        <v>7.812652590857283E-4</v>
      </c>
    </row>
    <row r="54" spans="1:11" x14ac:dyDescent="0.2">
      <c r="A54" t="s">
        <v>8</v>
      </c>
      <c r="B54">
        <v>4</v>
      </c>
      <c r="C54">
        <v>58.188985575202636</v>
      </c>
      <c r="D54">
        <v>2.1804793547E-2</v>
      </c>
      <c r="E54">
        <v>58.1915832821891</v>
      </c>
      <c r="F54">
        <v>8.8572415790000008E-3</v>
      </c>
      <c r="G54">
        <v>58.19230595255376</v>
      </c>
      <c r="H54">
        <v>7.2015709299999998E-3</v>
      </c>
      <c r="I54">
        <v>2.597706986463777E-3</v>
      </c>
      <c r="J54">
        <v>7.2267036465945012E-4</v>
      </c>
    </row>
    <row r="55" spans="1:11" x14ac:dyDescent="0.2">
      <c r="A55" t="s">
        <v>8</v>
      </c>
      <c r="B55">
        <v>5</v>
      </c>
      <c r="C55">
        <v>74.953118743852414</v>
      </c>
      <c r="D55">
        <v>2.5957701311999998E-2</v>
      </c>
      <c r="E55">
        <v>74.955716450838878</v>
      </c>
      <c r="F55">
        <v>1.1003571720000001E-2</v>
      </c>
      <c r="G55">
        <v>74.956497716097971</v>
      </c>
      <c r="H55">
        <v>8.9768550869999998E-3</v>
      </c>
      <c r="I55">
        <v>2.597706986463777E-3</v>
      </c>
      <c r="J55">
        <v>7.8126525909283373E-4</v>
      </c>
    </row>
    <row r="56" spans="1:11" x14ac:dyDescent="0.2">
      <c r="A56" t="s">
        <v>8</v>
      </c>
      <c r="B56">
        <v>6</v>
      </c>
      <c r="C56">
        <v>74.953118743852414</v>
      </c>
      <c r="D56">
        <v>2.5957701311999998E-2</v>
      </c>
      <c r="E56">
        <v>74.955716450838878</v>
      </c>
      <c r="F56">
        <v>1.1003571720000001E-2</v>
      </c>
      <c r="G56">
        <v>74.956497716097971</v>
      </c>
      <c r="H56">
        <v>8.9768550869999998E-3</v>
      </c>
      <c r="I56">
        <v>2.597706986463777E-3</v>
      </c>
      <c r="J56">
        <v>7.8126525909283373E-4</v>
      </c>
    </row>
    <row r="57" spans="1:11" x14ac:dyDescent="0.2">
      <c r="A57" t="s">
        <v>8</v>
      </c>
      <c r="B57">
        <v>7</v>
      </c>
      <c r="C57">
        <v>100.22694700453329</v>
      </c>
      <c r="D57">
        <v>2.1854835933E-2</v>
      </c>
      <c r="E57">
        <v>100.22960330641419</v>
      </c>
      <c r="F57">
        <v>8.3446122589999998E-3</v>
      </c>
      <c r="G57">
        <v>100.23032597677884</v>
      </c>
      <c r="H57">
        <v>7.5244053469999995E-3</v>
      </c>
      <c r="I57">
        <v>2.656301880904266E-3</v>
      </c>
      <c r="J57">
        <v>7.2267036465234469E-4</v>
      </c>
    </row>
    <row r="58" spans="1:11" x14ac:dyDescent="0.2">
      <c r="A58" t="s">
        <v>8</v>
      </c>
      <c r="B58">
        <v>8</v>
      </c>
      <c r="C58">
        <v>143.68771819365222</v>
      </c>
      <c r="D58">
        <v>1.5677042353999998E-2</v>
      </c>
      <c r="E58">
        <v>143.69033543227016</v>
      </c>
      <c r="F58">
        <v>5.4970784410000003E-3</v>
      </c>
      <c r="G58">
        <v>143.69086278632005</v>
      </c>
      <c r="H58">
        <v>4.6683277070000001E-3</v>
      </c>
      <c r="I58">
        <v>2.61723861794394E-3</v>
      </c>
      <c r="J58">
        <v>5.2735404989334711E-4</v>
      </c>
    </row>
    <row r="59" spans="1:11" x14ac:dyDescent="0.2">
      <c r="A59" t="s">
        <v>2</v>
      </c>
    </row>
    <row r="60" spans="1:11" x14ac:dyDescent="0.2">
      <c r="A60" t="s">
        <v>9</v>
      </c>
      <c r="B60">
        <v>1</v>
      </c>
      <c r="C60">
        <v>57.000747477814024</v>
      </c>
      <c r="D60">
        <v>2.1608895914E-2</v>
      </c>
      <c r="E60">
        <v>57.003599096009694</v>
      </c>
      <c r="F60">
        <v>5.1443406470000003E-3</v>
      </c>
      <c r="G60">
        <v>57.00422410821696</v>
      </c>
      <c r="H60">
        <v>4.6127928640000001E-3</v>
      </c>
      <c r="I60">
        <v>2.851618195670369E-3</v>
      </c>
      <c r="J60">
        <v>6.2501220726574047E-4</v>
      </c>
      <c r="K60">
        <f>AVERAGE(I64:I68)</f>
        <v>2.7266157542214843E-3</v>
      </c>
    </row>
    <row r="61" spans="1:11" x14ac:dyDescent="0.2">
      <c r="A61" t="s">
        <v>9</v>
      </c>
      <c r="B61">
        <v>2</v>
      </c>
      <c r="C61">
        <v>66.91588847451122</v>
      </c>
      <c r="D61">
        <v>2.2545054695999999E-2</v>
      </c>
      <c r="E61">
        <v>66.91883775086427</v>
      </c>
      <c r="F61">
        <v>7.5421032640000003E-3</v>
      </c>
      <c r="G61">
        <v>66.919501826334496</v>
      </c>
      <c r="H61">
        <v>5.7942813920000003E-3</v>
      </c>
      <c r="I61">
        <v>2.9492763530498678E-3</v>
      </c>
      <c r="J61">
        <v>6.640754702260665E-4</v>
      </c>
    </row>
    <row r="62" spans="1:11" x14ac:dyDescent="0.2">
      <c r="A62" t="s">
        <v>9</v>
      </c>
      <c r="B62">
        <v>3</v>
      </c>
      <c r="C62">
        <v>95.942758234494818</v>
      </c>
      <c r="D62">
        <v>2.2386993988999997E-2</v>
      </c>
      <c r="E62">
        <v>95.945844232268215</v>
      </c>
      <c r="F62">
        <v>8.0712099550000003E-3</v>
      </c>
      <c r="G62">
        <v>95.946508307738426</v>
      </c>
      <c r="H62">
        <v>7.6464599470000005E-3</v>
      </c>
      <c r="I62">
        <v>3.085997773396798E-3</v>
      </c>
      <c r="J62">
        <v>6.6407547021185565E-4</v>
      </c>
    </row>
    <row r="63" spans="1:11" x14ac:dyDescent="0.2">
      <c r="A63" t="s">
        <v>9</v>
      </c>
      <c r="B63">
        <v>4</v>
      </c>
      <c r="C63">
        <v>95.942758234494818</v>
      </c>
      <c r="D63">
        <v>2.2386993988999997E-2</v>
      </c>
      <c r="E63">
        <v>95.945844232268215</v>
      </c>
      <c r="F63">
        <v>8.0712099550000003E-3</v>
      </c>
      <c r="G63">
        <v>95.946508307738426</v>
      </c>
      <c r="H63">
        <v>7.6464599470000005E-3</v>
      </c>
      <c r="I63">
        <v>3.085997773396798E-3</v>
      </c>
      <c r="J63">
        <v>6.6407547021185565E-4</v>
      </c>
    </row>
    <row r="64" spans="1:11" x14ac:dyDescent="0.2">
      <c r="A64" t="s">
        <v>9</v>
      </c>
      <c r="B64">
        <v>5</v>
      </c>
      <c r="C64">
        <v>189.6220877700033</v>
      </c>
      <c r="D64">
        <v>1.5848529066999999E-2</v>
      </c>
      <c r="E64">
        <v>189.62482219841013</v>
      </c>
      <c r="F64">
        <v>4.3369494680000004E-3</v>
      </c>
      <c r="G64">
        <v>189.62546674224888</v>
      </c>
      <c r="H64">
        <v>4.8910773520000001E-3</v>
      </c>
      <c r="I64">
        <v>2.7344284068249181E-3</v>
      </c>
      <c r="J64">
        <v>6.4454383874590349E-4</v>
      </c>
    </row>
    <row r="65" spans="1:10" x14ac:dyDescent="0.2">
      <c r="A65" t="s">
        <v>9</v>
      </c>
      <c r="B65">
        <v>6</v>
      </c>
      <c r="C65">
        <v>199.42922483737962</v>
      </c>
      <c r="D65">
        <v>1.5089959728000001E-2</v>
      </c>
      <c r="E65">
        <v>199.43192020252349</v>
      </c>
      <c r="F65">
        <v>3.9671240300000006E-3</v>
      </c>
      <c r="G65">
        <v>199.43256474636223</v>
      </c>
      <c r="H65">
        <v>6.5851952000000004E-3</v>
      </c>
      <c r="I65">
        <v>2.695365143864592E-3</v>
      </c>
      <c r="J65">
        <v>6.4454383874590349E-4</v>
      </c>
    </row>
    <row r="66" spans="1:10" x14ac:dyDescent="0.2">
      <c r="A66" t="s">
        <v>9</v>
      </c>
      <c r="B66">
        <v>7</v>
      </c>
      <c r="C66">
        <v>199.42922483737962</v>
      </c>
      <c r="D66">
        <v>1.5089959728000001E-2</v>
      </c>
      <c r="E66">
        <v>199.43192020252349</v>
      </c>
      <c r="F66">
        <v>3.9671240300000006E-3</v>
      </c>
      <c r="G66">
        <v>199.43256474636223</v>
      </c>
      <c r="H66">
        <v>6.5851952000000004E-3</v>
      </c>
      <c r="I66">
        <v>2.695365143864592E-3</v>
      </c>
      <c r="J66">
        <v>6.4454383874590349E-4</v>
      </c>
    </row>
    <row r="67" spans="1:10" x14ac:dyDescent="0.2">
      <c r="A67" t="s">
        <v>9</v>
      </c>
      <c r="B67">
        <v>8</v>
      </c>
      <c r="C67">
        <v>208.22203634320203</v>
      </c>
      <c r="D67">
        <v>1.6173194302999998E-2</v>
      </c>
      <c r="E67">
        <v>208.2247903032403</v>
      </c>
      <c r="F67">
        <v>5.0466969670000007E-3</v>
      </c>
      <c r="G67">
        <v>208.22551297360496</v>
      </c>
      <c r="H67">
        <v>5.0058086760000004E-3</v>
      </c>
      <c r="I67">
        <v>2.7539600382624485E-3</v>
      </c>
      <c r="J67">
        <v>7.2267036466655554E-4</v>
      </c>
    </row>
    <row r="68" spans="1:10" x14ac:dyDescent="0.2">
      <c r="A68" t="s">
        <v>9</v>
      </c>
      <c r="B68">
        <v>9</v>
      </c>
      <c r="C68">
        <v>223.90262576435478</v>
      </c>
      <c r="D68">
        <v>1.4258157629E-2</v>
      </c>
      <c r="E68">
        <v>223.90537972439307</v>
      </c>
      <c r="F68">
        <v>5.8272361339999999E-3</v>
      </c>
      <c r="G68">
        <v>223.90598520496886</v>
      </c>
      <c r="H68">
        <v>5.5849577530000007E-3</v>
      </c>
      <c r="I68">
        <v>2.7539600382908702E-3</v>
      </c>
      <c r="J68">
        <v>6.0548057578557746E-4</v>
      </c>
    </row>
    <row r="69" spans="1:10" x14ac:dyDescent="0.2">
      <c r="A6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2025-09-16T21:34:28Z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2025-09-16T17:21:38Z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0266905c-cc48-459a-a818-fee84532ef6f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