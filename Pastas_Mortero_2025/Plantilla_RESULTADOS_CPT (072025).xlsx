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uan Pablo V\OneDrive - Universidad San Francisco de Quito\USFQ 2021\Investigaciones\Pastas_Mortero\"/>
    </mc:Choice>
  </mc:AlternateContent>
  <xr:revisionPtr revIDLastSave="0" documentId="13_ncr:1_{EDF44E96-3F56-4EB1-8F46-930AE9D6793D}" xr6:coauthVersionLast="36" xr6:coauthVersionMax="47" xr10:uidLastSave="{00000000-0000-0000-0000-000000000000}"/>
  <bookViews>
    <workbookView xWindow="-108" yWindow="-108" windowWidth="23256" windowHeight="13176" xr2:uid="{6AC846BB-F0A6-40EE-9D25-7222205E4360}"/>
  </bookViews>
  <sheets>
    <sheet name="C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W17" i="1" l="1"/>
  <c r="X17" i="1" s="1"/>
  <c r="O17" i="1"/>
  <c r="P17" i="1"/>
  <c r="W16" i="1"/>
  <c r="W15" i="1"/>
  <c r="W14" i="1"/>
  <c r="W13" i="1"/>
  <c r="W12" i="1"/>
  <c r="W11" i="1"/>
  <c r="W10" i="1"/>
  <c r="W9" i="1"/>
  <c r="W8" i="1"/>
  <c r="O16" i="1"/>
  <c r="O15" i="1"/>
  <c r="O14" i="1"/>
  <c r="O13" i="1"/>
  <c r="O12" i="1"/>
  <c r="O11" i="1"/>
  <c r="O10" i="1"/>
  <c r="O9" i="1"/>
  <c r="O8" i="1"/>
  <c r="G9" i="1"/>
  <c r="G11" i="1"/>
  <c r="G12" i="1"/>
  <c r="G13" i="1"/>
  <c r="G14" i="1"/>
  <c r="G15" i="1"/>
  <c r="G16" i="1"/>
  <c r="G8" i="1"/>
  <c r="D2" i="1"/>
  <c r="F2" i="1" s="1"/>
  <c r="F1" i="1" l="1"/>
  <c r="H1" i="1" s="1"/>
  <c r="H2" i="1"/>
  <c r="H3" i="1" l="1"/>
  <c r="X13" i="1" s="1"/>
  <c r="P13" i="1"/>
  <c r="H13" i="1"/>
  <c r="P11" i="1"/>
  <c r="P10" i="1"/>
  <c r="P8" i="1" l="1"/>
  <c r="X12" i="1"/>
  <c r="X8" i="1"/>
  <c r="X15" i="1"/>
  <c r="X14" i="1"/>
  <c r="H10" i="1"/>
  <c r="H15" i="1"/>
  <c r="P15" i="1"/>
  <c r="P16" i="1"/>
  <c r="M3" i="1"/>
  <c r="M1" i="1"/>
  <c r="M2" i="1"/>
  <c r="X11" i="1"/>
  <c r="H9" i="1"/>
  <c r="X10" i="1"/>
  <c r="H11" i="1"/>
  <c r="P9" i="1"/>
  <c r="H8" i="1"/>
  <c r="X16" i="1"/>
  <c r="H16" i="1"/>
  <c r="X9" i="1"/>
  <c r="P14" i="1"/>
  <c r="P12" i="1"/>
  <c r="H14" i="1"/>
  <c r="H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Irene PH</author>
  </authors>
  <commentList>
    <comment ref="H3" authorId="0" shapeId="0" xr:uid="{00E52EF0-CCDE-4739-A592-B366877052B0}">
      <text>
        <r>
          <rPr>
            <b/>
            <sz val="9"/>
            <color indexed="81"/>
            <rFont val="Tahoma"/>
            <family val="2"/>
          </rPr>
          <t>Irene PH:</t>
        </r>
        <r>
          <rPr>
            <sz val="9"/>
            <color indexed="81"/>
            <rFont val="Tahoma"/>
            <family val="2"/>
          </rPr>
          <t xml:space="preserve">
τ0=C*F/h^2 (kPa)</t>
        </r>
      </text>
    </comment>
  </commentList>
</comments>
</file>

<file path=xl/sharedStrings.xml><?xml version="1.0" encoding="utf-8"?>
<sst xmlns="http://schemas.openxmlformats.org/spreadsheetml/2006/main" count="74" uniqueCount="30">
  <si>
    <t>Tiempo</t>
  </si>
  <si>
    <t>min</t>
  </si>
  <si>
    <t>mm</t>
  </si>
  <si>
    <r>
      <t>h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</si>
  <si>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</si>
  <si>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 xml:space="preserve">3 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</si>
  <si>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</si>
  <si>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 xml:space="preserve">5 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</si>
  <si>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m</t>
    </r>
  </si>
  <si>
    <t>Punta</t>
  </si>
  <si>
    <t>g</t>
  </si>
  <si>
    <t>Angulo</t>
  </si>
  <si>
    <t>π</t>
  </si>
  <si>
    <t>tan (θ/2)</t>
  </si>
  <si>
    <r>
      <t>cos (</t>
    </r>
    <r>
      <rPr>
        <sz val="10"/>
        <color theme="1"/>
        <rFont val="Aptos Narrow"/>
        <family val="2"/>
      </rPr>
      <t>θ/2)</t>
    </r>
  </si>
  <si>
    <r>
      <t>m/s</t>
    </r>
    <r>
      <rPr>
        <vertAlign val="superscript"/>
        <sz val="10"/>
        <color theme="1"/>
        <rFont val="Aptos Narrow"/>
        <family val="2"/>
        <scheme val="minor"/>
      </rPr>
      <t>2</t>
    </r>
  </si>
  <si>
    <r>
      <rPr>
        <sz val="11"/>
        <color theme="1"/>
        <rFont val="Aptos Narrow"/>
        <family val="2"/>
      </rPr>
      <t>τ</t>
    </r>
    <r>
      <rPr>
        <vertAlign val="subscript"/>
        <sz val="11"/>
        <color theme="1"/>
        <rFont val="Aptos Narrow"/>
        <family val="2"/>
      </rPr>
      <t>0</t>
    </r>
  </si>
  <si>
    <t>kPa</t>
  </si>
  <si>
    <t>C</t>
  </si>
  <si>
    <t xml:space="preserve">F </t>
  </si>
  <si>
    <t>C*F</t>
  </si>
  <si>
    <t>Lim inf</t>
  </si>
  <si>
    <t>Lim sup</t>
  </si>
  <si>
    <t>Lim CPT</t>
  </si>
  <si>
    <r>
      <t>h</t>
    </r>
    <r>
      <rPr>
        <vertAlign val="subscript"/>
        <sz val="11"/>
        <color theme="1"/>
        <rFont val="Aptos Narrow"/>
        <family val="2"/>
        <scheme val="minor"/>
      </rPr>
      <t>lim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</si>
  <si>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min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</si>
  <si>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max</t>
    </r>
  </si>
  <si>
    <t>REF 0.35</t>
  </si>
  <si>
    <t>REF 0.30</t>
  </si>
  <si>
    <t>REF 0.40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</si>
</sst>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vertAlign val="superscript"/>
      <sz val="10"/>
      <color theme="1"/>
      <name val="Aptos Narrow"/>
      <family val="2"/>
      <scheme val="minor"/>
    </font>
    <font>
      <vertAlign val="subscript"/>
      <sz val="11"/>
      <color theme="1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/>
    <xf numFmtId="0" fontId="6" fillId="0" borderId="0" xfId="0" applyFont="1"/>
    <xf numFmtId="0" fontId="1" fillId="4" borderId="7" xfId="0" applyFont="1" applyFill="1" applyBorder="1"/>
    <xf numFmtId="0" fontId="0" fillId="0" borderId="4" xfId="0" applyBorder="1"/>
    <xf numFmtId="2" fontId="1" fillId="3" borderId="7" xfId="0" applyNumberFormat="1" applyFont="1" applyFill="1" applyBorder="1"/>
    <xf numFmtId="2" fontId="1" fillId="2" borderId="6" xfId="0" applyNumberFormat="1" applyFont="1" applyFill="1" applyBorder="1"/>
    <xf numFmtId="0" fontId="3" fillId="3" borderId="8" xfId="0" applyFont="1" applyFill="1" applyBorder="1"/>
    <xf numFmtId="0" fontId="3" fillId="4" borderId="8" xfId="0" applyFont="1" applyFill="1" applyBorder="1"/>
    <xf numFmtId="0" fontId="3" fillId="2" borderId="9" xfId="0" applyFont="1" applyFill="1" applyBorder="1"/>
    <xf numFmtId="0" fontId="2" fillId="0" borderId="4" xfId="0" applyFont="1" applyBorder="1" applyAlignment="1">
      <alignment horizontal="right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6" fillId="0" borderId="15" xfId="0" applyFont="1" applyBorder="1"/>
    <xf numFmtId="2" fontId="2" fillId="0" borderId="14" xfId="0" applyNumberFormat="1" applyFont="1" applyBorder="1"/>
    <xf numFmtId="0" fontId="2" fillId="0" borderId="12" xfId="0" applyFont="1" applyBorder="1" applyAlignment="1">
      <alignment horizontal="right"/>
    </xf>
    <xf numFmtId="0" fontId="2" fillId="0" borderId="17" xfId="0" applyFont="1" applyBorder="1" applyAlignment="1">
      <alignment horizontal="right"/>
    </xf>
    <xf numFmtId="0" fontId="0" fillId="0" borderId="18" xfId="0" applyBorder="1"/>
    <xf numFmtId="0" fontId="0" fillId="0" borderId="20" xfId="0" applyBorder="1"/>
    <xf numFmtId="0" fontId="2" fillId="0" borderId="2" xfId="0" applyFont="1" applyBorder="1"/>
    <xf numFmtId="0" fontId="2" fillId="0" borderId="3" xfId="0" applyFont="1" applyBorder="1"/>
    <xf numFmtId="0" fontId="0" fillId="0" borderId="22" xfId="0" applyBorder="1"/>
    <xf numFmtId="0" fontId="0" fillId="0" borderId="24" xfId="0" applyBorder="1"/>
    <xf numFmtId="0" fontId="0" fillId="0" borderId="8" xfId="0" applyBorder="1"/>
    <xf numFmtId="0" fontId="0" fillId="0" borderId="26" xfId="0" applyBorder="1"/>
    <xf numFmtId="2" fontId="0" fillId="5" borderId="19" xfId="0" applyNumberFormat="1" applyFill="1" applyBorder="1"/>
    <xf numFmtId="2" fontId="0" fillId="5" borderId="27" xfId="0" applyNumberFormat="1" applyFill="1" applyBorder="1"/>
    <xf numFmtId="2" fontId="0" fillId="5" borderId="21" xfId="0" applyNumberFormat="1" applyFill="1" applyBorder="1"/>
    <xf numFmtId="0" fontId="5" fillId="5" borderId="19" xfId="0" applyFont="1" applyFill="1" applyBorder="1"/>
    <xf numFmtId="0" fontId="0" fillId="5" borderId="21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" fontId="0" fillId="0" borderId="10" xfId="0" applyNumberFormat="1" applyBorder="1" applyAlignment="1">
      <alignment horizontal="left"/>
    </xf>
    <xf numFmtId="1" fontId="0" fillId="0" borderId="13" xfId="0" applyNumberFormat="1" applyBorder="1" applyAlignment="1">
      <alignment horizontal="left"/>
    </xf>
    <xf numFmtId="1" fontId="0" fillId="0" borderId="15" xfId="0" applyNumberFormat="1" applyBorder="1" applyAlignment="1">
      <alignment horizontal="left"/>
    </xf>
    <xf numFmtId="2" fontId="0" fillId="5" borderId="20" xfId="0" applyNumberFormat="1" applyFill="1" applyBorder="1"/>
    <xf numFmtId="2" fontId="0" fillId="5" borderId="0" xfId="0" applyNumberFormat="1" applyFill="1" applyBorder="1"/>
    <xf numFmtId="0" fontId="5" fillId="5" borderId="18" xfId="0" applyFont="1" applyFill="1" applyBorder="1"/>
    <xf numFmtId="0" fontId="0" fillId="5" borderId="20" xfId="0" applyFill="1" applyBorder="1"/>
    <xf numFmtId="2" fontId="0" fillId="5" borderId="18" xfId="0" applyNumberFormat="1" applyFill="1" applyBorder="1"/>
    <xf numFmtId="0" fontId="2" fillId="0" borderId="28" xfId="0" applyFont="1" applyBorder="1"/>
    <xf numFmtId="0" fontId="2" fillId="0" borderId="29" xfId="0" applyFont="1" applyBorder="1"/>
    <xf numFmtId="0" fontId="0" fillId="0" borderId="30" xfId="0" applyBorder="1"/>
    <xf numFmtId="0" fontId="0" fillId="0" borderId="29" xfId="0" applyFill="1" applyBorder="1"/>
    <xf numFmtId="0" fontId="0" fillId="0" borderId="20" xfId="0" applyFont="1" applyBorder="1"/>
    <xf numFmtId="0" fontId="0" fillId="0" borderId="22" xfId="0" applyFont="1" applyBorder="1"/>
    <xf numFmtId="0" fontId="0" fillId="0" borderId="2" xfId="0" applyFont="1" applyBorder="1"/>
    <xf numFmtId="0" fontId="0" fillId="0" borderId="18" xfId="0" applyFont="1" applyBorder="1"/>
    <xf numFmtId="0" fontId="0" fillId="0" borderId="8" xfId="0" applyFont="1" applyBorder="1"/>
    <xf numFmtId="0" fontId="0" fillId="0" borderId="1" xfId="0" applyFont="1" applyBorder="1"/>
    <xf numFmtId="0" fontId="0" fillId="0" borderId="0" xfId="0" applyFont="1" applyBorder="1"/>
    <xf numFmtId="0" fontId="0" fillId="0" borderId="23" xfId="0" applyFont="1" applyBorder="1"/>
    <xf numFmtId="0" fontId="0" fillId="0" borderId="3" xfId="0" applyFont="1" applyFill="1" applyBorder="1"/>
    <xf numFmtId="0" fontId="0" fillId="0" borderId="20" xfId="0" applyFont="1" applyFill="1" applyBorder="1"/>
    <xf numFmtId="14" fontId="0" fillId="7" borderId="5" xfId="0" applyNumberFormat="1" applyFill="1" applyBorder="1"/>
    <xf numFmtId="14" fontId="0" fillId="6" borderId="5" xfId="0" applyNumberFormat="1" applyFill="1" applyBorder="1"/>
    <xf numFmtId="0" fontId="0" fillId="0" borderId="0" xfId="0" applyFont="1"/>
    <xf numFmtId="0" fontId="0" fillId="0" borderId="3" xfId="0" applyFont="1" applyBorder="1"/>
    <xf numFmtId="14" fontId="0" fillId="8" borderId="5" xfId="0" applyNumberFormat="1" applyFill="1" applyBorder="1"/>
    <xf numFmtId="0" fontId="2" fillId="0" borderId="31" xfId="0" applyFont="1" applyBorder="1"/>
    <xf numFmtId="0" fontId="0" fillId="0" borderId="31" xfId="0" applyBorder="1"/>
    <xf numFmtId="0" fontId="0" fillId="0" borderId="32" xfId="0" applyBorder="1"/>
    <xf numFmtId="0" fontId="0" fillId="0" borderId="9" xfId="0" applyBorder="1"/>
    <xf numFmtId="0" fontId="0" fillId="0" borderId="33" xfId="0" applyBorder="1"/>
    <xf numFmtId="0" fontId="0" fillId="5" borderId="34" xfId="0" applyFill="1" applyBorder="1"/>
    <xf numFmtId="0" fontId="0" fillId="0" borderId="28" xfId="0" applyBorder="1"/>
    <xf numFmtId="2" fontId="0" fillId="0" borderId="26" xfId="0" applyNumberFormat="1" applyBorder="1"/>
    <xf numFmtId="2" fontId="0" fillId="0" borderId="25" xfId="0" applyNumberFormat="1" applyBorder="1"/>
    <xf numFmtId="2" fontId="0" fillId="0" borderId="24" xfId="0" applyNumberFormat="1" applyBorder="1"/>
    <xf numFmtId="164" fontId="0" fillId="0" borderId="26" xfId="0" applyNumberFormat="1" applyBorder="1"/>
    <xf numFmtId="164" fontId="0" fillId="0" borderId="25" xfId="0" applyNumberFormat="1" applyBorder="1"/>
    <xf numFmtId="164" fontId="0" fillId="0" borderId="24" xfId="0" applyNumberFormat="1" applyFill="1" applyBorder="1"/>
    <xf numFmtId="164" fontId="0" fillId="0" borderId="24" xfId="0" applyNumberFormat="1" applyBorder="1"/>
    <xf numFmtId="0" fontId="0" fillId="0" borderId="0" xfId="0" applyFont="1" applyFill="1" applyBorder="1"/>
    <xf numFmtId="0" fontId="0" fillId="7" borderId="2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7055555555554"/>
          <c:y val="0.13697777777777778"/>
          <c:w val="0.80491018518518498"/>
          <c:h val="0.70867055555555558"/>
        </c:manualLayout>
      </c:layout>
      <c:scatterChart>
        <c:scatterStyle val="lineMarker"/>
        <c:varyColors val="0"/>
        <c:ser>
          <c:idx val="0"/>
          <c:order val="0"/>
          <c:tx>
            <c:strRef>
              <c:f>CPT!$B$5</c:f>
              <c:strCache>
                <c:ptCount val="1"/>
                <c:pt idx="0">
                  <c:v>REF 0.30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CPT!$A$8:$A$16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60</c:v>
                </c:pt>
                <c:pt idx="7">
                  <c:v>90</c:v>
                </c:pt>
                <c:pt idx="8">
                  <c:v>120</c:v>
                </c:pt>
              </c:numCache>
            </c:numRef>
          </c:xVal>
          <c:yVal>
            <c:numRef>
              <c:f>CPT!$G$8:$G$16</c:f>
              <c:numCache>
                <c:formatCode>0.00</c:formatCode>
                <c:ptCount val="9"/>
                <c:pt idx="0">
                  <c:v>25.166666666666668</c:v>
                </c:pt>
                <c:pt idx="1">
                  <c:v>24.599999999999998</c:v>
                </c:pt>
                <c:pt idx="2">
                  <c:v>20.166666666666668</c:v>
                </c:pt>
                <c:pt idx="3">
                  <c:v>20.2</c:v>
                </c:pt>
                <c:pt idx="4">
                  <c:v>17.633333333333333</c:v>
                </c:pt>
                <c:pt idx="5">
                  <c:v>15.266666666666666</c:v>
                </c:pt>
                <c:pt idx="6">
                  <c:v>13.166666666666666</c:v>
                </c:pt>
                <c:pt idx="7">
                  <c:v>5.8999999999999995</c:v>
                </c:pt>
                <c:pt idx="8">
                  <c:v>3.9666666666666663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CF-474F-B91B-623736A4ADC7}"/>
            </c:ext>
          </c:extLst>
        </c:ser>
        <c:ser>
          <c:idx val="1"/>
          <c:order val="1"/>
          <c:tx>
            <c:strRef>
              <c:f>CPT!$J$5</c:f>
              <c:strCache>
                <c:ptCount val="1"/>
                <c:pt idx="0">
                  <c:v>REF 0.35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CPT!$I$8:$I$17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60</c:v>
                </c:pt>
                <c:pt idx="7">
                  <c:v>90</c:v>
                </c:pt>
                <c:pt idx="8">
                  <c:v>120</c:v>
                </c:pt>
                <c:pt idx="9">
                  <c:v>150</c:v>
                </c:pt>
              </c:numCache>
            </c:numRef>
          </c:xVal>
          <c:yVal>
            <c:numRef>
              <c:f>CPT!$O$8:$O$17</c:f>
              <c:numCache>
                <c:formatCode>0.0</c:formatCode>
                <c:ptCount val="10"/>
                <c:pt idx="0">
                  <c:v>39.700000000000003</c:v>
                </c:pt>
                <c:pt idx="1">
                  <c:v>39.700000000000003</c:v>
                </c:pt>
                <c:pt idx="2">
                  <c:v>39.700000000000003</c:v>
                </c:pt>
                <c:pt idx="3">
                  <c:v>39.700000000000003</c:v>
                </c:pt>
                <c:pt idx="4">
                  <c:v>36.5</c:v>
                </c:pt>
                <c:pt idx="5">
                  <c:v>34.799999999999997</c:v>
                </c:pt>
                <c:pt idx="6">
                  <c:v>29.633333333333336</c:v>
                </c:pt>
                <c:pt idx="7">
                  <c:v>23.400000000000002</c:v>
                </c:pt>
                <c:pt idx="8">
                  <c:v>15.633333333333333</c:v>
                </c:pt>
                <c:pt idx="9">
                  <c:v>11.799999999999999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CF-474F-B91B-623736A4ADC7}"/>
            </c:ext>
          </c:extLst>
        </c:ser>
        <c:ser>
          <c:idx val="2"/>
          <c:order val="2"/>
          <c:tx>
            <c:strRef>
              <c:f>CPT!$R$5</c:f>
              <c:strCache>
                <c:ptCount val="1"/>
                <c:pt idx="0">
                  <c:v>REF 0.40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CPT!$Q$8:$Q$17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60</c:v>
                </c:pt>
                <c:pt idx="7">
                  <c:v>90</c:v>
                </c:pt>
                <c:pt idx="8">
                  <c:v>120</c:v>
                </c:pt>
                <c:pt idx="9">
                  <c:v>150</c:v>
                </c:pt>
              </c:numCache>
            </c:numRef>
          </c:xVal>
          <c:yVal>
            <c:numRef>
              <c:f>CPT!$W$8:$W$17</c:f>
              <c:numCache>
                <c:formatCode>0.0</c:formatCode>
                <c:ptCount val="10"/>
                <c:pt idx="0">
                  <c:v>39.5</c:v>
                </c:pt>
                <c:pt idx="1">
                  <c:v>39.5</c:v>
                </c:pt>
                <c:pt idx="2">
                  <c:v>39.5</c:v>
                </c:pt>
                <c:pt idx="3">
                  <c:v>39.5</c:v>
                </c:pt>
                <c:pt idx="4">
                  <c:v>39.5</c:v>
                </c:pt>
                <c:pt idx="5">
                  <c:v>39.5</c:v>
                </c:pt>
                <c:pt idx="6">
                  <c:v>32.275000000000006</c:v>
                </c:pt>
                <c:pt idx="7">
                  <c:v>30.099999999999998</c:v>
                </c:pt>
                <c:pt idx="8">
                  <c:v>24.433333333333334</c:v>
                </c:pt>
                <c:pt idx="9">
                  <c:v>15.933333333333332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CF-474F-B91B-623736A4A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91424"/>
        <c:axId val="495488544"/>
      </c:scatterChart>
      <c:valAx>
        <c:axId val="49549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 b="1"/>
                  <a:t>Tiempo (min)</a:t>
                </a:r>
              </a:p>
            </c:rich>
          </c:tx>
          <c:layout>
            <c:manualLayout>
              <c:xMode val="edge"/>
              <c:yMode val="edge"/>
              <c:x val="0.43837740740740738"/>
              <c:y val="0.922071388888888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88544"/>
        <c:crosses val="autoZero"/>
        <c:crossBetween val="midCat"/>
        <c:majorUnit val="30"/>
      </c:valAx>
      <c:valAx>
        <c:axId val="49548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 b="1"/>
                  <a:t>Penetracion (mm)</a:t>
                </a:r>
              </a:p>
            </c:rich>
          </c:tx>
          <c:layout>
            <c:manualLayout>
              <c:xMode val="edge"/>
              <c:yMode val="edge"/>
              <c:x val="9.4074074074074077E-3"/>
              <c:y val="0.268489722222222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9142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47425925925925"/>
          <c:y val="0.13697777777777778"/>
          <c:w val="0.80020648148148144"/>
          <c:h val="0.70867055555555558"/>
        </c:manualLayout>
      </c:layout>
      <c:scatterChart>
        <c:scatterStyle val="lineMarker"/>
        <c:varyColors val="0"/>
        <c:ser>
          <c:idx val="0"/>
          <c:order val="0"/>
          <c:tx>
            <c:strRef>
              <c:f>CPT!$B$5</c:f>
              <c:strCache>
                <c:ptCount val="1"/>
                <c:pt idx="0">
                  <c:v>REF 0.30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CPT!$A$8:$A$16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60</c:v>
                </c:pt>
                <c:pt idx="7">
                  <c:v>90</c:v>
                </c:pt>
                <c:pt idx="8">
                  <c:v>120</c:v>
                </c:pt>
              </c:numCache>
            </c:numRef>
          </c:xVal>
          <c:yVal>
            <c:numRef>
              <c:f>CPT!$H$8:$H$16</c:f>
              <c:numCache>
                <c:formatCode>0.00</c:formatCode>
                <c:ptCount val="9"/>
                <c:pt idx="0">
                  <c:v>1.4073363526458511</c:v>
                </c:pt>
                <c:pt idx="1">
                  <c:v>1.4729197501798452</c:v>
                </c:pt>
                <c:pt idx="2">
                  <c:v>2.1916997593523702</c:v>
                </c:pt>
                <c:pt idx="3">
                  <c:v>2.1844723949094083</c:v>
                </c:pt>
                <c:pt idx="4">
                  <c:v>2.8666882423124256</c:v>
                </c:pt>
                <c:pt idx="5">
                  <c:v>3.824378370058501</c:v>
                </c:pt>
                <c:pt idx="6">
                  <c:v>5.1415920808649354</c:v>
                </c:pt>
                <c:pt idx="7">
                  <c:v>25.606208446389974</c:v>
                </c:pt>
                <c:pt idx="8">
                  <c:v>56.649735500102501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8F-48DD-93FA-E1AB28389105}"/>
            </c:ext>
          </c:extLst>
        </c:ser>
        <c:ser>
          <c:idx val="1"/>
          <c:order val="1"/>
          <c:tx>
            <c:strRef>
              <c:f>CPT!$J$5</c:f>
              <c:strCache>
                <c:ptCount val="1"/>
                <c:pt idx="0">
                  <c:v>REF 0.35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CPT!$I$8:$I$17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60</c:v>
                </c:pt>
                <c:pt idx="7">
                  <c:v>90</c:v>
                </c:pt>
                <c:pt idx="8">
                  <c:v>120</c:v>
                </c:pt>
                <c:pt idx="9">
                  <c:v>150</c:v>
                </c:pt>
              </c:numCache>
            </c:numRef>
          </c:xVal>
          <c:yVal>
            <c:numRef>
              <c:f>CPT!$P$8:$P$17</c:f>
              <c:numCache>
                <c:formatCode>0.00</c:formatCode>
                <c:ptCount val="10"/>
                <c:pt idx="0">
                  <c:v>0.56554645738430853</c:v>
                </c:pt>
                <c:pt idx="1">
                  <c:v>0.56554645738430853</c:v>
                </c:pt>
                <c:pt idx="2">
                  <c:v>0.56554645738430853</c:v>
                </c:pt>
                <c:pt idx="3">
                  <c:v>0.56554645738430853</c:v>
                </c:pt>
                <c:pt idx="4">
                  <c:v>0.66905769639244506</c:v>
                </c:pt>
                <c:pt idx="5">
                  <c:v>0.73602202736394762</c:v>
                </c:pt>
                <c:pt idx="6">
                  <c:v>1.0150519907948179</c:v>
                </c:pt>
                <c:pt idx="7">
                  <c:v>1.6278619987194733</c:v>
                </c:pt>
                <c:pt idx="8">
                  <c:v>3.64708700368225</c:v>
                </c:pt>
                <c:pt idx="9">
                  <c:v>6.4015521115974936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8F-48DD-93FA-E1AB28389105}"/>
            </c:ext>
          </c:extLst>
        </c:ser>
        <c:ser>
          <c:idx val="2"/>
          <c:order val="2"/>
          <c:tx>
            <c:strRef>
              <c:f>CPT!$R$5</c:f>
              <c:strCache>
                <c:ptCount val="1"/>
                <c:pt idx="0">
                  <c:v>REF 0.40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CPT!$Q$8:$Q$17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60</c:v>
                </c:pt>
                <c:pt idx="7">
                  <c:v>90</c:v>
                </c:pt>
                <c:pt idx="8">
                  <c:v>120</c:v>
                </c:pt>
                <c:pt idx="9">
                  <c:v>150</c:v>
                </c:pt>
              </c:numCache>
            </c:numRef>
          </c:xVal>
          <c:yVal>
            <c:numRef>
              <c:f>CPT!$X$8:$X$17</c:f>
              <c:numCache>
                <c:formatCode>0.00</c:formatCode>
                <c:ptCount val="10"/>
                <c:pt idx="0">
                  <c:v>0.57128800898499266</c:v>
                </c:pt>
                <c:pt idx="1">
                  <c:v>0.57128800898499266</c:v>
                </c:pt>
                <c:pt idx="2">
                  <c:v>0.57128800898499266</c:v>
                </c:pt>
                <c:pt idx="3">
                  <c:v>0.57128800898499266</c:v>
                </c:pt>
                <c:pt idx="4">
                  <c:v>0.57128800898499266</c:v>
                </c:pt>
                <c:pt idx="5">
                  <c:v>0.57128800898499266</c:v>
                </c:pt>
                <c:pt idx="6">
                  <c:v>0.85569067243829822</c:v>
                </c:pt>
                <c:pt idx="7">
                  <c:v>0.98382149867974411</c:v>
                </c:pt>
                <c:pt idx="8">
                  <c:v>1.4930826881193389</c:v>
                </c:pt>
                <c:pt idx="9">
                  <c:v>3.5110419303625267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8F-48DD-93FA-E1AB28389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91424"/>
        <c:axId val="495488544"/>
      </c:scatterChart>
      <c:valAx>
        <c:axId val="49549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 b="1"/>
                  <a:t>Tiempo (min)</a:t>
                </a:r>
              </a:p>
            </c:rich>
          </c:tx>
          <c:layout>
            <c:manualLayout>
              <c:xMode val="edge"/>
              <c:yMode val="edge"/>
              <c:x val="0.43837740740740738"/>
              <c:y val="0.922071388888888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88544"/>
        <c:crosses val="autoZero"/>
        <c:crossBetween val="midCat"/>
        <c:majorUnit val="30"/>
      </c:valAx>
      <c:valAx>
        <c:axId val="49548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/>
                  <a:t>τ</a:t>
                </a:r>
                <a:r>
                  <a:rPr lang="es-ES" sz="1400" b="1" baseline="-25000"/>
                  <a:t>0-CP</a:t>
                </a:r>
                <a:r>
                  <a:rPr lang="es-ES" sz="1400" b="1"/>
                  <a:t>T (kPa)</a:t>
                </a:r>
              </a:p>
            </c:rich>
          </c:tx>
          <c:layout>
            <c:manualLayout>
              <c:xMode val="edge"/>
              <c:yMode val="edge"/>
              <c:x val="9.4074074074074077E-3"/>
              <c:y val="0.377850833333333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9142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0</xdr:rowOff>
    </xdr:from>
    <xdr:to>
      <xdr:col>12</xdr:col>
      <xdr:colOff>12660</xdr:colOff>
      <xdr:row>38</xdr:row>
      <xdr:rowOff>125280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4284172-0BC3-43AC-9D90-F01E3385D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23</xdr:col>
      <xdr:colOff>473670</xdr:colOff>
      <xdr:row>38</xdr:row>
      <xdr:rowOff>125280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82DDBA3-A453-4B9F-9262-35BE4FB96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EF6F-9C93-4516-A42E-FF4987CDC52A}">
  <dimension ref="A1:X17"/>
  <sheetViews>
    <sheetView tabSelected="1" topLeftCell="A13" zoomScale="80" zoomScaleNormal="80" workbookViewId="0">
      <selection activeCell="Z20" sqref="Z20"/>
    </sheetView>
  </sheetViews>
  <sheetFormatPr defaultColWidth="11.19921875" defaultRowHeight="13.8"/>
  <cols>
    <col min="1" max="1" width="10.296875" bestFit="1" customWidth="1"/>
    <col min="2" max="7" width="6.796875" customWidth="1"/>
    <col min="8" max="8" width="8.796875" customWidth="1"/>
    <col min="9" max="9" width="10.296875" bestFit="1" customWidth="1"/>
    <col min="10" max="15" width="6.796875" customWidth="1"/>
    <col min="16" max="16" width="8.796875" customWidth="1"/>
    <col min="17" max="17" width="10.296875" bestFit="1" customWidth="1"/>
    <col min="18" max="23" width="6.796875" customWidth="1"/>
    <col min="24" max="24" width="8.796875" customWidth="1"/>
  </cols>
  <sheetData>
    <row r="1" spans="1:24" ht="16.8" thickBot="1">
      <c r="B1" s="14" t="s">
        <v>9</v>
      </c>
      <c r="C1" s="15">
        <v>80.42</v>
      </c>
      <c r="D1" s="24" t="s">
        <v>10</v>
      </c>
      <c r="E1" s="14" t="s">
        <v>14</v>
      </c>
      <c r="F1" s="16">
        <f>COS(D2/2)</f>
        <v>0.96592582628906387</v>
      </c>
      <c r="G1" s="10" t="s">
        <v>18</v>
      </c>
      <c r="H1" s="8">
        <f>(((F1*F1))/F3)/F2</f>
        <v>1.1083711962432663</v>
      </c>
      <c r="J1" s="39" t="s">
        <v>26</v>
      </c>
      <c r="K1" s="40">
        <v>21</v>
      </c>
      <c r="L1" s="41" t="s">
        <v>2</v>
      </c>
      <c r="M1" s="47">
        <f>$H$3/(K1^2)</f>
        <v>2.0212066122876076</v>
      </c>
      <c r="N1" s="41" t="s">
        <v>17</v>
      </c>
      <c r="O1" s="96" t="s">
        <v>21</v>
      </c>
      <c r="P1" s="97"/>
    </row>
    <row r="2" spans="1:24" ht="16.8" thickBot="1">
      <c r="B2" s="17" t="s">
        <v>11</v>
      </c>
      <c r="C2" s="13">
        <v>30</v>
      </c>
      <c r="D2" s="23">
        <f>C2*F3/180</f>
        <v>0.52359877559833334</v>
      </c>
      <c r="E2" s="17" t="s">
        <v>13</v>
      </c>
      <c r="F2" s="18">
        <f>TAN(D2/2)</f>
        <v>0.26794919243114118</v>
      </c>
      <c r="G2" s="11" t="s">
        <v>19</v>
      </c>
      <c r="H2" s="6">
        <f>C1*C3</f>
        <v>804.2</v>
      </c>
      <c r="J2" s="42" t="s">
        <v>25</v>
      </c>
      <c r="K2" s="7">
        <v>17</v>
      </c>
      <c r="L2" s="43" t="s">
        <v>2</v>
      </c>
      <c r="M2" s="48">
        <f t="shared" ref="M2:M3" si="0">$H$3/(K2^2)</f>
        <v>3.0842633772278023</v>
      </c>
      <c r="N2" s="43" t="s">
        <v>17</v>
      </c>
      <c r="O2" s="98" t="s">
        <v>22</v>
      </c>
      <c r="P2" s="99"/>
    </row>
    <row r="3" spans="1:24" ht="17.399999999999999" thickBot="1">
      <c r="B3" s="19" t="s">
        <v>10</v>
      </c>
      <c r="C3" s="20">
        <v>10</v>
      </c>
      <c r="D3" s="25" t="s">
        <v>15</v>
      </c>
      <c r="E3" s="22" t="s">
        <v>12</v>
      </c>
      <c r="F3" s="21">
        <v>3.1415926535900001</v>
      </c>
      <c r="G3" s="12" t="s">
        <v>20</v>
      </c>
      <c r="H3" s="9">
        <f>H1*H2</f>
        <v>891.35211601883486</v>
      </c>
      <c r="J3" s="44" t="s">
        <v>24</v>
      </c>
      <c r="K3" s="45">
        <v>4</v>
      </c>
      <c r="L3" s="46" t="s">
        <v>2</v>
      </c>
      <c r="M3" s="49">
        <f t="shared" si="0"/>
        <v>55.709507251177179</v>
      </c>
      <c r="N3" s="46" t="s">
        <v>17</v>
      </c>
      <c r="O3" s="100" t="s">
        <v>23</v>
      </c>
      <c r="P3" s="101"/>
    </row>
    <row r="4" spans="1:24" ht="14.4" thickBot="1">
      <c r="B4" s="4"/>
      <c r="C4" s="4"/>
      <c r="D4" s="4"/>
      <c r="E4" s="5"/>
      <c r="F4" s="4"/>
    </row>
    <row r="5" spans="1:24" ht="14.4" thickBot="1">
      <c r="A5" s="69">
        <v>45853</v>
      </c>
      <c r="B5" s="89" t="s">
        <v>28</v>
      </c>
      <c r="C5" s="90"/>
      <c r="D5" s="90"/>
      <c r="E5" s="90"/>
      <c r="F5" s="90"/>
      <c r="G5" s="90"/>
      <c r="H5" s="90"/>
      <c r="I5" s="70">
        <v>45853</v>
      </c>
      <c r="J5" s="91" t="s">
        <v>27</v>
      </c>
      <c r="K5" s="91"/>
      <c r="L5" s="91"/>
      <c r="M5" s="91"/>
      <c r="N5" s="91"/>
      <c r="O5" s="91"/>
      <c r="P5" s="92"/>
      <c r="Q5" s="73">
        <v>45853</v>
      </c>
      <c r="R5" s="93" t="s">
        <v>29</v>
      </c>
      <c r="S5" s="94"/>
      <c r="T5" s="94"/>
      <c r="U5" s="94"/>
      <c r="V5" s="94"/>
      <c r="W5" s="94"/>
      <c r="X5" s="95"/>
    </row>
    <row r="6" spans="1:24" ht="16.8" thickBot="1">
      <c r="A6" s="28" t="s">
        <v>0</v>
      </c>
      <c r="B6" s="2" t="s">
        <v>3</v>
      </c>
      <c r="C6" s="26" t="s">
        <v>4</v>
      </c>
      <c r="D6" s="26" t="s">
        <v>5</v>
      </c>
      <c r="E6" s="26" t="s">
        <v>6</v>
      </c>
      <c r="F6" s="32" t="s">
        <v>7</v>
      </c>
      <c r="G6" s="33" t="s">
        <v>8</v>
      </c>
      <c r="H6" s="52" t="s">
        <v>16</v>
      </c>
      <c r="I6" s="55" t="s">
        <v>0</v>
      </c>
      <c r="J6" s="26" t="s">
        <v>3</v>
      </c>
      <c r="K6" s="26" t="s">
        <v>4</v>
      </c>
      <c r="L6" s="26" t="s">
        <v>5</v>
      </c>
      <c r="M6" s="26" t="s">
        <v>6</v>
      </c>
      <c r="N6" s="32" t="s">
        <v>7</v>
      </c>
      <c r="O6" s="33" t="s">
        <v>8</v>
      </c>
      <c r="P6" s="37" t="s">
        <v>16</v>
      </c>
      <c r="Q6" s="28" t="s">
        <v>0</v>
      </c>
      <c r="R6" s="2" t="s">
        <v>3</v>
      </c>
      <c r="S6" s="26" t="s">
        <v>4</v>
      </c>
      <c r="T6" s="26" t="s">
        <v>5</v>
      </c>
      <c r="U6" s="26" t="s">
        <v>6</v>
      </c>
      <c r="V6" s="32" t="s">
        <v>7</v>
      </c>
      <c r="W6" s="33" t="s">
        <v>8</v>
      </c>
      <c r="X6" s="37" t="s">
        <v>16</v>
      </c>
    </row>
    <row r="7" spans="1:24" ht="14.4" thickBot="1">
      <c r="A7" s="29" t="s">
        <v>1</v>
      </c>
      <c r="B7" s="3" t="s">
        <v>2</v>
      </c>
      <c r="C7" s="27" t="s">
        <v>2</v>
      </c>
      <c r="D7" s="27" t="s">
        <v>2</v>
      </c>
      <c r="E7" s="27" t="s">
        <v>2</v>
      </c>
      <c r="F7" s="30" t="s">
        <v>2</v>
      </c>
      <c r="G7" s="31" t="s">
        <v>2</v>
      </c>
      <c r="H7" s="53" t="s">
        <v>17</v>
      </c>
      <c r="I7" s="56" t="s">
        <v>1</v>
      </c>
      <c r="J7" s="59" t="s">
        <v>2</v>
      </c>
      <c r="K7" s="59" t="s">
        <v>2</v>
      </c>
      <c r="L7" s="59" t="s">
        <v>2</v>
      </c>
      <c r="M7" s="59" t="s">
        <v>2</v>
      </c>
      <c r="N7" s="60" t="s">
        <v>2</v>
      </c>
      <c r="O7" s="31" t="s">
        <v>2</v>
      </c>
      <c r="P7" s="38" t="s">
        <v>17</v>
      </c>
      <c r="Q7" s="74" t="s">
        <v>1</v>
      </c>
      <c r="R7" s="75" t="s">
        <v>2</v>
      </c>
      <c r="S7" s="76" t="s">
        <v>2</v>
      </c>
      <c r="T7" s="76" t="s">
        <v>2</v>
      </c>
      <c r="U7" s="76" t="s">
        <v>2</v>
      </c>
      <c r="V7" s="77" t="s">
        <v>2</v>
      </c>
      <c r="W7" s="78" t="s">
        <v>2</v>
      </c>
      <c r="X7" s="79" t="s">
        <v>17</v>
      </c>
    </row>
    <row r="8" spans="1:24">
      <c r="A8" s="1">
        <v>0</v>
      </c>
      <c r="B8" s="61">
        <v>27</v>
      </c>
      <c r="C8" s="62">
        <v>23</v>
      </c>
      <c r="D8" s="62">
        <v>25.5</v>
      </c>
      <c r="E8" s="62"/>
      <c r="F8" s="63"/>
      <c r="G8" s="81">
        <f>AVERAGE(B8:F8)</f>
        <v>25.166666666666668</v>
      </c>
      <c r="H8" s="54">
        <f>$H$3/G8^2</f>
        <v>1.4073363526458511</v>
      </c>
      <c r="I8" s="57">
        <v>0</v>
      </c>
      <c r="J8" s="61">
        <v>39.700000000000003</v>
      </c>
      <c r="K8" s="62">
        <v>39.700000000000003</v>
      </c>
      <c r="L8" s="62"/>
      <c r="M8" s="62"/>
      <c r="N8" s="63"/>
      <c r="O8" s="84">
        <f>AVERAGE(J8:N8)</f>
        <v>39.700000000000003</v>
      </c>
      <c r="P8" s="34">
        <f>$H$3/O8^2</f>
        <v>0.56554645738430853</v>
      </c>
      <c r="Q8" s="80">
        <v>0</v>
      </c>
      <c r="R8" s="61">
        <v>39.5</v>
      </c>
      <c r="S8" s="62"/>
      <c r="T8" s="62"/>
      <c r="U8" s="62"/>
      <c r="V8" s="63"/>
      <c r="W8" s="84">
        <f>AVERAGE(R8:V8)</f>
        <v>39.5</v>
      </c>
      <c r="X8" s="34">
        <f>$H$3/W8^2</f>
        <v>0.57128800898499266</v>
      </c>
    </row>
    <row r="9" spans="1:24">
      <c r="A9" s="1">
        <v>5</v>
      </c>
      <c r="B9" s="64">
        <v>22.4</v>
      </c>
      <c r="C9" s="71">
        <v>25.4</v>
      </c>
      <c r="D9" s="71">
        <v>26</v>
      </c>
      <c r="E9" s="71"/>
      <c r="F9" s="66"/>
      <c r="G9" s="82">
        <f t="shared" ref="G9:G16" si="1">AVERAGE(B9:F9)</f>
        <v>24.599999999999998</v>
      </c>
      <c r="H9" s="51">
        <f t="shared" ref="H9:H16" si="2">$H$3/G9^2</f>
        <v>1.4729197501798452</v>
      </c>
      <c r="I9" s="57">
        <v>5</v>
      </c>
      <c r="J9" s="64">
        <v>39.700000000000003</v>
      </c>
      <c r="K9" s="65"/>
      <c r="L9" s="65"/>
      <c r="M9" s="65"/>
      <c r="N9" s="66"/>
      <c r="O9" s="85">
        <f t="shared" ref="O9:O17" si="3">AVERAGE(J9:N9)</f>
        <v>39.700000000000003</v>
      </c>
      <c r="P9" s="35">
        <f t="shared" ref="P9:P17" si="4">$H$3/O9^2</f>
        <v>0.56554645738430853</v>
      </c>
      <c r="Q9" s="57">
        <v>5</v>
      </c>
      <c r="R9" s="64">
        <v>39.5</v>
      </c>
      <c r="S9" s="65"/>
      <c r="T9" s="65"/>
      <c r="U9" s="65"/>
      <c r="V9" s="66"/>
      <c r="W9" s="85">
        <f t="shared" ref="W9:W17" si="5">AVERAGE(R9:V9)</f>
        <v>39.5</v>
      </c>
      <c r="X9" s="35">
        <f t="shared" ref="X9:X17" si="6">$H$3/W9^2</f>
        <v>0.57128800898499266</v>
      </c>
    </row>
    <row r="10" spans="1:24">
      <c r="A10" s="1">
        <v>10</v>
      </c>
      <c r="B10" s="64">
        <v>20</v>
      </c>
      <c r="C10" s="71">
        <v>17</v>
      </c>
      <c r="D10" s="71">
        <v>23.5</v>
      </c>
      <c r="E10" s="71"/>
      <c r="F10" s="66"/>
      <c r="G10" s="82">
        <f>AVERAGE(B10:F10)</f>
        <v>20.166666666666668</v>
      </c>
      <c r="H10" s="51">
        <f t="shared" si="2"/>
        <v>2.1916997593523702</v>
      </c>
      <c r="I10" s="57">
        <v>10</v>
      </c>
      <c r="J10" s="64">
        <v>39.700000000000003</v>
      </c>
      <c r="K10" s="65"/>
      <c r="L10" s="65"/>
      <c r="M10" s="65"/>
      <c r="N10" s="66"/>
      <c r="O10" s="85">
        <f t="shared" si="3"/>
        <v>39.700000000000003</v>
      </c>
      <c r="P10" s="35">
        <f t="shared" si="4"/>
        <v>0.56554645738430853</v>
      </c>
      <c r="Q10" s="57">
        <v>10</v>
      </c>
      <c r="R10" s="64">
        <v>39.5</v>
      </c>
      <c r="S10" s="65"/>
      <c r="T10" s="65"/>
      <c r="U10" s="65"/>
      <c r="V10" s="66"/>
      <c r="W10" s="85">
        <f t="shared" si="5"/>
        <v>39.5</v>
      </c>
      <c r="X10" s="35">
        <f t="shared" si="6"/>
        <v>0.57128800898499266</v>
      </c>
    </row>
    <row r="11" spans="1:24">
      <c r="A11" s="1">
        <v>20</v>
      </c>
      <c r="B11" s="64">
        <v>18</v>
      </c>
      <c r="C11" s="71">
        <v>21.1</v>
      </c>
      <c r="D11" s="71">
        <v>21.5</v>
      </c>
      <c r="E11" s="71"/>
      <c r="F11" s="66"/>
      <c r="G11" s="82">
        <f t="shared" si="1"/>
        <v>20.2</v>
      </c>
      <c r="H11" s="51">
        <f t="shared" si="2"/>
        <v>2.1844723949094083</v>
      </c>
      <c r="I11" s="57">
        <v>20</v>
      </c>
      <c r="J11" s="64">
        <v>39.700000000000003</v>
      </c>
      <c r="K11" s="65"/>
      <c r="L11" s="65"/>
      <c r="M11" s="65"/>
      <c r="N11" s="66"/>
      <c r="O11" s="85">
        <f t="shared" si="3"/>
        <v>39.700000000000003</v>
      </c>
      <c r="P11" s="35">
        <f t="shared" si="4"/>
        <v>0.56554645738430853</v>
      </c>
      <c r="Q11" s="57">
        <v>20</v>
      </c>
      <c r="R11" s="64">
        <v>39.5</v>
      </c>
      <c r="S11" s="65"/>
      <c r="T11" s="65"/>
      <c r="U11" s="65"/>
      <c r="V11" s="66"/>
      <c r="W11" s="85">
        <f t="shared" si="5"/>
        <v>39.5</v>
      </c>
      <c r="X11" s="35">
        <f t="shared" si="6"/>
        <v>0.57128800898499266</v>
      </c>
    </row>
    <row r="12" spans="1:24">
      <c r="A12" s="1">
        <v>30</v>
      </c>
      <c r="B12" s="64">
        <v>18.8</v>
      </c>
      <c r="C12" s="71">
        <v>17.7</v>
      </c>
      <c r="D12" s="71">
        <v>16.399999999999999</v>
      </c>
      <c r="E12" s="71"/>
      <c r="F12" s="66"/>
      <c r="G12" s="82">
        <f t="shared" si="1"/>
        <v>17.633333333333333</v>
      </c>
      <c r="H12" s="51">
        <f t="shared" si="2"/>
        <v>2.8666882423124256</v>
      </c>
      <c r="I12" s="57">
        <v>30</v>
      </c>
      <c r="J12" s="64">
        <v>36.5</v>
      </c>
      <c r="K12" s="65"/>
      <c r="L12" s="65"/>
      <c r="M12" s="65"/>
      <c r="N12" s="66"/>
      <c r="O12" s="85">
        <f t="shared" si="3"/>
        <v>36.5</v>
      </c>
      <c r="P12" s="35">
        <f t="shared" si="4"/>
        <v>0.66905769639244506</v>
      </c>
      <c r="Q12" s="57">
        <v>30</v>
      </c>
      <c r="R12" s="64">
        <v>39.5</v>
      </c>
      <c r="S12" s="65"/>
      <c r="T12" s="65"/>
      <c r="U12" s="65"/>
      <c r="V12" s="66"/>
      <c r="W12" s="85">
        <f t="shared" si="5"/>
        <v>39.5</v>
      </c>
      <c r="X12" s="35">
        <f t="shared" si="6"/>
        <v>0.57128800898499266</v>
      </c>
    </row>
    <row r="13" spans="1:24">
      <c r="A13" s="1">
        <v>40</v>
      </c>
      <c r="B13" s="64">
        <v>13</v>
      </c>
      <c r="C13" s="71">
        <v>15.4</v>
      </c>
      <c r="D13" s="71">
        <v>17.399999999999999</v>
      </c>
      <c r="E13" s="71"/>
      <c r="F13" s="66"/>
      <c r="G13" s="82">
        <f t="shared" si="1"/>
        <v>15.266666666666666</v>
      </c>
      <c r="H13" s="51">
        <f t="shared" si="2"/>
        <v>3.824378370058501</v>
      </c>
      <c r="I13" s="57">
        <v>40</v>
      </c>
      <c r="J13" s="64">
        <v>34.5</v>
      </c>
      <c r="K13" s="65">
        <v>35.1</v>
      </c>
      <c r="L13" s="65"/>
      <c r="M13" s="65"/>
      <c r="N13" s="66"/>
      <c r="O13" s="85">
        <f t="shared" si="3"/>
        <v>34.799999999999997</v>
      </c>
      <c r="P13" s="35">
        <f t="shared" si="4"/>
        <v>0.73602202736394762</v>
      </c>
      <c r="Q13" s="57">
        <v>40</v>
      </c>
      <c r="R13" s="64">
        <v>39.5</v>
      </c>
      <c r="S13" s="65"/>
      <c r="T13" s="65"/>
      <c r="U13" s="65"/>
      <c r="V13" s="66"/>
      <c r="W13" s="85">
        <f t="shared" si="5"/>
        <v>39.5</v>
      </c>
      <c r="X13" s="35">
        <f t="shared" si="6"/>
        <v>0.57128800898499266</v>
      </c>
    </row>
    <row r="14" spans="1:24">
      <c r="A14" s="1">
        <v>60</v>
      </c>
      <c r="B14" s="64">
        <v>13.9</v>
      </c>
      <c r="C14" s="71">
        <v>12.6</v>
      </c>
      <c r="D14" s="71">
        <v>13</v>
      </c>
      <c r="E14" s="71"/>
      <c r="F14" s="66"/>
      <c r="G14" s="82">
        <f t="shared" si="1"/>
        <v>13.166666666666666</v>
      </c>
      <c r="H14" s="51">
        <f t="shared" si="2"/>
        <v>5.1415920808649354</v>
      </c>
      <c r="I14" s="57">
        <v>60</v>
      </c>
      <c r="J14" s="64">
        <v>29.5</v>
      </c>
      <c r="K14" s="65">
        <v>30.7</v>
      </c>
      <c r="L14" s="65">
        <v>28.7</v>
      </c>
      <c r="M14" s="65"/>
      <c r="N14" s="66"/>
      <c r="O14" s="85">
        <f t="shared" si="3"/>
        <v>29.633333333333336</v>
      </c>
      <c r="P14" s="35">
        <f t="shared" si="4"/>
        <v>1.0150519907948179</v>
      </c>
      <c r="Q14" s="57">
        <v>60</v>
      </c>
      <c r="R14" s="64">
        <v>34.5</v>
      </c>
      <c r="S14" s="65">
        <v>28</v>
      </c>
      <c r="T14" s="65">
        <v>32.4</v>
      </c>
      <c r="U14" s="65">
        <v>34.200000000000003</v>
      </c>
      <c r="V14" s="66"/>
      <c r="W14" s="85">
        <f t="shared" si="5"/>
        <v>32.275000000000006</v>
      </c>
      <c r="X14" s="35">
        <f t="shared" si="6"/>
        <v>0.85569067243829822</v>
      </c>
    </row>
    <row r="15" spans="1:24">
      <c r="A15" s="1">
        <v>90</v>
      </c>
      <c r="B15" s="64">
        <v>6.2</v>
      </c>
      <c r="C15" s="71">
        <v>5.8</v>
      </c>
      <c r="D15" s="88">
        <v>5.7</v>
      </c>
      <c r="E15" s="71"/>
      <c r="F15" s="66"/>
      <c r="G15" s="82">
        <f t="shared" si="1"/>
        <v>5.8999999999999995</v>
      </c>
      <c r="H15" s="51">
        <f t="shared" si="2"/>
        <v>25.606208446389974</v>
      </c>
      <c r="I15" s="57">
        <v>90</v>
      </c>
      <c r="J15" s="64">
        <v>22</v>
      </c>
      <c r="K15" s="65">
        <v>25.7</v>
      </c>
      <c r="L15" s="65">
        <v>22.5</v>
      </c>
      <c r="M15" s="65"/>
      <c r="N15" s="66"/>
      <c r="O15" s="85">
        <f t="shared" si="3"/>
        <v>23.400000000000002</v>
      </c>
      <c r="P15" s="35">
        <f t="shared" si="4"/>
        <v>1.6278619987194733</v>
      </c>
      <c r="Q15" s="57">
        <v>90</v>
      </c>
      <c r="R15" s="64">
        <v>30.7</v>
      </c>
      <c r="S15" s="65">
        <v>29.1</v>
      </c>
      <c r="T15" s="65">
        <v>30.5</v>
      </c>
      <c r="U15" s="65"/>
      <c r="V15" s="66"/>
      <c r="W15" s="85">
        <f t="shared" si="5"/>
        <v>30.099999999999998</v>
      </c>
      <c r="X15" s="35">
        <f t="shared" si="6"/>
        <v>0.98382149867974411</v>
      </c>
    </row>
    <row r="16" spans="1:24" ht="14.4" thickBot="1">
      <c r="A16" s="3">
        <v>120</v>
      </c>
      <c r="B16" s="72">
        <v>4</v>
      </c>
      <c r="C16" s="59">
        <v>3.3</v>
      </c>
      <c r="D16" s="59">
        <v>4.5999999999999996</v>
      </c>
      <c r="E16" s="59"/>
      <c r="F16" s="60"/>
      <c r="G16" s="83">
        <f t="shared" si="1"/>
        <v>3.9666666666666663</v>
      </c>
      <c r="H16" s="50">
        <f t="shared" si="2"/>
        <v>56.649735500102501</v>
      </c>
      <c r="I16" s="57">
        <v>120</v>
      </c>
      <c r="J16" s="64">
        <v>16.7</v>
      </c>
      <c r="K16" s="65">
        <v>14.8</v>
      </c>
      <c r="L16" s="65">
        <v>15.4</v>
      </c>
      <c r="M16" s="65"/>
      <c r="N16" s="65"/>
      <c r="O16" s="85">
        <f t="shared" si="3"/>
        <v>15.633333333333333</v>
      </c>
      <c r="P16" s="35">
        <f t="shared" si="4"/>
        <v>3.64708700368225</v>
      </c>
      <c r="Q16" s="57">
        <v>120</v>
      </c>
      <c r="R16" s="64">
        <v>23.8</v>
      </c>
      <c r="S16" s="65">
        <v>25</v>
      </c>
      <c r="T16" s="65">
        <v>24.5</v>
      </c>
      <c r="U16" s="65"/>
      <c r="V16" s="65"/>
      <c r="W16" s="85">
        <f t="shared" si="5"/>
        <v>24.433333333333334</v>
      </c>
      <c r="X16" s="35">
        <f t="shared" si="6"/>
        <v>1.4930826881193389</v>
      </c>
    </row>
    <row r="17" spans="9:24" ht="14.4" thickBot="1">
      <c r="I17" s="58">
        <v>150</v>
      </c>
      <c r="J17" s="67">
        <v>11.8</v>
      </c>
      <c r="K17" s="68">
        <v>12</v>
      </c>
      <c r="L17" s="68">
        <v>11.6</v>
      </c>
      <c r="M17" s="59"/>
      <c r="N17" s="59"/>
      <c r="O17" s="86">
        <f t="shared" si="3"/>
        <v>11.799999999999999</v>
      </c>
      <c r="P17" s="36">
        <f t="shared" si="4"/>
        <v>6.4015521115974936</v>
      </c>
      <c r="Q17" s="58">
        <v>150</v>
      </c>
      <c r="R17" s="3">
        <v>15.4</v>
      </c>
      <c r="S17" s="27">
        <v>15.9</v>
      </c>
      <c r="T17" s="27">
        <v>16.5</v>
      </c>
      <c r="U17" s="27"/>
      <c r="V17" s="27"/>
      <c r="W17" s="87">
        <f t="shared" si="5"/>
        <v>15.933333333333332</v>
      </c>
      <c r="X17" s="36">
        <f t="shared" si="6"/>
        <v>3.5110419303625267</v>
      </c>
    </row>
  </sheetData>
  <mergeCells count="6">
    <mergeCell ref="B5:H5"/>
    <mergeCell ref="J5:P5"/>
    <mergeCell ref="R5:X5"/>
    <mergeCell ref="O1:P1"/>
    <mergeCell ref="O2:P2"/>
    <mergeCell ref="O3:P3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Palomar Herrero Irene</dc:creator>
  <cp:lastModifiedBy>Juan Pablo V</cp:lastModifiedBy>
  <dcterms:created xsi:type="dcterms:W3CDTF">2025-07-09T21:11:29Z</dcterms:created>
  <dcterms:modified xsi:type="dcterms:W3CDTF">2025-07-30T17:52:20Z</dcterms:modified>
</cp:coreProperties>
</file>