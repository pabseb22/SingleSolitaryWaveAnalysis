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ocuments/GitHub/SingleSolitaryWaveAnalysis/Pastas_Mortero_2025/0p35/"/>
    </mc:Choice>
  </mc:AlternateContent>
  <xr:revisionPtr revIDLastSave="0" documentId="13_ncr:1_{935A110D-2E61-D946-805D-95E297E33F3E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L6" i="1" s="1"/>
  <c r="K31" i="1"/>
  <c r="L5" i="1" s="1"/>
  <c r="K22" i="1"/>
  <c r="L4" i="1" s="1"/>
  <c r="K12" i="1"/>
  <c r="L3" i="1" s="1"/>
  <c r="K2" i="1"/>
  <c r="L2" i="1" s="1"/>
  <c r="K72" i="1"/>
  <c r="L10" i="1" s="1"/>
  <c r="L9" i="1"/>
  <c r="L8" i="1"/>
  <c r="L7" i="1"/>
  <c r="K63" i="1"/>
  <c r="K56" i="1"/>
  <c r="K48" i="1"/>
</calcChain>
</file>

<file path=xl/sharedStrings.xml><?xml version="1.0" encoding="utf-8"?>
<sst xmlns="http://schemas.openxmlformats.org/spreadsheetml/2006/main" count="90" uniqueCount="21">
  <si>
    <t>Filename</t>
  </si>
  <si>
    <t>Ref_0p35_0min.mat</t>
  </si>
  <si>
    <t>---</t>
  </si>
  <si>
    <t>Ref_0p35_10min.mat</t>
  </si>
  <si>
    <t>Ref_0p35_125min.mat</t>
  </si>
  <si>
    <t>Ref_0p35_20min.mat</t>
  </si>
  <si>
    <t>Ref_0p35_30min.mat</t>
  </si>
  <si>
    <t>Ref_0p35_40min.mat</t>
  </si>
  <si>
    <t>Ref_0p35_5min.mat</t>
  </si>
  <si>
    <t>Ref_0p35_60min.mat</t>
  </si>
  <si>
    <t>Ref_0p35_95min.mat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</si>
  <si>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</si>
  <si>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</si>
  <si>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</si>
  <si>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</si>
  <si>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</si>
  <si>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</si>
  <si>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</si>
  <si>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</si>
  <si>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</si>
  <si>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TOF1 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</si>
</sst>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zoomScale="106" zoomScaleNormal="84" workbookViewId="0">
      <selection activeCell="K1" sqref="K1:L1048576"/>
    </sheetView>
  </sheetViews>
  <sheetFormatPr baseColWidth="10" defaultColWidth="8.83203125" defaultRowHeight="15" x14ac:dyDescent="0.2"/>
  <cols>
    <col min="1" max="1" width="19.33203125" customWidth="1"/>
    <col min="2" max="2" width="6.1640625" customWidth="1"/>
    <col min="3" max="3" width="11.83203125" customWidth="1"/>
    <col min="4" max="4" width="13.83203125" customWidth="1"/>
    <col min="5" max="5" width="11.83203125" customWidth="1"/>
    <col min="6" max="6" width="14.83203125" customWidth="1"/>
    <col min="7" max="7" width="11.83203125" customWidth="1"/>
    <col min="8" max="9" width="14.83203125" customWidth="1"/>
    <col min="10" max="10" width="15.83203125" customWidth="1"/>
    <col min="11" max="11" width="12.1640625" bestFit="1" customWidth="1"/>
  </cols>
  <sheetData>
    <row r="1" spans="1:12" x14ac:dyDescent="0.2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s="1" t="s">
        <v>20</v>
      </c>
      <c r="L1" s="1" t="s">
        <v>20</v>
      </c>
    </row>
    <row r="2" spans="1:12" x14ac:dyDescent="0.2">
      <c r="A2" t="s">
        <v>1</v>
      </c>
      <c r="B2">
        <v>1</v>
      </c>
      <c r="C2">
        <v>6.8337083837145256</v>
      </c>
      <c r="D2">
        <v>2.4237951997999999E-2</v>
      </c>
      <c r="E2">
        <v>6.8374193936951899</v>
      </c>
      <c r="F2">
        <v>4.741560467E-3</v>
      </c>
      <c r="G2">
        <v>6.8381030007968908</v>
      </c>
      <c r="H2">
        <v>5.9944509359999999E-3</v>
      </c>
      <c r="I2">
        <v>3.7110099806643149E-3</v>
      </c>
      <c r="J2">
        <v>6.8360710170090044E-4</v>
      </c>
      <c r="K2">
        <f>AVERAGE(I2:I10)</f>
        <v>3.5987030996700309E-3</v>
      </c>
      <c r="L2">
        <f>K2</f>
        <v>3.5987030996700309E-3</v>
      </c>
    </row>
    <row r="3" spans="1:12" x14ac:dyDescent="0.2">
      <c r="A3" t="s">
        <v>1</v>
      </c>
      <c r="B3">
        <v>2</v>
      </c>
      <c r="C3">
        <v>12.957788360126173</v>
      </c>
      <c r="D3">
        <v>1.0727728324000001E-2</v>
      </c>
      <c r="E3">
        <v>12.960639978321842</v>
      </c>
      <c r="F3">
        <v>2.352951945E-3</v>
      </c>
      <c r="G3">
        <v>12.96106967421434</v>
      </c>
      <c r="H3">
        <v>4.3107077290000006E-3</v>
      </c>
      <c r="J3">
        <v>4.2969589249786111E-4</v>
      </c>
      <c r="L3">
        <f>K12</f>
        <v>3.649624853164684E-3</v>
      </c>
    </row>
    <row r="4" spans="1:12" x14ac:dyDescent="0.2">
      <c r="A4" t="s">
        <v>1</v>
      </c>
      <c r="B4">
        <v>3</v>
      </c>
      <c r="C4">
        <v>22.402767699492177</v>
      </c>
      <c r="D4">
        <v>2.0599504371999998E-2</v>
      </c>
      <c r="E4">
        <v>22.406381051315456</v>
      </c>
      <c r="F4">
        <v>5.094908534E-3</v>
      </c>
      <c r="G4">
        <v>22.407006063522726</v>
      </c>
      <c r="H4">
        <v>6.1281007230000002E-3</v>
      </c>
      <c r="I4">
        <v>3.613351823279487E-3</v>
      </c>
      <c r="J4">
        <v>6.2501220726929319E-4</v>
      </c>
      <c r="L4">
        <f>K22</f>
        <v>3.9872430544117977E-3</v>
      </c>
    </row>
    <row r="5" spans="1:12" x14ac:dyDescent="0.2">
      <c r="A5" t="s">
        <v>1</v>
      </c>
      <c r="B5">
        <v>4</v>
      </c>
      <c r="C5">
        <v>34.279228531524055</v>
      </c>
      <c r="D5">
        <v>1.8626491762999998E-2</v>
      </c>
      <c r="E5">
        <v>34.282587972138131</v>
      </c>
      <c r="F5">
        <v>4.695179719E-3</v>
      </c>
      <c r="G5">
        <v>34.283193452713924</v>
      </c>
      <c r="H5">
        <v>5.2285583210000004E-3</v>
      </c>
      <c r="I5">
        <v>3.3594406140764477E-3</v>
      </c>
      <c r="J5">
        <v>6.0548057579268288E-4</v>
      </c>
      <c r="L5">
        <f>K31</f>
        <v>3.9193473830871168E-3</v>
      </c>
    </row>
    <row r="6" spans="1:12" x14ac:dyDescent="0.2">
      <c r="A6" t="s">
        <v>1</v>
      </c>
      <c r="B6">
        <v>5</v>
      </c>
      <c r="C6">
        <v>44.126161322543403</v>
      </c>
      <c r="D6">
        <v>2.0407268377E-2</v>
      </c>
      <c r="E6">
        <v>44.129637952946347</v>
      </c>
      <c r="F6">
        <v>5.038763418E-3</v>
      </c>
      <c r="G6">
        <v>44.130262965153612</v>
      </c>
      <c r="H6">
        <v>6.7481380909999999E-3</v>
      </c>
      <c r="I6">
        <v>3.4766304029432149E-3</v>
      </c>
      <c r="J6">
        <v>6.2501220726574047E-4</v>
      </c>
      <c r="L6">
        <f>K38</f>
        <v>3.9475597396674521E-3</v>
      </c>
    </row>
    <row r="7" spans="1:12" x14ac:dyDescent="0.2">
      <c r="A7" t="s">
        <v>1</v>
      </c>
      <c r="B7">
        <v>6</v>
      </c>
      <c r="C7">
        <v>68.576351307256004</v>
      </c>
      <c r="D7">
        <v>2.3428729999999998E-2</v>
      </c>
      <c r="E7">
        <v>68.580023253973707</v>
      </c>
      <c r="F7">
        <v>6.1879074769999997E-3</v>
      </c>
      <c r="G7">
        <v>68.580687329443933</v>
      </c>
      <c r="H7">
        <v>6.4625303270000002E-3</v>
      </c>
      <c r="I7">
        <v>3.6719467177022125E-3</v>
      </c>
      <c r="J7">
        <v>6.640754702260665E-4</v>
      </c>
      <c r="L7">
        <f>K48</f>
        <v>3.9342286261162384E-3</v>
      </c>
    </row>
    <row r="8" spans="1:12" x14ac:dyDescent="0.2">
      <c r="A8" t="s">
        <v>1</v>
      </c>
      <c r="B8">
        <v>7</v>
      </c>
      <c r="C8">
        <v>78.127131359745306</v>
      </c>
      <c r="D8">
        <v>2.2637205918999998E-2</v>
      </c>
      <c r="E8">
        <v>78.130725179937102</v>
      </c>
      <c r="F8">
        <v>5.5678701090000008E-3</v>
      </c>
      <c r="G8">
        <v>78.131350192144382</v>
      </c>
      <c r="H8">
        <v>7.2174380279999995E-3</v>
      </c>
      <c r="I8">
        <v>3.5938201917957713E-3</v>
      </c>
      <c r="J8">
        <v>6.2501220727995133E-4</v>
      </c>
      <c r="L8">
        <f>K56</f>
        <v>3.8444761290949239E-3</v>
      </c>
    </row>
    <row r="9" spans="1:12" x14ac:dyDescent="0.2">
      <c r="A9" t="s">
        <v>1</v>
      </c>
      <c r="B9">
        <v>8</v>
      </c>
      <c r="C9">
        <v>89.554454481005493</v>
      </c>
      <c r="D9">
        <v>2.0469516223000001E-2</v>
      </c>
      <c r="E9">
        <v>89.558028769565809</v>
      </c>
      <c r="F9">
        <v>5.0747695249999999E-3</v>
      </c>
      <c r="G9">
        <v>89.558614718510128</v>
      </c>
      <c r="H9">
        <v>6.0640220580000003E-3</v>
      </c>
      <c r="I9">
        <v>3.5742885603156083E-3</v>
      </c>
      <c r="J9">
        <v>5.859489443196253E-4</v>
      </c>
      <c r="L9">
        <f>K63</f>
        <v>3.2202777397982718E-3</v>
      </c>
    </row>
    <row r="10" spans="1:12" x14ac:dyDescent="0.2">
      <c r="A10" t="s">
        <v>1</v>
      </c>
      <c r="B10">
        <v>9</v>
      </c>
      <c r="C10">
        <v>97.838356293642448</v>
      </c>
      <c r="D10">
        <v>2.3755226054999998E-2</v>
      </c>
      <c r="E10">
        <v>97.842145430149031</v>
      </c>
      <c r="F10">
        <v>6.1439678210000008E-3</v>
      </c>
      <c r="G10">
        <v>97.842809505619243</v>
      </c>
      <c r="H10">
        <v>7.1545799089999997E-3</v>
      </c>
      <c r="I10">
        <v>3.7891365065831906E-3</v>
      </c>
      <c r="J10">
        <v>6.6407547021185565E-4</v>
      </c>
      <c r="L10">
        <f>K72</f>
        <v>3.1787730229110855E-3</v>
      </c>
    </row>
    <row r="11" spans="1:12" x14ac:dyDescent="0.2">
      <c r="A11" t="s">
        <v>2</v>
      </c>
    </row>
    <row r="12" spans="1:12" x14ac:dyDescent="0.2">
      <c r="A12" t="s">
        <v>8</v>
      </c>
      <c r="B12">
        <v>1</v>
      </c>
      <c r="C12">
        <v>3.6379804013789334</v>
      </c>
      <c r="D12">
        <v>1.8567295282000001E-2</v>
      </c>
      <c r="E12">
        <v>3.6413007787300535</v>
      </c>
      <c r="F12">
        <v>4.750714562E-3</v>
      </c>
      <c r="G12">
        <v>3.6419648542002778</v>
      </c>
      <c r="H12">
        <v>5.0302195960000001E-3</v>
      </c>
      <c r="I12">
        <v>3.3203773511201184E-3</v>
      </c>
      <c r="J12">
        <v>6.6407547022429014E-4</v>
      </c>
      <c r="K12">
        <f>AVERAGE(I12:I20)</f>
        <v>3.649624853164684E-3</v>
      </c>
    </row>
    <row r="13" spans="1:12" x14ac:dyDescent="0.2">
      <c r="A13" t="s">
        <v>8</v>
      </c>
      <c r="B13">
        <v>2</v>
      </c>
      <c r="C13">
        <v>22.482767199800776</v>
      </c>
      <c r="D13">
        <v>1.9791502919999999E-2</v>
      </c>
      <c r="E13">
        <v>22.486419614887009</v>
      </c>
      <c r="F13">
        <v>5.1522741960000002E-3</v>
      </c>
      <c r="G13">
        <v>22.487142285251664</v>
      </c>
      <c r="H13">
        <v>5.1345762790000003E-3</v>
      </c>
      <c r="I13">
        <v>3.6524150862327076E-3</v>
      </c>
      <c r="J13">
        <v>7.226703646558974E-4</v>
      </c>
    </row>
    <row r="14" spans="1:12" x14ac:dyDescent="0.2">
      <c r="A14" t="s">
        <v>8</v>
      </c>
      <c r="B14">
        <v>3</v>
      </c>
      <c r="C14">
        <v>32.927041611523663</v>
      </c>
      <c r="D14">
        <v>2.3866906013999999E-2</v>
      </c>
      <c r="E14">
        <v>32.930947937819099</v>
      </c>
      <c r="F14">
        <v>5.8894839800000005E-3</v>
      </c>
      <c r="G14">
        <v>32.931690139815231</v>
      </c>
      <c r="H14">
        <v>5.9694297430000001E-3</v>
      </c>
      <c r="J14">
        <v>7.422019961325077E-4</v>
      </c>
    </row>
    <row r="15" spans="1:12" x14ac:dyDescent="0.2">
      <c r="A15" t="s">
        <v>8</v>
      </c>
      <c r="B15">
        <v>4</v>
      </c>
      <c r="C15">
        <v>45.252571543518428</v>
      </c>
      <c r="D15">
        <v>2.1489282405999999E-2</v>
      </c>
      <c r="E15">
        <v>45.25639974328795</v>
      </c>
      <c r="F15">
        <v>5.2371021430000003E-3</v>
      </c>
      <c r="G15">
        <v>45.25710288202113</v>
      </c>
      <c r="H15">
        <v>5.5300331830000007E-3</v>
      </c>
      <c r="I15">
        <v>3.8281997695222003E-3</v>
      </c>
      <c r="J15">
        <v>7.031387331792871E-4</v>
      </c>
    </row>
    <row r="16" spans="1:12" x14ac:dyDescent="0.2">
      <c r="A16" t="s">
        <v>8</v>
      </c>
      <c r="B16">
        <v>5</v>
      </c>
      <c r="C16">
        <v>66.439342225480971</v>
      </c>
      <c r="D16">
        <v>2.1883518764E-2</v>
      </c>
      <c r="E16">
        <v>66.443365741565259</v>
      </c>
      <c r="F16">
        <v>5.7692601990000005E-3</v>
      </c>
      <c r="G16">
        <v>66.444088411929926</v>
      </c>
      <c r="H16">
        <v>5.902909986E-3</v>
      </c>
      <c r="J16">
        <v>7.2267036466655554E-4</v>
      </c>
    </row>
    <row r="17" spans="1:11" x14ac:dyDescent="0.2">
      <c r="A17" t="s">
        <v>8</v>
      </c>
      <c r="B17">
        <v>6</v>
      </c>
      <c r="C17">
        <v>81.940828260530481</v>
      </c>
      <c r="D17">
        <v>1.8390316112E-2</v>
      </c>
      <c r="E17">
        <v>81.944578333774089</v>
      </c>
      <c r="F17">
        <v>4.4852458070000004E-3</v>
      </c>
      <c r="G17">
        <v>81.945203345981369</v>
      </c>
      <c r="H17">
        <v>5.8833812499999999E-3</v>
      </c>
      <c r="I17">
        <v>3.7500732436086537E-3</v>
      </c>
      <c r="J17">
        <v>6.2501220727995133E-4</v>
      </c>
    </row>
    <row r="18" spans="1:11" x14ac:dyDescent="0.2">
      <c r="A18" t="s">
        <v>8</v>
      </c>
      <c r="B18">
        <v>7</v>
      </c>
      <c r="C18">
        <v>97.458774130895137</v>
      </c>
      <c r="D18">
        <v>1.9147054631999998E-2</v>
      </c>
      <c r="E18">
        <v>97.462446077612853</v>
      </c>
      <c r="F18">
        <v>4.3454932900000003E-3</v>
      </c>
      <c r="G18">
        <v>97.463071089820119</v>
      </c>
      <c r="H18">
        <v>5.2853137099999996E-3</v>
      </c>
      <c r="I18">
        <v>3.6719467177164233E-3</v>
      </c>
      <c r="J18">
        <v>6.2501220726574047E-4</v>
      </c>
    </row>
    <row r="19" spans="1:11" x14ac:dyDescent="0.2">
      <c r="A19" t="s">
        <v>8</v>
      </c>
      <c r="B19">
        <v>8</v>
      </c>
      <c r="C19">
        <v>97.458774130895137</v>
      </c>
      <c r="D19">
        <v>1.9147054631999998E-2</v>
      </c>
      <c r="E19">
        <v>97.462446077612853</v>
      </c>
      <c r="F19">
        <v>4.3454932900000003E-3</v>
      </c>
      <c r="G19">
        <v>97.463071089820119</v>
      </c>
      <c r="H19">
        <v>5.2853137099999996E-3</v>
      </c>
      <c r="I19">
        <v>3.6719467177164233E-3</v>
      </c>
      <c r="J19">
        <v>6.2501220726574047E-4</v>
      </c>
    </row>
    <row r="20" spans="1:11" x14ac:dyDescent="0.2">
      <c r="A20" t="s">
        <v>8</v>
      </c>
      <c r="B20">
        <v>9</v>
      </c>
      <c r="C20">
        <v>119.51494688126721</v>
      </c>
      <c r="D20">
        <v>1.8129729540999999E-2</v>
      </c>
      <c r="E20">
        <v>119.51859929635344</v>
      </c>
      <c r="F20">
        <v>4.4205568690000004E-3</v>
      </c>
      <c r="G20">
        <v>119.51922430856071</v>
      </c>
      <c r="H20">
        <v>5.3664800190000002E-3</v>
      </c>
      <c r="I20">
        <v>3.6524150862362603E-3</v>
      </c>
      <c r="J20">
        <v>6.2501220726574047E-4</v>
      </c>
    </row>
    <row r="21" spans="1:11" x14ac:dyDescent="0.2">
      <c r="A21" t="s">
        <v>2</v>
      </c>
    </row>
    <row r="22" spans="1:11" x14ac:dyDescent="0.2">
      <c r="A22" t="s">
        <v>3</v>
      </c>
      <c r="B22">
        <v>1</v>
      </c>
      <c r="C22">
        <v>12.586944589468546</v>
      </c>
      <c r="D22">
        <v>2.3179738615999999E-2</v>
      </c>
      <c r="E22">
        <v>12.590792320869548</v>
      </c>
      <c r="F22">
        <v>6.0481549599999997E-3</v>
      </c>
      <c r="G22">
        <v>12.591612649391591</v>
      </c>
      <c r="H22">
        <v>6.1891280229999998E-3</v>
      </c>
      <c r="I22">
        <v>3.8477314010023633E-3</v>
      </c>
      <c r="J22">
        <v>8.2032852204250162E-4</v>
      </c>
      <c r="K22">
        <f>AVERAGE(I22:I29)</f>
        <v>3.9872430544117977E-3</v>
      </c>
    </row>
    <row r="23" spans="1:11" x14ac:dyDescent="0.2">
      <c r="A23" t="s">
        <v>3</v>
      </c>
      <c r="B23">
        <v>2</v>
      </c>
      <c r="C23">
        <v>21.517385225385262</v>
      </c>
      <c r="D23">
        <v>1.9377737826E-2</v>
      </c>
      <c r="E23">
        <v>21.521193893523311</v>
      </c>
      <c r="F23">
        <v>5.1998754900000003E-3</v>
      </c>
      <c r="G23">
        <v>21.521857968993533</v>
      </c>
      <c r="H23">
        <v>6.0933151620000004E-3</v>
      </c>
      <c r="I23">
        <v>3.8086681380491427E-3</v>
      </c>
      <c r="J23">
        <v>6.6407547022251379E-4</v>
      </c>
    </row>
    <row r="24" spans="1:11" x14ac:dyDescent="0.2">
      <c r="A24" t="s">
        <v>3</v>
      </c>
      <c r="B24">
        <v>3</v>
      </c>
      <c r="C24">
        <v>29.433002141719566</v>
      </c>
      <c r="D24">
        <v>2.2092842402999999E-2</v>
      </c>
      <c r="E24">
        <v>29.437006126172388</v>
      </c>
      <c r="F24">
        <v>5.0405942370000002E-3</v>
      </c>
      <c r="G24">
        <v>29.437748328168521</v>
      </c>
      <c r="H24">
        <v>5.0222860470000002E-3</v>
      </c>
      <c r="I24">
        <v>4.0039844528223512E-3</v>
      </c>
      <c r="J24">
        <v>7.422019961325077E-4</v>
      </c>
    </row>
    <row r="25" spans="1:11" x14ac:dyDescent="0.2">
      <c r="A25" t="s">
        <v>3</v>
      </c>
      <c r="B25">
        <v>4</v>
      </c>
      <c r="C25">
        <v>40.693357975925316</v>
      </c>
      <c r="D25">
        <v>2.3027170365999997E-2</v>
      </c>
      <c r="E25">
        <v>40.697342428746659</v>
      </c>
      <c r="F25">
        <v>5.8113690360000001E-3</v>
      </c>
      <c r="G25">
        <v>40.698123694005744</v>
      </c>
      <c r="H25">
        <v>5.3548848320000009E-3</v>
      </c>
      <c r="I25">
        <v>3.9844528213421881E-3</v>
      </c>
      <c r="J25">
        <v>7.812652590857283E-4</v>
      </c>
    </row>
    <row r="26" spans="1:11" x14ac:dyDescent="0.2">
      <c r="A26" t="s">
        <v>3</v>
      </c>
      <c r="B26">
        <v>5</v>
      </c>
      <c r="C26">
        <v>73.56051819798823</v>
      </c>
      <c r="D26">
        <v>2.4597402794999997E-2</v>
      </c>
      <c r="E26">
        <v>73.56497140996504</v>
      </c>
      <c r="F26">
        <v>4.714098182E-3</v>
      </c>
      <c r="G26">
        <v>73.565791738487079</v>
      </c>
      <c r="H26">
        <v>5.047917513E-3</v>
      </c>
      <c r="J26">
        <v>8.203285220389489E-4</v>
      </c>
    </row>
    <row r="27" spans="1:11" x14ac:dyDescent="0.2">
      <c r="A27" t="s">
        <v>3</v>
      </c>
      <c r="B27">
        <v>6</v>
      </c>
      <c r="C27">
        <v>84.806772723021936</v>
      </c>
      <c r="D27">
        <v>2.1742545701E-2</v>
      </c>
      <c r="E27">
        <v>84.810874365632145</v>
      </c>
      <c r="F27">
        <v>5.3518334669999997E-3</v>
      </c>
      <c r="G27">
        <v>84.811499377839411</v>
      </c>
      <c r="H27">
        <v>6.8671413259999998E-3</v>
      </c>
      <c r="I27">
        <v>4.1016426102089554E-3</v>
      </c>
      <c r="J27">
        <v>6.2501220726574047E-4</v>
      </c>
    </row>
    <row r="28" spans="1:11" x14ac:dyDescent="0.2">
      <c r="A28" t="s">
        <v>3</v>
      </c>
      <c r="B28">
        <v>7</v>
      </c>
      <c r="C28">
        <v>94.615387237389413</v>
      </c>
      <c r="D28">
        <v>2.1008387282E-2</v>
      </c>
      <c r="E28">
        <v>94.619469348368142</v>
      </c>
      <c r="F28">
        <v>5.6691754269999999E-3</v>
      </c>
      <c r="G28">
        <v>94.620133423838368</v>
      </c>
      <c r="H28">
        <v>6.9000960680000003E-3</v>
      </c>
      <c r="I28">
        <v>4.0821109787287924E-3</v>
      </c>
      <c r="J28">
        <v>6.640754702260665E-4</v>
      </c>
    </row>
    <row r="29" spans="1:11" x14ac:dyDescent="0.2">
      <c r="A29" t="s">
        <v>3</v>
      </c>
      <c r="B29">
        <v>8</v>
      </c>
      <c r="C29">
        <v>94.615387237389413</v>
      </c>
      <c r="D29">
        <v>2.1008387282E-2</v>
      </c>
      <c r="E29">
        <v>94.619469348368142</v>
      </c>
      <c r="F29">
        <v>5.6691754269999999E-3</v>
      </c>
      <c r="G29">
        <v>94.620133423838368</v>
      </c>
      <c r="H29">
        <v>6.9000960680000003E-3</v>
      </c>
      <c r="I29">
        <v>4.0821109787287924E-3</v>
      </c>
      <c r="J29">
        <v>6.640754702260665E-4</v>
      </c>
    </row>
    <row r="30" spans="1:11" x14ac:dyDescent="0.2">
      <c r="A30" t="s">
        <v>2</v>
      </c>
    </row>
    <row r="31" spans="1:11" x14ac:dyDescent="0.2">
      <c r="A31" t="s">
        <v>5</v>
      </c>
      <c r="B31">
        <v>1</v>
      </c>
      <c r="C31">
        <v>12.234074171085373</v>
      </c>
      <c r="D31">
        <v>2.3545902415999999E-2</v>
      </c>
      <c r="E31">
        <v>12.237667991277174</v>
      </c>
      <c r="F31">
        <v>6.0316775890000007E-3</v>
      </c>
      <c r="G31">
        <v>12.238585977956602</v>
      </c>
      <c r="H31">
        <v>4.0885683569999998E-3</v>
      </c>
      <c r="I31">
        <v>3.5938201918011003E-3</v>
      </c>
      <c r="J31">
        <v>9.1798667942732948E-4</v>
      </c>
      <c r="K31">
        <f>AVERAGE(I31:I36)</f>
        <v>3.9193473830871168E-3</v>
      </c>
    </row>
    <row r="32" spans="1:11" x14ac:dyDescent="0.2">
      <c r="A32" t="s">
        <v>5</v>
      </c>
      <c r="B32">
        <v>2</v>
      </c>
      <c r="C32">
        <v>23.994775987698976</v>
      </c>
      <c r="D32">
        <v>2.5829543981999999E-2</v>
      </c>
      <c r="E32">
        <v>23.998623719099982</v>
      </c>
      <c r="F32">
        <v>4.7275241880000004E-3</v>
      </c>
      <c r="G32">
        <v>23.999248731307251</v>
      </c>
      <c r="H32">
        <v>5.8431032319999996E-3</v>
      </c>
      <c r="I32">
        <v>3.847731401005916E-3</v>
      </c>
      <c r="J32">
        <v>6.2501220726929319E-4</v>
      </c>
    </row>
    <row r="33" spans="1:11" x14ac:dyDescent="0.2">
      <c r="A33" t="s">
        <v>5</v>
      </c>
      <c r="B33">
        <v>3</v>
      </c>
      <c r="C33">
        <v>33.447638534008476</v>
      </c>
      <c r="D33">
        <v>2.3049750466999998E-2</v>
      </c>
      <c r="E33">
        <v>33.451486265409486</v>
      </c>
      <c r="F33">
        <v>3.7980784090000004E-3</v>
      </c>
      <c r="G33">
        <v>33.452052682722325</v>
      </c>
      <c r="H33">
        <v>5.9010791670000007E-3</v>
      </c>
      <c r="I33">
        <v>3.8477314010094688E-3</v>
      </c>
      <c r="J33">
        <v>5.6641731283946228E-4</v>
      </c>
    </row>
    <row r="34" spans="1:11" x14ac:dyDescent="0.2">
      <c r="A34" t="s">
        <v>5</v>
      </c>
      <c r="B34">
        <v>4</v>
      </c>
      <c r="C34">
        <v>44.795352090747869</v>
      </c>
      <c r="D34">
        <v>2.5499386289E-2</v>
      </c>
      <c r="E34">
        <v>44.799414670095118</v>
      </c>
      <c r="F34">
        <v>4.1294566480000001E-3</v>
      </c>
      <c r="G34">
        <v>44.800039682302391</v>
      </c>
      <c r="H34">
        <v>5.6752781570000004E-3</v>
      </c>
      <c r="I34">
        <v>4.0625793472486293E-3</v>
      </c>
      <c r="J34">
        <v>6.250122072728459E-4</v>
      </c>
    </row>
    <row r="35" spans="1:11" x14ac:dyDescent="0.2">
      <c r="A35" t="s">
        <v>5</v>
      </c>
      <c r="B35">
        <v>5</v>
      </c>
      <c r="C35">
        <v>55.603076177853083</v>
      </c>
      <c r="D35">
        <v>2.4204997255999998E-2</v>
      </c>
      <c r="E35">
        <v>55.607255946989198</v>
      </c>
      <c r="F35">
        <v>3.6076732330000004E-3</v>
      </c>
      <c r="G35">
        <v>55.607861427564991</v>
      </c>
      <c r="H35">
        <v>5.8522573269999996E-3</v>
      </c>
      <c r="I35">
        <v>4.1797691361153966E-3</v>
      </c>
      <c r="J35">
        <v>6.0548057579268288E-4</v>
      </c>
    </row>
    <row r="36" spans="1:11" x14ac:dyDescent="0.2">
      <c r="A36" t="s">
        <v>5</v>
      </c>
      <c r="B36">
        <v>6</v>
      </c>
      <c r="C36">
        <v>66.127185113814733</v>
      </c>
      <c r="D36">
        <v>1.8858395502999999E-2</v>
      </c>
      <c r="E36">
        <v>66.131169566636075</v>
      </c>
      <c r="F36">
        <v>3.7443743850000002E-3</v>
      </c>
      <c r="G36">
        <v>66.131657857422994</v>
      </c>
      <c r="H36">
        <v>5.3701416569999997E-3</v>
      </c>
      <c r="I36">
        <v>3.9844528213421881E-3</v>
      </c>
      <c r="J36">
        <v>4.8829078691881023E-4</v>
      </c>
    </row>
    <row r="37" spans="1:11" x14ac:dyDescent="0.2">
      <c r="A37" t="s">
        <v>2</v>
      </c>
    </row>
    <row r="38" spans="1:11" x14ac:dyDescent="0.2">
      <c r="A38" t="s">
        <v>6</v>
      </c>
      <c r="B38">
        <v>1</v>
      </c>
      <c r="C38">
        <v>3.541037276464384</v>
      </c>
      <c r="D38">
        <v>2.1430085924999998E-2</v>
      </c>
      <c r="E38">
        <v>3.5445139068673215</v>
      </c>
      <c r="F38">
        <v>4.0690396210000005E-3</v>
      </c>
      <c r="G38">
        <v>3.5452365772319769</v>
      </c>
      <c r="H38">
        <v>4.0672088020000004E-3</v>
      </c>
      <c r="I38">
        <v>3.4766304029374417E-3</v>
      </c>
      <c r="J38">
        <v>7.2267036465545331E-4</v>
      </c>
      <c r="K38">
        <f>AVERAGE(I38:I46)</f>
        <v>3.9475597396674521E-3</v>
      </c>
    </row>
    <row r="39" spans="1:11" x14ac:dyDescent="0.2">
      <c r="A39" t="s">
        <v>6</v>
      </c>
      <c r="B39">
        <v>2</v>
      </c>
      <c r="C39">
        <v>26.769753482581692</v>
      </c>
      <c r="D39">
        <v>2.2316812594E-2</v>
      </c>
      <c r="E39">
        <v>26.773503555825311</v>
      </c>
      <c r="F39">
        <v>3.7040963670000003E-3</v>
      </c>
      <c r="G39">
        <v>26.774226226189967</v>
      </c>
      <c r="H39">
        <v>4.8684972509999997E-3</v>
      </c>
      <c r="I39">
        <v>3.7500732436193118E-3</v>
      </c>
      <c r="J39">
        <v>7.226703646558974E-4</v>
      </c>
    </row>
    <row r="40" spans="1:11" x14ac:dyDescent="0.2">
      <c r="A40" t="s">
        <v>6</v>
      </c>
      <c r="B40">
        <v>3</v>
      </c>
      <c r="C40">
        <v>40.694811170227929</v>
      </c>
      <c r="D40">
        <v>2.2512099953999998E-2</v>
      </c>
      <c r="E40">
        <v>40.698697964891892</v>
      </c>
      <c r="F40">
        <v>3.840187246E-3</v>
      </c>
      <c r="G40">
        <v>40.699303445467685</v>
      </c>
      <c r="H40">
        <v>4.5072156350000007E-3</v>
      </c>
      <c r="I40">
        <v>3.8867946639626894E-3</v>
      </c>
      <c r="J40">
        <v>6.0548057579268288E-4</v>
      </c>
    </row>
    <row r="41" spans="1:11" x14ac:dyDescent="0.2">
      <c r="A41" t="s">
        <v>6</v>
      </c>
      <c r="B41">
        <v>4</v>
      </c>
      <c r="C41">
        <v>49.480298756665164</v>
      </c>
      <c r="D41">
        <v>2.1084671406999999E-2</v>
      </c>
      <c r="E41">
        <v>49.484263677855033</v>
      </c>
      <c r="F41">
        <v>3.2653100800000001E-3</v>
      </c>
      <c r="G41">
        <v>49.484810563536392</v>
      </c>
      <c r="H41">
        <v>5.0912468960000005E-3</v>
      </c>
      <c r="I41">
        <v>3.9649211898691306E-3</v>
      </c>
      <c r="J41">
        <v>5.4688568135929927E-4</v>
      </c>
    </row>
    <row r="42" spans="1:11" x14ac:dyDescent="0.2">
      <c r="A42" t="s">
        <v>6</v>
      </c>
      <c r="B42">
        <v>5</v>
      </c>
      <c r="C42">
        <v>49.480298756665164</v>
      </c>
      <c r="D42">
        <v>2.1084671406999999E-2</v>
      </c>
      <c r="E42">
        <v>49.484263677855033</v>
      </c>
      <c r="F42">
        <v>3.2653100800000001E-3</v>
      </c>
      <c r="G42">
        <v>49.484810563536392</v>
      </c>
      <c r="H42">
        <v>5.0912468960000005E-3</v>
      </c>
      <c r="I42">
        <v>3.9649211898691306E-3</v>
      </c>
      <c r="J42">
        <v>5.4688568135929927E-4</v>
      </c>
    </row>
    <row r="43" spans="1:11" x14ac:dyDescent="0.2">
      <c r="A43" t="s">
        <v>6</v>
      </c>
      <c r="B43">
        <v>6</v>
      </c>
      <c r="C43">
        <v>57.886270266954433</v>
      </c>
      <c r="D43">
        <v>2.4339867588999999E-2</v>
      </c>
      <c r="E43">
        <v>57.890332846301689</v>
      </c>
      <c r="F43">
        <v>4.3467138360000004E-3</v>
      </c>
      <c r="G43">
        <v>57.890977390140435</v>
      </c>
      <c r="H43">
        <v>5.5019606249999999E-3</v>
      </c>
      <c r="I43">
        <v>4.0625793472557348E-3</v>
      </c>
      <c r="J43">
        <v>6.4454383874590349E-4</v>
      </c>
    </row>
    <row r="44" spans="1:11" x14ac:dyDescent="0.2">
      <c r="A44" t="s">
        <v>6</v>
      </c>
      <c r="B44">
        <v>7</v>
      </c>
      <c r="C44">
        <v>68.854651785622764</v>
      </c>
      <c r="D44">
        <v>2.0202826921999997E-2</v>
      </c>
      <c r="E44">
        <v>68.858714364970012</v>
      </c>
      <c r="F44">
        <v>3.2646998070000001E-3</v>
      </c>
      <c r="G44">
        <v>68.859183124125465</v>
      </c>
      <c r="H44">
        <v>5.411029948E-3</v>
      </c>
      <c r="I44">
        <v>4.0625793472486293E-3</v>
      </c>
      <c r="J44">
        <v>4.6875915545285807E-4</v>
      </c>
    </row>
    <row r="45" spans="1:11" x14ac:dyDescent="0.2">
      <c r="A45" t="s">
        <v>6</v>
      </c>
      <c r="B45">
        <v>8</v>
      </c>
      <c r="C45">
        <v>78.368468746022373</v>
      </c>
      <c r="D45">
        <v>2.3053412105000001E-2</v>
      </c>
      <c r="E45">
        <v>78.372628983527022</v>
      </c>
      <c r="F45">
        <v>3.4691412620000001E-3</v>
      </c>
      <c r="G45">
        <v>78.373214932471328</v>
      </c>
      <c r="H45">
        <v>5.0637846110000006E-3</v>
      </c>
      <c r="I45">
        <v>4.1602375046494444E-3</v>
      </c>
      <c r="J45">
        <v>5.8594894430541444E-4</v>
      </c>
    </row>
    <row r="46" spans="1:11" x14ac:dyDescent="0.2">
      <c r="A46" t="s">
        <v>6</v>
      </c>
      <c r="B46">
        <v>9</v>
      </c>
      <c r="C46">
        <v>85.842260342705913</v>
      </c>
      <c r="D46">
        <v>2.3179738615999999E-2</v>
      </c>
      <c r="E46">
        <v>85.846459643473509</v>
      </c>
      <c r="F46">
        <v>3.6046218680000001E-3</v>
      </c>
      <c r="G46">
        <v>85.847084655680774</v>
      </c>
      <c r="H46">
        <v>5.3487821020000003E-3</v>
      </c>
      <c r="I46">
        <v>4.1993007675955596E-3</v>
      </c>
      <c r="J46">
        <v>6.2501220726574047E-4</v>
      </c>
    </row>
    <row r="47" spans="1:11" x14ac:dyDescent="0.2">
      <c r="A47" t="s">
        <v>2</v>
      </c>
    </row>
    <row r="48" spans="1:11" x14ac:dyDescent="0.2">
      <c r="A48" t="s">
        <v>7</v>
      </c>
      <c r="B48">
        <v>1</v>
      </c>
      <c r="C48">
        <v>4.3526859575519046</v>
      </c>
      <c r="D48">
        <v>2.1492944043999998E-2</v>
      </c>
      <c r="E48">
        <v>4.3562016512177966</v>
      </c>
      <c r="F48">
        <v>4.1636319360000007E-3</v>
      </c>
      <c r="G48">
        <v>4.3571587011601789</v>
      </c>
      <c r="H48">
        <v>3.7907551330000002E-3</v>
      </c>
      <c r="I48">
        <v>3.5156936658919946E-3</v>
      </c>
      <c r="J48">
        <v>9.5704994238232644E-4</v>
      </c>
      <c r="K48">
        <f>AVERAGE(I48:I54)</f>
        <v>3.9342286261162384E-3</v>
      </c>
    </row>
    <row r="49" spans="1:11" x14ac:dyDescent="0.2">
      <c r="A49" t="s">
        <v>7</v>
      </c>
      <c r="B49">
        <v>2</v>
      </c>
      <c r="C49">
        <v>14.207482685931367</v>
      </c>
      <c r="D49">
        <v>1.8644189679999999E-2</v>
      </c>
      <c r="E49">
        <v>14.211096037754645</v>
      </c>
      <c r="F49">
        <v>3.951256932E-3</v>
      </c>
      <c r="G49">
        <v>14.211935897908162</v>
      </c>
      <c r="H49">
        <v>4.5413909230000004E-3</v>
      </c>
      <c r="I49">
        <v>3.6133518232777107E-3</v>
      </c>
      <c r="J49">
        <v>8.3986015351733556E-4</v>
      </c>
    </row>
    <row r="50" spans="1:11" x14ac:dyDescent="0.2">
      <c r="A50" t="s">
        <v>7</v>
      </c>
      <c r="B50">
        <v>3</v>
      </c>
      <c r="C50">
        <v>62.970273535662805</v>
      </c>
      <c r="D50">
        <v>1.9417405570999999E-2</v>
      </c>
      <c r="E50">
        <v>62.974277520115628</v>
      </c>
      <c r="F50">
        <v>3.9036556380000003E-3</v>
      </c>
      <c r="G50">
        <v>62.975058785374713</v>
      </c>
      <c r="H50">
        <v>4.862394521E-3</v>
      </c>
      <c r="I50">
        <v>4.0039844528223512E-3</v>
      </c>
      <c r="J50">
        <v>7.812652590857283E-4</v>
      </c>
    </row>
    <row r="51" spans="1:11" x14ac:dyDescent="0.2">
      <c r="A51" t="s">
        <v>7</v>
      </c>
      <c r="B51">
        <v>4</v>
      </c>
      <c r="C51">
        <v>72.552349521738705</v>
      </c>
      <c r="D51">
        <v>1.7597571485000001E-2</v>
      </c>
      <c r="E51">
        <v>72.556333974560047</v>
      </c>
      <c r="F51">
        <v>3.6558848000000001E-3</v>
      </c>
      <c r="G51">
        <v>72.55711523981914</v>
      </c>
      <c r="H51">
        <v>3.9781089439999999E-3</v>
      </c>
      <c r="I51">
        <v>3.9844528213421881E-3</v>
      </c>
      <c r="J51">
        <v>7.8126525909283373E-4</v>
      </c>
    </row>
    <row r="52" spans="1:11" x14ac:dyDescent="0.2">
      <c r="A52" t="s">
        <v>7</v>
      </c>
      <c r="B52">
        <v>5</v>
      </c>
      <c r="C52">
        <v>82.481558806880997</v>
      </c>
      <c r="D52">
        <v>1.7941155184E-2</v>
      </c>
      <c r="E52">
        <v>82.485660449491206</v>
      </c>
      <c r="F52">
        <v>3.352579119E-3</v>
      </c>
      <c r="G52">
        <v>82.486461246381765</v>
      </c>
      <c r="H52">
        <v>3.9848219470000005E-3</v>
      </c>
      <c r="I52">
        <v>4.1016426102089554E-3</v>
      </c>
      <c r="J52">
        <v>8.0079689055878589E-4</v>
      </c>
    </row>
    <row r="53" spans="1:11" x14ac:dyDescent="0.2">
      <c r="A53" t="s">
        <v>7</v>
      </c>
      <c r="B53">
        <v>6</v>
      </c>
      <c r="C53">
        <v>93.202925520566808</v>
      </c>
      <c r="D53">
        <v>1.8921863894999998E-2</v>
      </c>
      <c r="E53">
        <v>93.207066226439963</v>
      </c>
      <c r="F53">
        <v>3.2012314150000002E-3</v>
      </c>
      <c r="G53">
        <v>93.207808428436095</v>
      </c>
      <c r="H53">
        <v>4.0232691459999997E-3</v>
      </c>
      <c r="I53">
        <v>4.1407058731550705E-3</v>
      </c>
      <c r="J53">
        <v>7.422019961325077E-4</v>
      </c>
    </row>
    <row r="54" spans="1:11" x14ac:dyDescent="0.2">
      <c r="A54" t="s">
        <v>7</v>
      </c>
      <c r="B54">
        <v>7</v>
      </c>
      <c r="C54">
        <v>102.41115551562531</v>
      </c>
      <c r="D54">
        <v>1.8420219488999998E-2</v>
      </c>
      <c r="E54">
        <v>102.41533528476143</v>
      </c>
      <c r="F54">
        <v>3.4795159030000002E-3</v>
      </c>
      <c r="G54">
        <v>102.41613608165198</v>
      </c>
      <c r="H54">
        <v>5.3512231940000005E-3</v>
      </c>
      <c r="I54">
        <v>4.1797691361153966E-3</v>
      </c>
      <c r="J54">
        <v>8.0079689055878589E-4</v>
      </c>
    </row>
    <row r="55" spans="1:11" x14ac:dyDescent="0.2">
      <c r="A55" t="s">
        <v>2</v>
      </c>
    </row>
    <row r="56" spans="1:11" x14ac:dyDescent="0.2">
      <c r="A56" t="s">
        <v>9</v>
      </c>
      <c r="B56">
        <v>1</v>
      </c>
      <c r="C56">
        <v>22.757012554719822</v>
      </c>
      <c r="D56">
        <v>2.1016931103999999E-2</v>
      </c>
      <c r="E56">
        <v>22.760723564700484</v>
      </c>
      <c r="F56">
        <v>3.5759390370000001E-3</v>
      </c>
      <c r="G56">
        <v>22.76193452585207</v>
      </c>
      <c r="H56">
        <v>3.0370679780000001E-3</v>
      </c>
      <c r="I56">
        <v>3.7110099806625385E-3</v>
      </c>
      <c r="J56">
        <v>1.2109611515853658E-3</v>
      </c>
      <c r="K56">
        <f>AVERAGE(I56:I61)</f>
        <v>3.8444761290949239E-3</v>
      </c>
    </row>
    <row r="57" spans="1:11" x14ac:dyDescent="0.2">
      <c r="A57" t="s">
        <v>9</v>
      </c>
      <c r="B57">
        <v>2</v>
      </c>
      <c r="C57">
        <v>34.525170246334888</v>
      </c>
      <c r="D57">
        <v>2.2352818700999998E-2</v>
      </c>
      <c r="E57">
        <v>34.528881256315557</v>
      </c>
      <c r="F57">
        <v>3.9933657690000004E-3</v>
      </c>
      <c r="G57">
        <v>34.530170343993049</v>
      </c>
      <c r="H57">
        <v>3.5222350130000002E-3</v>
      </c>
      <c r="I57">
        <v>3.7110099806696439E-3</v>
      </c>
      <c r="J57">
        <v>1.289087677491807E-3</v>
      </c>
    </row>
    <row r="58" spans="1:11" x14ac:dyDescent="0.2">
      <c r="A58" t="s">
        <v>9</v>
      </c>
      <c r="B58">
        <v>3</v>
      </c>
      <c r="C58">
        <v>46.74491667583937</v>
      </c>
      <c r="D58">
        <v>1.9261175682999999E-2</v>
      </c>
      <c r="E58">
        <v>46.748627685820033</v>
      </c>
      <c r="F58">
        <v>3.0700227200000001E-3</v>
      </c>
      <c r="G58">
        <v>46.749721457182751</v>
      </c>
      <c r="H58">
        <v>3.394687956E-3</v>
      </c>
      <c r="I58">
        <v>3.7110099806625385E-3</v>
      </c>
      <c r="J58">
        <v>1.0937713627185985E-3</v>
      </c>
    </row>
    <row r="59" spans="1:11" x14ac:dyDescent="0.2">
      <c r="A59" t="s">
        <v>9</v>
      </c>
      <c r="B59">
        <v>4</v>
      </c>
      <c r="C59">
        <v>72.194342318840214</v>
      </c>
      <c r="D59">
        <v>2.1480128310999998E-2</v>
      </c>
      <c r="E59">
        <v>72.198248645135649</v>
      </c>
      <c r="F59">
        <v>2.2394411670000002E-3</v>
      </c>
      <c r="G59">
        <v>72.199459606287235</v>
      </c>
      <c r="H59">
        <v>4.0086225940000001E-3</v>
      </c>
      <c r="I59">
        <v>3.9063262954357469E-3</v>
      </c>
      <c r="J59">
        <v>1.2109611515853658E-3</v>
      </c>
    </row>
    <row r="60" spans="1:11" x14ac:dyDescent="0.2">
      <c r="A60" t="s">
        <v>9</v>
      </c>
      <c r="B60">
        <v>5</v>
      </c>
      <c r="C60">
        <v>86.544470829352136</v>
      </c>
      <c r="D60">
        <v>2.2687248304999998E-2</v>
      </c>
      <c r="E60">
        <v>86.548416218910532</v>
      </c>
      <c r="F60">
        <v>2.7935690510000003E-3</v>
      </c>
      <c r="G60">
        <v>86.549666243325063</v>
      </c>
      <c r="H60">
        <v>3.5448151140000002E-3</v>
      </c>
      <c r="I60">
        <v>3.945389558396073E-3</v>
      </c>
      <c r="J60">
        <v>1.2500244145314809E-3</v>
      </c>
    </row>
    <row r="61" spans="1:11" x14ac:dyDescent="0.2">
      <c r="A61" t="s">
        <v>9</v>
      </c>
      <c r="B61">
        <v>6</v>
      </c>
      <c r="C61">
        <v>98.183004651676782</v>
      </c>
      <c r="D61">
        <v>2.1066973489999998E-2</v>
      </c>
      <c r="E61">
        <v>98.187086762655525</v>
      </c>
      <c r="F61">
        <v>2.2766678200000002E-3</v>
      </c>
      <c r="G61">
        <v>98.188297723807111</v>
      </c>
      <c r="H61">
        <v>2.1448488520000005E-3</v>
      </c>
      <c r="I61">
        <v>4.0821109787430032E-3</v>
      </c>
      <c r="J61">
        <v>1.2109611515853658E-3</v>
      </c>
    </row>
    <row r="62" spans="1:11" x14ac:dyDescent="0.2">
      <c r="A62" t="s">
        <v>2</v>
      </c>
    </row>
    <row r="63" spans="1:11" x14ac:dyDescent="0.2">
      <c r="A63" t="s">
        <v>10</v>
      </c>
      <c r="B63">
        <v>1</v>
      </c>
      <c r="C63">
        <v>5.8737159263794219</v>
      </c>
      <c r="D63">
        <v>1.9184281285E-2</v>
      </c>
      <c r="E63">
        <v>5.8769777088361099</v>
      </c>
      <c r="F63">
        <v>5.7814656589999999E-3</v>
      </c>
      <c r="G63">
        <v>5.8778371006211056</v>
      </c>
      <c r="H63">
        <v>5.1071139940000003E-3</v>
      </c>
      <c r="I63">
        <v>3.2617824566880671E-3</v>
      </c>
      <c r="J63">
        <v>8.5939178499572222E-4</v>
      </c>
      <c r="K63">
        <f>AVERAGE(I63:I70)</f>
        <v>3.2202777397982718E-3</v>
      </c>
    </row>
    <row r="64" spans="1:11" x14ac:dyDescent="0.2">
      <c r="A64" t="s">
        <v>10</v>
      </c>
      <c r="B64">
        <v>2</v>
      </c>
      <c r="C64">
        <v>15.872837747297799</v>
      </c>
      <c r="D64">
        <v>1.9716439340999998E-2</v>
      </c>
      <c r="E64">
        <v>15.876021403228579</v>
      </c>
      <c r="F64">
        <v>5.9859071140000008E-3</v>
      </c>
      <c r="G64">
        <v>15.876822200119143</v>
      </c>
      <c r="H64">
        <v>6.2452731389999998E-3</v>
      </c>
      <c r="I64">
        <v>3.1836559307798495E-3</v>
      </c>
      <c r="J64">
        <v>8.0079689056411496E-4</v>
      </c>
    </row>
    <row r="65" spans="1:11" x14ac:dyDescent="0.2">
      <c r="A65" t="s">
        <v>10</v>
      </c>
      <c r="B65">
        <v>3</v>
      </c>
      <c r="C65">
        <v>24.202295144039923</v>
      </c>
      <c r="D65">
        <v>1.7418151223E-2</v>
      </c>
      <c r="E65">
        <v>24.205342078550363</v>
      </c>
      <c r="F65">
        <v>5.9004688939999998E-3</v>
      </c>
      <c r="G65">
        <v>24.206064748915018</v>
      </c>
      <c r="H65">
        <v>6.0988076190000001E-3</v>
      </c>
      <c r="I65">
        <v>3.0469345104400247E-3</v>
      </c>
      <c r="J65">
        <v>7.226703646558974E-4</v>
      </c>
    </row>
    <row r="66" spans="1:11" x14ac:dyDescent="0.2">
      <c r="A66" t="s">
        <v>10</v>
      </c>
      <c r="B66">
        <v>4</v>
      </c>
      <c r="C66">
        <v>31.194477144465711</v>
      </c>
      <c r="D66">
        <v>1.9305115338999999E-2</v>
      </c>
      <c r="E66">
        <v>31.197621737133538</v>
      </c>
      <c r="F66">
        <v>6.1958410260000004E-3</v>
      </c>
      <c r="G66">
        <v>31.198363939129671</v>
      </c>
      <c r="H66">
        <v>7.1039272500000002E-3</v>
      </c>
      <c r="I66">
        <v>3.1445926678266289E-3</v>
      </c>
      <c r="J66">
        <v>7.422019961325077E-4</v>
      </c>
    </row>
    <row r="67" spans="1:11" x14ac:dyDescent="0.2">
      <c r="A67" t="s">
        <v>10</v>
      </c>
      <c r="B67">
        <v>5</v>
      </c>
      <c r="C67">
        <v>53.383255075845234</v>
      </c>
      <c r="D67">
        <v>2.2532849235999998E-2</v>
      </c>
      <c r="E67">
        <v>53.38657545319635</v>
      </c>
      <c r="F67">
        <v>6.2458834120000008E-3</v>
      </c>
      <c r="G67">
        <v>53.387337186823963</v>
      </c>
      <c r="H67">
        <v>7.3028762480000006E-3</v>
      </c>
      <c r="I67">
        <v>3.3203773511161216E-3</v>
      </c>
      <c r="J67">
        <v>7.6173362761267072E-4</v>
      </c>
    </row>
    <row r="68" spans="1:11" x14ac:dyDescent="0.2">
      <c r="A68" t="s">
        <v>10</v>
      </c>
      <c r="B68">
        <v>6</v>
      </c>
      <c r="C68">
        <v>63.664597754182708</v>
      </c>
      <c r="D68">
        <v>2.2999097808E-2</v>
      </c>
      <c r="E68">
        <v>63.667898599902344</v>
      </c>
      <c r="F68">
        <v>6.9324405369999998E-3</v>
      </c>
      <c r="G68">
        <v>63.668660333529957</v>
      </c>
      <c r="H68">
        <v>8.1975364660000008E-3</v>
      </c>
      <c r="I68">
        <v>3.3008457196359586E-3</v>
      </c>
      <c r="J68">
        <v>7.6173362761267072E-4</v>
      </c>
    </row>
    <row r="69" spans="1:11" x14ac:dyDescent="0.2">
      <c r="A69" t="s">
        <v>10</v>
      </c>
      <c r="B69">
        <v>7</v>
      </c>
      <c r="C69">
        <v>76.205132694456921</v>
      </c>
      <c r="D69">
        <v>2.1345868250999999E-2</v>
      </c>
      <c r="E69">
        <v>76.208374945282131</v>
      </c>
      <c r="F69">
        <v>6.5021980720000004E-3</v>
      </c>
      <c r="G69">
        <v>76.209058552383837</v>
      </c>
      <c r="H69">
        <v>8.1578687209999997E-3</v>
      </c>
      <c r="I69">
        <v>3.2422508252096804E-3</v>
      </c>
      <c r="J69">
        <v>6.8360710170622951E-4</v>
      </c>
    </row>
    <row r="70" spans="1:11" x14ac:dyDescent="0.2">
      <c r="A70" t="s">
        <v>10</v>
      </c>
      <c r="B70">
        <v>8</v>
      </c>
      <c r="C70">
        <v>90.375549820668368</v>
      </c>
      <c r="D70">
        <v>2.2672601753E-2</v>
      </c>
      <c r="E70">
        <v>90.378811603125058</v>
      </c>
      <c r="F70">
        <v>7.0331355819999997E-3</v>
      </c>
      <c r="G70">
        <v>90.37953427348971</v>
      </c>
      <c r="H70">
        <v>9.1654294440000009E-3</v>
      </c>
      <c r="I70">
        <v>3.2617824566898435E-3</v>
      </c>
      <c r="J70">
        <v>7.2267036465234469E-4</v>
      </c>
    </row>
    <row r="71" spans="1:11" x14ac:dyDescent="0.2">
      <c r="A71" t="s">
        <v>2</v>
      </c>
    </row>
    <row r="72" spans="1:11" x14ac:dyDescent="0.2">
      <c r="A72" t="s">
        <v>4</v>
      </c>
      <c r="B72">
        <v>1</v>
      </c>
      <c r="C72">
        <v>3.7682666065919252</v>
      </c>
      <c r="D72">
        <v>1.7557903739999998E-2</v>
      </c>
      <c r="E72">
        <v>3.7711182247875934</v>
      </c>
      <c r="F72">
        <v>6.4246934010000001E-3</v>
      </c>
      <c r="G72">
        <v>3.7717237053633856</v>
      </c>
      <c r="H72">
        <v>8.1810590950000001E-3</v>
      </c>
      <c r="I72">
        <v>2.8516181956681486E-3</v>
      </c>
      <c r="J72">
        <v>6.054805757922388E-4</v>
      </c>
      <c r="K72">
        <f>AVERAGE(I72:I79)</f>
        <v>3.1787730229110855E-3</v>
      </c>
    </row>
    <row r="73" spans="1:11" x14ac:dyDescent="0.2">
      <c r="A73" t="s">
        <v>4</v>
      </c>
      <c r="B73">
        <v>2</v>
      </c>
      <c r="C73">
        <v>15.492290714445595</v>
      </c>
      <c r="D73">
        <v>2.0143020168E-2</v>
      </c>
      <c r="E73">
        <v>15.495318117324556</v>
      </c>
      <c r="F73">
        <v>7.9503759009999994E-3</v>
      </c>
      <c r="G73">
        <v>15.496001724426259</v>
      </c>
      <c r="H73">
        <v>9.1709219010000006E-3</v>
      </c>
      <c r="I73">
        <v>3.0274028789616381E-3</v>
      </c>
      <c r="J73">
        <v>6.836071017026768E-4</v>
      </c>
    </row>
    <row r="74" spans="1:11" x14ac:dyDescent="0.2">
      <c r="A74" t="s">
        <v>4</v>
      </c>
      <c r="B74">
        <v>3</v>
      </c>
      <c r="C74">
        <v>33.461399901371117</v>
      </c>
      <c r="D74">
        <v>1.9118371800999998E-2</v>
      </c>
      <c r="E74">
        <v>33.46444683588156</v>
      </c>
      <c r="F74">
        <v>6.8268633080000004E-3</v>
      </c>
      <c r="G74">
        <v>33.465130442983259</v>
      </c>
      <c r="H74">
        <v>9.2118101920000001E-3</v>
      </c>
      <c r="I74">
        <v>3.0469345104435774E-3</v>
      </c>
      <c r="J74">
        <v>6.8360710169912409E-4</v>
      </c>
    </row>
    <row r="75" spans="1:11" x14ac:dyDescent="0.2">
      <c r="A75" t="s">
        <v>4</v>
      </c>
      <c r="B75">
        <v>4</v>
      </c>
      <c r="C75">
        <v>42.69727296495244</v>
      </c>
      <c r="D75">
        <v>2.1880467399E-2</v>
      </c>
      <c r="E75">
        <v>42.700456620883223</v>
      </c>
      <c r="F75">
        <v>8.1401708040000006E-3</v>
      </c>
      <c r="G75">
        <v>42.701198822879356</v>
      </c>
      <c r="H75">
        <v>9.146510981E-3</v>
      </c>
      <c r="I75">
        <v>3.1836559307834023E-3</v>
      </c>
      <c r="J75">
        <v>7.422019961325077E-4</v>
      </c>
    </row>
    <row r="76" spans="1:11" x14ac:dyDescent="0.2">
      <c r="A76" t="s">
        <v>4</v>
      </c>
      <c r="B76">
        <v>5</v>
      </c>
      <c r="C76">
        <v>61.003537448991196</v>
      </c>
      <c r="D76">
        <v>1.9915998612E-2</v>
      </c>
      <c r="E76">
        <v>61.006740636553452</v>
      </c>
      <c r="F76">
        <v>6.6651409630000009E-3</v>
      </c>
      <c r="G76">
        <v>61.007404712023671</v>
      </c>
      <c r="H76">
        <v>8.3678026330000002E-3</v>
      </c>
      <c r="I76">
        <v>3.2031875622564598E-3</v>
      </c>
      <c r="J76">
        <v>6.6407547021896107E-4</v>
      </c>
    </row>
    <row r="77" spans="1:11" x14ac:dyDescent="0.2">
      <c r="A77" t="s">
        <v>4</v>
      </c>
      <c r="B77">
        <v>6</v>
      </c>
      <c r="C77">
        <v>68.799497914699501</v>
      </c>
      <c r="D77">
        <v>1.9206861385999998E-2</v>
      </c>
      <c r="E77">
        <v>68.802955013470964</v>
      </c>
      <c r="F77">
        <v>5.6173022220000002E-3</v>
      </c>
      <c r="G77">
        <v>68.80365815220415</v>
      </c>
      <c r="H77">
        <v>7.7251851640000001E-3</v>
      </c>
      <c r="I77">
        <v>3.4570987714630519E-3</v>
      </c>
      <c r="J77">
        <v>7.0313873318639253E-4</v>
      </c>
    </row>
    <row r="78" spans="1:11" x14ac:dyDescent="0.2">
      <c r="A78" t="s">
        <v>4</v>
      </c>
      <c r="B78">
        <v>7</v>
      </c>
      <c r="C78">
        <v>93.911146717506199</v>
      </c>
      <c r="D78">
        <v>1.9018897301999998E-2</v>
      </c>
      <c r="E78">
        <v>93.914408499962889</v>
      </c>
      <c r="F78">
        <v>6.2696840590000004E-3</v>
      </c>
      <c r="G78">
        <v>93.915072575433115</v>
      </c>
      <c r="H78">
        <v>8.487416141000001E-3</v>
      </c>
      <c r="I78">
        <v>3.2617824566898435E-3</v>
      </c>
      <c r="J78">
        <v>6.640754702260665E-4</v>
      </c>
    </row>
    <row r="79" spans="1:11" x14ac:dyDescent="0.2">
      <c r="A79" t="s">
        <v>4</v>
      </c>
      <c r="B79">
        <v>8</v>
      </c>
      <c r="C79">
        <v>105.94382241792027</v>
      </c>
      <c r="D79">
        <v>2.4285553291999998E-2</v>
      </c>
      <c r="E79">
        <v>105.9472209217973</v>
      </c>
      <c r="F79">
        <v>7.8069617460000008E-3</v>
      </c>
      <c r="G79">
        <v>105.94794359216196</v>
      </c>
      <c r="H79">
        <v>9.3918407270000004E-3</v>
      </c>
      <c r="I79">
        <v>3.3985038770225628E-3</v>
      </c>
      <c r="J79">
        <v>7.2267036466655554E-4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modified xsi:type="dcterms:W3CDTF">2025-09-19T17:00:05Z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2025-09-16T18:13:07Z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f7efd893-bce7-4b2c-bc53-9b6ae2330249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