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josetorresconstante/Documents/GitHub/SingleSolitaryWaveAnalysis/Pastas_Mortero_2025/0p40/"/>
    </mc:Choice>
  </mc:AlternateContent>
  <xr:revisionPtr revIDLastSave="0" documentId="13_ncr:1_{A8CDC105-2BB2-9E45-94F2-D1D8F592FA83}" xr6:coauthVersionLast="47" xr6:coauthVersionMax="47" xr10:uidLastSave="{00000000-0000-0000-0000-000000000000}"/>
  <bookViews>
    <workbookView xWindow="0" yWindow="500" windowWidth="28800" windowHeight="15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3" i="1" l="1"/>
  <c r="L6" i="1" s="1"/>
  <c r="K60" i="1"/>
  <c r="L9" i="1" s="1"/>
  <c r="K40" i="1"/>
  <c r="L7" i="1" s="1"/>
  <c r="L10" i="1"/>
  <c r="L8" i="1"/>
  <c r="L5" i="1"/>
  <c r="L4" i="1"/>
  <c r="L3" i="1"/>
  <c r="K47" i="1"/>
  <c r="K9" i="1"/>
  <c r="K24" i="1"/>
  <c r="K74" i="1"/>
  <c r="K16" i="1"/>
  <c r="K2" i="1"/>
  <c r="L2" i="1" s="1"/>
</calcChain>
</file>

<file path=xl/sharedStrings.xml><?xml version="1.0" encoding="utf-8"?>
<sst xmlns="http://schemas.openxmlformats.org/spreadsheetml/2006/main" count="92" uniqueCount="21">
  <si>
    <t>Filename</t>
  </si>
  <si>
    <t>ref_0p4_0min.mat</t>
  </si>
  <si>
    <t>---</t>
  </si>
  <si>
    <t>ref_0p4_10min.mat</t>
  </si>
  <si>
    <t>ref_0p4_187min.mat</t>
  </si>
  <si>
    <t>ref_0p4_20min.mat</t>
  </si>
  <si>
    <t>ref_0p4_30min.mat</t>
  </si>
  <si>
    <t>ref_0p4_40min.mat</t>
  </si>
  <si>
    <t>ref_0p4_5min.mat</t>
  </si>
  <si>
    <t>ref_0p4_60min.mat</t>
  </si>
  <si>
    <t>ref_0p4_90min.mat</t>
  </si>
  <si>
    <t>Group</t>
  </si>
  <si>
    <t>Pico1_X</t>
  </si>
  <si>
    <t>Pico1_Y</t>
  </si>
  <si>
    <t>Pico2_X</t>
  </si>
  <si>
    <t>Pico2_Y</t>
  </si>
  <si>
    <t>Pico3_X</t>
  </si>
  <si>
    <t>Pico3_Y</t>
  </si>
  <si>
    <t>TOF1</t>
  </si>
  <si>
    <t>TOF2</t>
  </si>
  <si>
    <t>TOF1 prom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</si>
</sst>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1"/>
  <sheetViews>
    <sheetView tabSelected="1" topLeftCell="A58" zoomScale="142" workbookViewId="0">
      <selection activeCell="K40" sqref="K40"/>
    </sheetView>
  </sheetViews>
  <sheetFormatPr baseColWidth="10" defaultColWidth="8.83203125" defaultRowHeight="15" x14ac:dyDescent="0.2"/>
  <cols>
    <col min="1" max="1" width="18" customWidth="1"/>
    <col min="2" max="2" width="6.1640625" customWidth="1"/>
    <col min="3" max="3" width="11.83203125" customWidth="1"/>
    <col min="4" max="4" width="13.83203125" customWidth="1"/>
    <col min="5" max="5" width="11.83203125" customWidth="1"/>
    <col min="6" max="6" width="14.83203125" customWidth="1"/>
    <col min="7" max="7" width="11.83203125" customWidth="1"/>
    <col min="8" max="8" width="14.83203125" customWidth="1"/>
    <col min="9" max="10" width="15.83203125" customWidth="1"/>
    <col min="11" max="11" width="12.1640625" bestFit="1" customWidth="1"/>
    <col min="12" max="12" width="9.5" bestFit="1" customWidth="1"/>
  </cols>
  <sheetData>
    <row r="1" spans="1:12" x14ac:dyDescent="0.2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s="1" t="s">
        <v>20</v>
      </c>
      <c r="L1" s="1" t="s">
        <v>20</v>
      </c>
    </row>
    <row r="2" spans="1:12" x14ac:dyDescent="0.2">
      <c r="A2" t="s">
        <v>1</v>
      </c>
      <c r="B2">
        <v>1</v>
      </c>
      <c r="C2">
        <v>5.7970115588156022</v>
      </c>
      <c r="D2">
        <v>1.5532407653000001E-2</v>
      </c>
      <c r="E2">
        <v>5.8004491259555859</v>
      </c>
      <c r="F2">
        <v>4.1978072240000004E-3</v>
      </c>
      <c r="G2">
        <v>5.8009960116369461</v>
      </c>
      <c r="H2">
        <v>6.1122336250000004E-3</v>
      </c>
      <c r="I2">
        <v>3.4375671399837771E-3</v>
      </c>
      <c r="J2">
        <v>5.4688568136018745E-4</v>
      </c>
      <c r="K2">
        <f>AVERAGE(I2:I7)</f>
        <v>3.541735841195178E-3</v>
      </c>
      <c r="L2">
        <f>K2</f>
        <v>3.541735841195178E-3</v>
      </c>
    </row>
    <row r="3" spans="1:12" x14ac:dyDescent="0.2">
      <c r="A3" t="s">
        <v>1</v>
      </c>
      <c r="B3">
        <v>2</v>
      </c>
      <c r="C3">
        <v>23.124812079237877</v>
      </c>
      <c r="D3">
        <v>1.6847545967999998E-2</v>
      </c>
      <c r="E3">
        <v>23.128425431061153</v>
      </c>
      <c r="F3">
        <v>4.4120130470000005E-3</v>
      </c>
      <c r="G3">
        <v>23.128874658585129</v>
      </c>
      <c r="H3">
        <v>6.8347968570000002E-3</v>
      </c>
      <c r="I3">
        <v>3.6133518232759343E-3</v>
      </c>
      <c r="J3">
        <v>4.4922752397624777E-4</v>
      </c>
      <c r="L3">
        <f>K9</f>
        <v>4.1146636978582523E-3</v>
      </c>
    </row>
    <row r="4" spans="1:12" x14ac:dyDescent="0.2">
      <c r="A4" t="s">
        <v>1</v>
      </c>
      <c r="B4">
        <v>3</v>
      </c>
      <c r="C4">
        <v>45.490788562850838</v>
      </c>
      <c r="D4">
        <v>1.3159666229E-2</v>
      </c>
      <c r="E4">
        <v>45.494069876939008</v>
      </c>
      <c r="F4">
        <v>3.5216247400000002E-3</v>
      </c>
      <c r="G4">
        <v>45.494538636094461</v>
      </c>
      <c r="H4">
        <v>5.1272530030000004E-3</v>
      </c>
      <c r="I4">
        <v>3.2813140881700065E-3</v>
      </c>
      <c r="J4">
        <v>4.6875915545285807E-4</v>
      </c>
      <c r="L4">
        <f>K16</f>
        <v>4.1741886699789687E-3</v>
      </c>
    </row>
    <row r="5" spans="1:12" x14ac:dyDescent="0.2">
      <c r="A5" t="s">
        <v>1</v>
      </c>
      <c r="B5">
        <v>4</v>
      </c>
      <c r="C5">
        <v>54.666151678732007</v>
      </c>
      <c r="D5">
        <v>2.0126542796999998E-2</v>
      </c>
      <c r="E5">
        <v>54.669921283607103</v>
      </c>
      <c r="F5">
        <v>4.7281344610000005E-3</v>
      </c>
      <c r="G5">
        <v>54.670487700919942</v>
      </c>
      <c r="H5">
        <v>7.3022659749999996E-3</v>
      </c>
      <c r="I5">
        <v>3.7696048750959221E-3</v>
      </c>
      <c r="J5">
        <v>5.6641731283946228E-4</v>
      </c>
      <c r="L5">
        <f>K24</f>
        <v>4.4214730756448883E-3</v>
      </c>
    </row>
    <row r="6" spans="1:12" x14ac:dyDescent="0.2">
      <c r="A6" t="s">
        <v>1</v>
      </c>
      <c r="B6">
        <v>5</v>
      </c>
      <c r="C6">
        <v>63.193050552780328</v>
      </c>
      <c r="D6">
        <v>1.7894164163E-2</v>
      </c>
      <c r="E6">
        <v>63.196683436235084</v>
      </c>
      <c r="F6">
        <v>4.7488837430000007E-3</v>
      </c>
      <c r="G6">
        <v>63.19730844844235</v>
      </c>
      <c r="H6">
        <v>6.0341186810000001E-3</v>
      </c>
      <c r="I6">
        <v>3.6328834547560973E-3</v>
      </c>
      <c r="J6">
        <v>6.2501220726574047E-4</v>
      </c>
      <c r="L6">
        <f>K33</f>
        <v>4.3868044297724392E-3</v>
      </c>
    </row>
    <row r="7" spans="1:12" x14ac:dyDescent="0.2">
      <c r="A7" t="s">
        <v>1</v>
      </c>
      <c r="B7">
        <v>6</v>
      </c>
      <c r="C7">
        <v>87.98326502296139</v>
      </c>
      <c r="D7">
        <v>1.9623067572E-2</v>
      </c>
      <c r="E7">
        <v>87.98678071662728</v>
      </c>
      <c r="F7">
        <v>4.5767867570000002E-3</v>
      </c>
      <c r="G7">
        <v>87.98738619720308</v>
      </c>
      <c r="H7">
        <v>5.6392720499999997E-3</v>
      </c>
      <c r="I7">
        <v>3.5156936658893301E-3</v>
      </c>
      <c r="J7">
        <v>6.0548057579978831E-4</v>
      </c>
      <c r="L7">
        <f>K40</f>
        <v>4.3555538194055997E-3</v>
      </c>
    </row>
    <row r="8" spans="1:12" x14ac:dyDescent="0.2">
      <c r="A8" t="s">
        <v>2</v>
      </c>
      <c r="L8">
        <f>K47</f>
        <v>4.0267713562129144E-3</v>
      </c>
    </row>
    <row r="9" spans="1:12" x14ac:dyDescent="0.2">
      <c r="A9" t="s">
        <v>8</v>
      </c>
      <c r="B9">
        <v>1</v>
      </c>
      <c r="C9">
        <v>5.1278138100880879</v>
      </c>
      <c r="D9">
        <v>2.5423102164000001E-2</v>
      </c>
      <c r="E9">
        <v>5.1319349843297717</v>
      </c>
      <c r="F9">
        <v>5.308504084E-3</v>
      </c>
      <c r="G9">
        <v>5.1326381230629501</v>
      </c>
      <c r="H9">
        <v>7.1655648230000007E-3</v>
      </c>
      <c r="I9">
        <v>4.1211742416837893E-3</v>
      </c>
      <c r="J9">
        <v>7.0313873317839892E-4</v>
      </c>
      <c r="K9">
        <f>AVERAGE(I9:I14)</f>
        <v>4.1146636978582523E-3</v>
      </c>
      <c r="L9">
        <f>K60</f>
        <v>3.8745873942911402E-3</v>
      </c>
    </row>
    <row r="10" spans="1:12" x14ac:dyDescent="0.2">
      <c r="A10" t="s">
        <v>8</v>
      </c>
      <c r="B10">
        <v>2</v>
      </c>
      <c r="C10">
        <v>13.562695575692885</v>
      </c>
      <c r="D10">
        <v>2.5398691243999998E-2</v>
      </c>
      <c r="E10">
        <v>13.566894876460479</v>
      </c>
      <c r="F10">
        <v>5.1980446710000001E-3</v>
      </c>
      <c r="G10">
        <v>13.567598015193656</v>
      </c>
      <c r="H10">
        <v>6.358783917E-3</v>
      </c>
      <c r="I10">
        <v>4.1993007675937832E-3</v>
      </c>
      <c r="J10">
        <v>7.0313873317751074E-4</v>
      </c>
      <c r="L10">
        <f>K74</f>
        <v>3.0005468856826312E-3</v>
      </c>
    </row>
    <row r="11" spans="1:12" x14ac:dyDescent="0.2">
      <c r="A11" t="s">
        <v>8</v>
      </c>
      <c r="B11">
        <v>3</v>
      </c>
      <c r="C11">
        <v>23.357572189671671</v>
      </c>
      <c r="D11">
        <v>2.0638561843999998E-2</v>
      </c>
      <c r="E11">
        <v>23.361576174124494</v>
      </c>
      <c r="F11">
        <v>4.2197770519999999E-3</v>
      </c>
      <c r="G11">
        <v>23.362259781226197</v>
      </c>
      <c r="H11">
        <v>6.0377803190000004E-3</v>
      </c>
      <c r="I11">
        <v>4.0039844528223512E-3</v>
      </c>
      <c r="J11">
        <v>6.836071017026768E-4</v>
      </c>
    </row>
    <row r="12" spans="1:12" x14ac:dyDescent="0.2">
      <c r="A12" t="s">
        <v>8</v>
      </c>
      <c r="B12">
        <v>4</v>
      </c>
      <c r="C12">
        <v>29.912910238080823</v>
      </c>
      <c r="D12">
        <v>1.8708268345000001E-2</v>
      </c>
      <c r="E12">
        <v>29.916836096007735</v>
      </c>
      <c r="F12">
        <v>3.7779394000000003E-3</v>
      </c>
      <c r="G12">
        <v>29.917422044952051</v>
      </c>
      <c r="H12">
        <v>5.9743119270000006E-3</v>
      </c>
      <c r="I12">
        <v>3.9258579269123572E-3</v>
      </c>
      <c r="J12">
        <v>5.8594894431607258E-4</v>
      </c>
    </row>
    <row r="13" spans="1:12" x14ac:dyDescent="0.2">
      <c r="A13" t="s">
        <v>8</v>
      </c>
      <c r="B13">
        <v>5</v>
      </c>
      <c r="C13">
        <v>39.535544420275791</v>
      </c>
      <c r="D13">
        <v>1.998679028E-2</v>
      </c>
      <c r="E13">
        <v>39.539567936360086</v>
      </c>
      <c r="F13">
        <v>4.267988619E-3</v>
      </c>
      <c r="G13">
        <v>39.540232011830312</v>
      </c>
      <c r="H13">
        <v>6.9110809820000004E-3</v>
      </c>
      <c r="I13">
        <v>4.0235160842954087E-3</v>
      </c>
      <c r="J13">
        <v>6.640754702260665E-4</v>
      </c>
    </row>
    <row r="14" spans="1:12" x14ac:dyDescent="0.2">
      <c r="A14" t="s">
        <v>8</v>
      </c>
      <c r="B14">
        <v>6</v>
      </c>
      <c r="C14">
        <v>47.713481741938317</v>
      </c>
      <c r="D14">
        <v>2.6345224666999997E-2</v>
      </c>
      <c r="E14">
        <v>47.717895890652159</v>
      </c>
      <c r="F14">
        <v>5.3603772890000005E-3</v>
      </c>
      <c r="G14">
        <v>47.718657624279771</v>
      </c>
      <c r="H14">
        <v>6.6810080610000006E-3</v>
      </c>
      <c r="I14">
        <v>4.4141487138418256E-3</v>
      </c>
      <c r="J14">
        <v>7.6173362761267072E-4</v>
      </c>
    </row>
    <row r="15" spans="1:12" x14ac:dyDescent="0.2">
      <c r="A15" t="s">
        <v>2</v>
      </c>
    </row>
    <row r="16" spans="1:12" x14ac:dyDescent="0.2">
      <c r="A16" t="s">
        <v>3</v>
      </c>
      <c r="B16">
        <v>1</v>
      </c>
      <c r="C16">
        <v>4.3313326736733142</v>
      </c>
      <c r="D16">
        <v>2.2132510147999999E-2</v>
      </c>
      <c r="E16">
        <v>4.335453847914998</v>
      </c>
      <c r="F16">
        <v>4.1514264760000004E-3</v>
      </c>
      <c r="G16">
        <v>4.3361765182796539</v>
      </c>
      <c r="H16">
        <v>5.7045712609999997E-3</v>
      </c>
      <c r="I16">
        <v>4.1211742416837893E-3</v>
      </c>
      <c r="J16">
        <v>7.226703646558974E-4</v>
      </c>
      <c r="K16">
        <f>AVERAGE(I16:I22)</f>
        <v>4.1741886699789687E-3</v>
      </c>
    </row>
    <row r="17" spans="1:11" x14ac:dyDescent="0.2">
      <c r="A17" t="s">
        <v>3</v>
      </c>
      <c r="B17">
        <v>2</v>
      </c>
      <c r="C17">
        <v>10.905360200714858</v>
      </c>
      <c r="D17">
        <v>2.4659650640999998E-2</v>
      </c>
      <c r="E17">
        <v>10.909657159639837</v>
      </c>
      <c r="F17">
        <v>4.3406111059999999E-3</v>
      </c>
      <c r="G17">
        <v>10.910282171847106</v>
      </c>
      <c r="H17">
        <v>6.1415267290000006E-3</v>
      </c>
      <c r="I17">
        <v>4.2969589249786111E-3</v>
      </c>
      <c r="J17">
        <v>6.2501220726929319E-4</v>
      </c>
    </row>
    <row r="18" spans="1:11" x14ac:dyDescent="0.2">
      <c r="A18" t="s">
        <v>3</v>
      </c>
      <c r="B18">
        <v>3</v>
      </c>
      <c r="C18">
        <v>16.778195439514445</v>
      </c>
      <c r="D18">
        <v>1.9286196876E-2</v>
      </c>
      <c r="E18">
        <v>16.782336145387607</v>
      </c>
      <c r="F18">
        <v>3.7486462960000001E-3</v>
      </c>
      <c r="G18">
        <v>16.782980689226353</v>
      </c>
      <c r="H18">
        <v>5.5282023639999997E-3</v>
      </c>
      <c r="I18">
        <v>4.140705873162176E-3</v>
      </c>
      <c r="J18">
        <v>6.4454383874590349E-4</v>
      </c>
    </row>
    <row r="19" spans="1:11" x14ac:dyDescent="0.2">
      <c r="A19" t="s">
        <v>3</v>
      </c>
      <c r="B19">
        <v>4</v>
      </c>
      <c r="C19">
        <v>44.645378741444169</v>
      </c>
      <c r="D19">
        <v>1.8206623939000001E-2</v>
      </c>
      <c r="E19">
        <v>44.649656168737671</v>
      </c>
      <c r="F19">
        <v>3.0279138830000001E-3</v>
      </c>
      <c r="G19">
        <v>44.65020305441903</v>
      </c>
      <c r="H19">
        <v>5.2218453180000006E-3</v>
      </c>
      <c r="I19">
        <v>4.2774272935020008E-3</v>
      </c>
      <c r="J19">
        <v>5.4688568135929927E-4</v>
      </c>
    </row>
    <row r="20" spans="1:11" x14ac:dyDescent="0.2">
      <c r="A20" t="s">
        <v>3</v>
      </c>
      <c r="B20">
        <v>5</v>
      </c>
      <c r="C20">
        <v>54.125472836541732</v>
      </c>
      <c r="D20">
        <v>1.9763430361999998E-2</v>
      </c>
      <c r="E20">
        <v>54.129769795466707</v>
      </c>
      <c r="F20">
        <v>3.6290327880000002E-3</v>
      </c>
      <c r="G20">
        <v>54.130355744411027</v>
      </c>
      <c r="H20">
        <v>6.042662503E-3</v>
      </c>
      <c r="I20">
        <v>4.2969589249750584E-3</v>
      </c>
      <c r="J20">
        <v>5.859489443196253E-4</v>
      </c>
    </row>
    <row r="21" spans="1:11" x14ac:dyDescent="0.2">
      <c r="A21" t="s">
        <v>3</v>
      </c>
      <c r="B21">
        <v>6</v>
      </c>
      <c r="C21">
        <v>63.246202446110274</v>
      </c>
      <c r="D21">
        <v>1.7374211567E-2</v>
      </c>
      <c r="E21">
        <v>63.250186898931616</v>
      </c>
      <c r="F21">
        <v>3.1835334980000003E-3</v>
      </c>
      <c r="G21">
        <v>63.250772847875936</v>
      </c>
      <c r="H21">
        <v>5.4140813130000003E-3</v>
      </c>
      <c r="I21">
        <v>3.9844528213421881E-3</v>
      </c>
      <c r="J21">
        <v>5.859489443196253E-4</v>
      </c>
    </row>
    <row r="22" spans="1:11" x14ac:dyDescent="0.2">
      <c r="A22" t="s">
        <v>3</v>
      </c>
      <c r="B22">
        <v>7</v>
      </c>
      <c r="C22">
        <v>96.633538769126346</v>
      </c>
      <c r="D22">
        <v>1.7592689301000001E-2</v>
      </c>
      <c r="E22">
        <v>96.637640411736555</v>
      </c>
      <c r="F22">
        <v>3.4746337190000001E-3</v>
      </c>
      <c r="G22">
        <v>96.638265423943835</v>
      </c>
      <c r="H22">
        <v>5.5361359130000004E-3</v>
      </c>
      <c r="I22">
        <v>4.1016426102089554E-3</v>
      </c>
      <c r="J22">
        <v>6.2501220727995133E-4</v>
      </c>
    </row>
    <row r="23" spans="1:11" x14ac:dyDescent="0.2">
      <c r="A23" t="s">
        <v>2</v>
      </c>
    </row>
    <row r="24" spans="1:11" x14ac:dyDescent="0.2">
      <c r="A24" t="s">
        <v>5</v>
      </c>
      <c r="B24">
        <v>1</v>
      </c>
      <c r="C24">
        <v>3.8060481382605129</v>
      </c>
      <c r="D24">
        <v>2.1178043176E-2</v>
      </c>
      <c r="E24">
        <v>3.8100325910818569</v>
      </c>
      <c r="F24">
        <v>3.7224045570000003E-3</v>
      </c>
      <c r="G24">
        <v>3.8108333879724214</v>
      </c>
      <c r="H24">
        <v>5.1199297270000006E-3</v>
      </c>
      <c r="I24">
        <v>3.9844528213439645E-3</v>
      </c>
      <c r="J24">
        <v>8.0079689056455905E-4</v>
      </c>
      <c r="K24">
        <f>AVERAGE(I24:I31)</f>
        <v>4.4214730756448883E-3</v>
      </c>
    </row>
    <row r="25" spans="1:11" x14ac:dyDescent="0.2">
      <c r="A25" t="s">
        <v>5</v>
      </c>
      <c r="B25">
        <v>2</v>
      </c>
      <c r="C25">
        <v>3.8060481382605129</v>
      </c>
      <c r="D25">
        <v>2.1178043176E-2</v>
      </c>
      <c r="E25">
        <v>3.8100325910818569</v>
      </c>
      <c r="F25">
        <v>3.7224045570000003E-3</v>
      </c>
      <c r="G25">
        <v>3.8108333879724214</v>
      </c>
      <c r="H25">
        <v>5.1199297270000006E-3</v>
      </c>
      <c r="I25">
        <v>3.9844528213439645E-3</v>
      </c>
      <c r="J25">
        <v>8.0079689056455905E-4</v>
      </c>
    </row>
    <row r="26" spans="1:11" x14ac:dyDescent="0.2">
      <c r="A26" t="s">
        <v>5</v>
      </c>
      <c r="B26">
        <v>3</v>
      </c>
      <c r="C26">
        <v>15.354723163440692</v>
      </c>
      <c r="D26">
        <v>1.7369939655999998E-2</v>
      </c>
      <c r="E26">
        <v>15.358961527471239</v>
      </c>
      <c r="F26">
        <v>2.8820586360000003E-3</v>
      </c>
      <c r="G26">
        <v>15.359625602941463</v>
      </c>
      <c r="H26">
        <v>4.5981463120000005E-3</v>
      </c>
      <c r="I26">
        <v>4.2383640305470038E-3</v>
      </c>
      <c r="J26">
        <v>6.6407547022429014E-4</v>
      </c>
    </row>
    <row r="27" spans="1:11" x14ac:dyDescent="0.2">
      <c r="A27" t="s">
        <v>5</v>
      </c>
      <c r="B27">
        <v>4</v>
      </c>
      <c r="C27">
        <v>22.82287544188949</v>
      </c>
      <c r="D27">
        <v>1.7228356319999999E-2</v>
      </c>
      <c r="E27">
        <v>22.827270058971855</v>
      </c>
      <c r="F27">
        <v>2.8893819120000002E-3</v>
      </c>
      <c r="G27">
        <v>22.827875539547648</v>
      </c>
      <c r="H27">
        <v>4.3619706610000001E-3</v>
      </c>
      <c r="I27">
        <v>4.3946170823652153E-3</v>
      </c>
      <c r="J27">
        <v>6.0548057579268288E-4</v>
      </c>
    </row>
    <row r="28" spans="1:11" x14ac:dyDescent="0.2">
      <c r="A28" t="s">
        <v>5</v>
      </c>
      <c r="B28">
        <v>5</v>
      </c>
      <c r="C28">
        <v>45.067792550573252</v>
      </c>
      <c r="D28">
        <v>1.8838256493999998E-2</v>
      </c>
      <c r="E28">
        <v>45.0724606104963</v>
      </c>
      <c r="F28">
        <v>2.5146742900000003E-3</v>
      </c>
      <c r="G28">
        <v>45.072968432914706</v>
      </c>
      <c r="H28">
        <v>4.3534268390000002E-3</v>
      </c>
      <c r="I28">
        <v>4.6680599230484177E-3</v>
      </c>
      <c r="J28">
        <v>5.0782241840607867E-4</v>
      </c>
    </row>
    <row r="29" spans="1:11" x14ac:dyDescent="0.2">
      <c r="A29" t="s">
        <v>5</v>
      </c>
      <c r="B29">
        <v>6</v>
      </c>
      <c r="C29">
        <v>61.438951586294657</v>
      </c>
      <c r="D29">
        <v>1.8123626811E-2</v>
      </c>
      <c r="E29">
        <v>61.443541519691792</v>
      </c>
      <c r="F29">
        <v>1.8299479840000001E-3</v>
      </c>
      <c r="G29">
        <v>61.443990747215771</v>
      </c>
      <c r="H29">
        <v>4.0592752530000005E-3</v>
      </c>
      <c r="I29">
        <v>4.589933397134871E-3</v>
      </c>
      <c r="J29">
        <v>4.4922752397980048E-4</v>
      </c>
    </row>
    <row r="30" spans="1:11" x14ac:dyDescent="0.2">
      <c r="A30" t="s">
        <v>5</v>
      </c>
      <c r="B30">
        <v>7</v>
      </c>
      <c r="C30">
        <v>72.972950096800716</v>
      </c>
      <c r="D30">
        <v>1.8214557488000001E-2</v>
      </c>
      <c r="E30">
        <v>72.977500966934898</v>
      </c>
      <c r="F30">
        <v>2.0209634330000002E-3</v>
      </c>
      <c r="G30">
        <v>72.978047852616257</v>
      </c>
      <c r="H30">
        <v>3.5130809180000003E-3</v>
      </c>
      <c r="I30">
        <v>4.5508701341816504E-3</v>
      </c>
      <c r="J30">
        <v>5.4688568135929927E-4</v>
      </c>
    </row>
    <row r="31" spans="1:11" x14ac:dyDescent="0.2">
      <c r="A31" t="s">
        <v>5</v>
      </c>
      <c r="B31">
        <v>8</v>
      </c>
      <c r="C31">
        <v>87.17063359818161</v>
      </c>
      <c r="D31">
        <v>2.3326204135999999E-2</v>
      </c>
      <c r="E31">
        <v>87.175594632576804</v>
      </c>
      <c r="F31">
        <v>3.0858898180000003E-3</v>
      </c>
      <c r="G31">
        <v>87.176219644784084</v>
      </c>
      <c r="H31">
        <v>4.2905687200000004E-3</v>
      </c>
      <c r="I31">
        <v>4.9610343951940195E-3</v>
      </c>
      <c r="J31">
        <v>6.2501220727995133E-4</v>
      </c>
    </row>
    <row r="32" spans="1:11" x14ac:dyDescent="0.2">
      <c r="A32" t="s">
        <v>2</v>
      </c>
    </row>
    <row r="33" spans="1:11" x14ac:dyDescent="0.2">
      <c r="A33" t="s">
        <v>6</v>
      </c>
      <c r="B33">
        <v>1</v>
      </c>
      <c r="C33">
        <v>16.338588046559504</v>
      </c>
      <c r="D33">
        <v>1.7617100221E-2</v>
      </c>
      <c r="E33">
        <v>16.34214280348835</v>
      </c>
      <c r="F33">
        <v>2.7087411040000002E-3</v>
      </c>
      <c r="G33">
        <v>16.343119385062209</v>
      </c>
      <c r="H33">
        <v>3.3544099380000002E-3</v>
      </c>
      <c r="J33">
        <v>9.7658157385893674E-4</v>
      </c>
      <c r="K33">
        <f>AVERAGE(I33:I38)</f>
        <v>4.3868044297724392E-3</v>
      </c>
    </row>
    <row r="34" spans="1:11" x14ac:dyDescent="0.2">
      <c r="A34" t="s">
        <v>6</v>
      </c>
      <c r="B34">
        <v>2</v>
      </c>
      <c r="C34">
        <v>25.332212026270046</v>
      </c>
      <c r="D34">
        <v>1.6610149771000001E-2</v>
      </c>
      <c r="E34">
        <v>25.336098820934001</v>
      </c>
      <c r="F34">
        <v>2.7239979290000003E-3</v>
      </c>
      <c r="G34">
        <v>25.337036339244907</v>
      </c>
      <c r="H34">
        <v>3.0895514560000002E-3</v>
      </c>
      <c r="I34">
        <v>3.8867946639555839E-3</v>
      </c>
      <c r="J34">
        <v>9.3751831090571613E-4</v>
      </c>
    </row>
    <row r="35" spans="1:11" x14ac:dyDescent="0.2">
      <c r="A35" t="s">
        <v>6</v>
      </c>
      <c r="B35">
        <v>3</v>
      </c>
      <c r="C35">
        <v>43.862603347487251</v>
      </c>
      <c r="D35">
        <v>1.8005844122E-2</v>
      </c>
      <c r="E35">
        <v>43.86699796456962</v>
      </c>
      <c r="F35">
        <v>3.0126570580000004E-3</v>
      </c>
      <c r="G35">
        <v>43.867759698197226</v>
      </c>
      <c r="H35">
        <v>3.5088090070000003E-3</v>
      </c>
      <c r="I35">
        <v>4.394617082368768E-3</v>
      </c>
      <c r="J35">
        <v>7.6173362760556529E-4</v>
      </c>
    </row>
    <row r="36" spans="1:11" x14ac:dyDescent="0.2">
      <c r="A36" t="s">
        <v>6</v>
      </c>
      <c r="B36">
        <v>4</v>
      </c>
      <c r="C36">
        <v>50.747698665382138</v>
      </c>
      <c r="D36">
        <v>1.8915761164999999E-2</v>
      </c>
      <c r="E36">
        <v>50.752190940621887</v>
      </c>
      <c r="F36">
        <v>2.5158948360000004E-3</v>
      </c>
      <c r="G36">
        <v>50.752952674249499</v>
      </c>
      <c r="H36">
        <v>3.9994684990000001E-3</v>
      </c>
      <c r="I36">
        <v>4.4922752397482668E-3</v>
      </c>
      <c r="J36">
        <v>7.6173362761267072E-4</v>
      </c>
    </row>
    <row r="37" spans="1:11" x14ac:dyDescent="0.2">
      <c r="A37" t="s">
        <v>6</v>
      </c>
      <c r="B37">
        <v>5</v>
      </c>
      <c r="C37">
        <v>66.156989553254945</v>
      </c>
      <c r="D37">
        <v>2.1661379392E-2</v>
      </c>
      <c r="E37">
        <v>66.161657613177994</v>
      </c>
      <c r="F37">
        <v>3.6882292690000001E-3</v>
      </c>
      <c r="G37">
        <v>66.162438878437072</v>
      </c>
      <c r="H37">
        <v>4.8599534290000006E-3</v>
      </c>
      <c r="I37">
        <v>4.6680599230484177E-3</v>
      </c>
      <c r="J37">
        <v>7.8126525907862288E-4</v>
      </c>
    </row>
    <row r="38" spans="1:11" x14ac:dyDescent="0.2">
      <c r="A38" t="s">
        <v>6</v>
      </c>
      <c r="B38">
        <v>6</v>
      </c>
      <c r="C38">
        <v>76.170626328834558</v>
      </c>
      <c r="D38">
        <v>1.7593299574E-2</v>
      </c>
      <c r="E38">
        <v>76.175118604074299</v>
      </c>
      <c r="F38">
        <v>2.3358643010000001E-3</v>
      </c>
      <c r="G38">
        <v>76.175782679544525</v>
      </c>
      <c r="H38">
        <v>4.2368646960000006E-3</v>
      </c>
      <c r="I38">
        <v>4.4922752397411614E-3</v>
      </c>
      <c r="J38">
        <v>6.640754702260665E-4</v>
      </c>
    </row>
    <row r="39" spans="1:11" x14ac:dyDescent="0.2">
      <c r="A39" t="s">
        <v>2</v>
      </c>
    </row>
    <row r="40" spans="1:11" x14ac:dyDescent="0.2">
      <c r="A40" t="s">
        <v>7</v>
      </c>
      <c r="B40">
        <v>1</v>
      </c>
      <c r="C40">
        <v>66.939114759520692</v>
      </c>
      <c r="D40">
        <v>1.7280839797999999E-2</v>
      </c>
      <c r="E40">
        <v>66.943294528656807</v>
      </c>
      <c r="F40">
        <v>3.3788208580000003E-3</v>
      </c>
      <c r="G40">
        <v>66.944173452073272</v>
      </c>
      <c r="H40">
        <v>4.537119012E-3</v>
      </c>
      <c r="I40">
        <v>4.1797691361153966E-3</v>
      </c>
      <c r="J40">
        <v>8.7892341646522709E-4</v>
      </c>
      <c r="K40">
        <f>AVERAGE(I40:I45)</f>
        <v>4.3555538194055997E-3</v>
      </c>
    </row>
    <row r="41" spans="1:11" x14ac:dyDescent="0.2">
      <c r="A41" t="s">
        <v>7</v>
      </c>
      <c r="B41">
        <v>2</v>
      </c>
      <c r="C41">
        <v>90.946040413377219</v>
      </c>
      <c r="D41">
        <v>1.5589773315000001E-2</v>
      </c>
      <c r="E41">
        <v>90.950317840670721</v>
      </c>
      <c r="F41">
        <v>2.7014178280000004E-3</v>
      </c>
      <c r="G41">
        <v>90.951060042666853</v>
      </c>
      <c r="H41">
        <v>3.4050625970000001E-3</v>
      </c>
      <c r="I41">
        <v>4.2774272935020008E-3</v>
      </c>
      <c r="J41">
        <v>7.422019961325077E-4</v>
      </c>
    </row>
    <row r="42" spans="1:11" x14ac:dyDescent="0.2">
      <c r="A42" t="s">
        <v>7</v>
      </c>
      <c r="B42">
        <v>3</v>
      </c>
      <c r="C42">
        <v>101.60988658394305</v>
      </c>
      <c r="D42">
        <v>1.6393502856000001E-2</v>
      </c>
      <c r="E42">
        <v>101.61428120102541</v>
      </c>
      <c r="F42">
        <v>3.3238962880000004E-3</v>
      </c>
      <c r="G42">
        <v>101.61504293465302</v>
      </c>
      <c r="H42">
        <v>3.8505618870000001E-3</v>
      </c>
      <c r="I42">
        <v>4.3946170823545572E-3</v>
      </c>
      <c r="J42">
        <v>7.6173362761267072E-4</v>
      </c>
    </row>
    <row r="43" spans="1:11" x14ac:dyDescent="0.2">
      <c r="A43" t="s">
        <v>7</v>
      </c>
      <c r="B43">
        <v>4</v>
      </c>
      <c r="C43">
        <v>109.75079728971073</v>
      </c>
      <c r="D43">
        <v>1.5711827915000001E-2</v>
      </c>
      <c r="E43">
        <v>109.75515284353014</v>
      </c>
      <c r="F43">
        <v>2.4286257970000001E-3</v>
      </c>
      <c r="G43">
        <v>109.75587551389481</v>
      </c>
      <c r="H43">
        <v>4.2362544230000005E-3</v>
      </c>
      <c r="I43">
        <v>4.355553819408442E-3</v>
      </c>
      <c r="J43">
        <v>7.2267036466655554E-4</v>
      </c>
    </row>
    <row r="44" spans="1:11" x14ac:dyDescent="0.2">
      <c r="A44" t="s">
        <v>7</v>
      </c>
      <c r="B44">
        <v>5</v>
      </c>
      <c r="C44">
        <v>118.61361138919705</v>
      </c>
      <c r="D44">
        <v>1.9061006138999997E-2</v>
      </c>
      <c r="E44">
        <v>118.61409967998398</v>
      </c>
      <c r="F44">
        <v>2.4121484260000003E-3</v>
      </c>
      <c r="G44">
        <v>118.61886539806441</v>
      </c>
      <c r="H44">
        <v>3.9256254660000002E-3</v>
      </c>
      <c r="J44">
        <v>4.7657180804350219E-3</v>
      </c>
    </row>
    <row r="45" spans="1:11" x14ac:dyDescent="0.2">
      <c r="A45" t="s">
        <v>7</v>
      </c>
      <c r="B45">
        <v>6</v>
      </c>
      <c r="C45">
        <v>129.8566711435536</v>
      </c>
      <c r="D45">
        <v>1.6584518305E-2</v>
      </c>
      <c r="E45">
        <v>129.86124154531925</v>
      </c>
      <c r="F45">
        <v>1.8537486310000002E-3</v>
      </c>
      <c r="G45">
        <v>129.86192515242095</v>
      </c>
      <c r="H45">
        <v>3.7083682780000003E-3</v>
      </c>
      <c r="I45">
        <v>4.5704017656476026E-3</v>
      </c>
      <c r="J45">
        <v>6.8360710170622951E-4</v>
      </c>
    </row>
    <row r="46" spans="1:11" x14ac:dyDescent="0.2">
      <c r="A46" t="s">
        <v>2</v>
      </c>
    </row>
    <row r="47" spans="1:11" x14ac:dyDescent="0.2">
      <c r="A47" t="s">
        <v>9</v>
      </c>
      <c r="B47">
        <v>1</v>
      </c>
      <c r="C47">
        <v>6.6559489027891168</v>
      </c>
      <c r="D47">
        <v>1.5118032286000001E-2</v>
      </c>
      <c r="E47">
        <v>6.6595036597179629</v>
      </c>
      <c r="F47">
        <v>4.0995532709999999E-3</v>
      </c>
      <c r="G47">
        <v>6.660812279026934</v>
      </c>
      <c r="H47">
        <v>2.5573934E-3</v>
      </c>
      <c r="I47">
        <v>3.5547569288461034E-3</v>
      </c>
      <c r="J47">
        <v>1.3086193089710818E-3</v>
      </c>
      <c r="K47">
        <f>AVERAGE(I47:I58)</f>
        <v>4.0267713562129144E-3</v>
      </c>
    </row>
    <row r="48" spans="1:11" x14ac:dyDescent="0.2">
      <c r="A48" t="s">
        <v>9</v>
      </c>
      <c r="B48">
        <v>2</v>
      </c>
      <c r="C48">
        <v>6.6559489027891168</v>
      </c>
      <c r="D48">
        <v>1.5118032286000001E-2</v>
      </c>
      <c r="E48">
        <v>6.6595036597179629</v>
      </c>
      <c r="F48">
        <v>4.0995532709999999E-3</v>
      </c>
      <c r="G48">
        <v>6.660812279026934</v>
      </c>
      <c r="H48">
        <v>2.5573934E-3</v>
      </c>
      <c r="I48">
        <v>3.5547569288461034E-3</v>
      </c>
      <c r="J48">
        <v>1.3086193089710818E-3</v>
      </c>
    </row>
    <row r="49" spans="1:11" x14ac:dyDescent="0.2">
      <c r="A49" t="s">
        <v>9</v>
      </c>
      <c r="B49">
        <v>3</v>
      </c>
      <c r="C49">
        <v>22.106633845334869</v>
      </c>
      <c r="D49">
        <v>1.8697283430999998E-2</v>
      </c>
      <c r="E49">
        <v>22.110540171630305</v>
      </c>
      <c r="F49">
        <v>4.5529861100000006E-3</v>
      </c>
      <c r="G49">
        <v>22.11188785420223</v>
      </c>
      <c r="H49">
        <v>3.2445607980000003E-3</v>
      </c>
      <c r="I49">
        <v>3.9063262954357469E-3</v>
      </c>
      <c r="J49">
        <v>1.3476825719251906E-3</v>
      </c>
    </row>
    <row r="50" spans="1:11" x14ac:dyDescent="0.2">
      <c r="A50" t="s">
        <v>9</v>
      </c>
      <c r="B50">
        <v>4</v>
      </c>
      <c r="C50">
        <v>33.353662820002349</v>
      </c>
      <c r="D50">
        <v>1.4661548082E-2</v>
      </c>
      <c r="E50">
        <v>33.357569146297784</v>
      </c>
      <c r="F50">
        <v>3.5143014640000004E-3</v>
      </c>
      <c r="G50">
        <v>33.358780107449363</v>
      </c>
      <c r="H50">
        <v>3.1694972190000003E-3</v>
      </c>
      <c r="I50">
        <v>3.9063262954357469E-3</v>
      </c>
      <c r="J50">
        <v>1.2109611515782603E-3</v>
      </c>
    </row>
    <row r="51" spans="1:11" x14ac:dyDescent="0.2">
      <c r="A51" t="s">
        <v>9</v>
      </c>
      <c r="B51">
        <v>5</v>
      </c>
      <c r="C51">
        <v>67.051028547414987</v>
      </c>
      <c r="D51">
        <v>1.5395706501E-2</v>
      </c>
      <c r="E51">
        <v>67.054954405341903</v>
      </c>
      <c r="F51">
        <v>2.7856355020000004E-3</v>
      </c>
      <c r="G51">
        <v>67.055930986915754</v>
      </c>
      <c r="H51">
        <v>2.6538165340000003E-3</v>
      </c>
      <c r="I51">
        <v>3.92585792691591E-3</v>
      </c>
      <c r="J51">
        <v>9.7658157385183131E-4</v>
      </c>
    </row>
    <row r="52" spans="1:11" x14ac:dyDescent="0.2">
      <c r="A52" t="s">
        <v>9</v>
      </c>
      <c r="B52">
        <v>6</v>
      </c>
      <c r="C52">
        <v>75.260727647577099</v>
      </c>
      <c r="D52">
        <v>1.5943731655000001E-2</v>
      </c>
      <c r="E52">
        <v>75.264770695292881</v>
      </c>
      <c r="F52">
        <v>3.2140471480000001E-3</v>
      </c>
      <c r="G52">
        <v>75.265981656444467</v>
      </c>
      <c r="H52">
        <v>2.6660219940000001E-3</v>
      </c>
      <c r="I52">
        <v>4.0430477157826772E-3</v>
      </c>
      <c r="J52">
        <v>1.2109611515853658E-3</v>
      </c>
    </row>
    <row r="53" spans="1:11" x14ac:dyDescent="0.2">
      <c r="A53" t="s">
        <v>9</v>
      </c>
      <c r="B53">
        <v>7</v>
      </c>
      <c r="C53">
        <v>82.545513691329901</v>
      </c>
      <c r="D53">
        <v>1.8999978838999999E-2</v>
      </c>
      <c r="E53">
        <v>82.549634865571591</v>
      </c>
      <c r="F53">
        <v>3.3019264600000001E-3</v>
      </c>
      <c r="G53">
        <v>82.550943484880563</v>
      </c>
      <c r="H53">
        <v>2.9912975030000001E-3</v>
      </c>
      <c r="I53">
        <v>4.1211742416891184E-3</v>
      </c>
      <c r="J53">
        <v>1.30861930897197E-3</v>
      </c>
    </row>
    <row r="54" spans="1:11" x14ac:dyDescent="0.2">
      <c r="A54" t="s">
        <v>9</v>
      </c>
      <c r="B54">
        <v>8</v>
      </c>
      <c r="C54">
        <v>91.068101149291977</v>
      </c>
      <c r="D54">
        <v>1.9226390122E-2</v>
      </c>
      <c r="E54">
        <v>91.072300450059572</v>
      </c>
      <c r="F54">
        <v>3.384923588E-3</v>
      </c>
      <c r="G54">
        <v>91.073452816316717</v>
      </c>
      <c r="H54">
        <v>3.1749896760000004E-3</v>
      </c>
      <c r="I54">
        <v>4.1993007675955596E-3</v>
      </c>
      <c r="J54">
        <v>1.1523662571448767E-3</v>
      </c>
    </row>
    <row r="55" spans="1:11" x14ac:dyDescent="0.2">
      <c r="A55" t="s">
        <v>9</v>
      </c>
      <c r="B55">
        <v>9</v>
      </c>
      <c r="C55">
        <v>99.167165981819949</v>
      </c>
      <c r="D55">
        <v>1.5631271879E-2</v>
      </c>
      <c r="E55">
        <v>99.171462940744931</v>
      </c>
      <c r="F55">
        <v>2.3236588410000003E-3</v>
      </c>
      <c r="G55">
        <v>99.172419990687317</v>
      </c>
      <c r="H55">
        <v>3.013267331E-3</v>
      </c>
      <c r="I55">
        <v>4.2969589249821638E-3</v>
      </c>
      <c r="J55">
        <v>9.5704994238587915E-4</v>
      </c>
    </row>
    <row r="56" spans="1:11" x14ac:dyDescent="0.2">
      <c r="A56" t="s">
        <v>9</v>
      </c>
      <c r="B56">
        <v>10</v>
      </c>
      <c r="C56">
        <v>114.40172569595696</v>
      </c>
      <c r="D56">
        <v>1.8710099163999998E-2</v>
      </c>
      <c r="E56">
        <v>114.40600312325046</v>
      </c>
      <c r="F56">
        <v>3.3696667630000003E-3</v>
      </c>
      <c r="G56">
        <v>114.40723361603352</v>
      </c>
      <c r="H56">
        <v>3.3110805550000001E-3</v>
      </c>
      <c r="I56">
        <v>4.2774272935020008E-3</v>
      </c>
      <c r="J56">
        <v>1.2304927830655288E-3</v>
      </c>
    </row>
    <row r="57" spans="1:11" x14ac:dyDescent="0.2">
      <c r="A57" t="s">
        <v>9</v>
      </c>
      <c r="B57">
        <v>11</v>
      </c>
      <c r="C57">
        <v>114.40172569595696</v>
      </c>
      <c r="D57">
        <v>1.8710099163999998E-2</v>
      </c>
      <c r="E57">
        <v>114.40600312325046</v>
      </c>
      <c r="F57">
        <v>3.3696667630000003E-3</v>
      </c>
      <c r="G57">
        <v>114.40723361603352</v>
      </c>
      <c r="H57">
        <v>3.3110805550000001E-3</v>
      </c>
      <c r="I57">
        <v>4.2774272935020008E-3</v>
      </c>
      <c r="J57">
        <v>1.2304927830655288E-3</v>
      </c>
    </row>
    <row r="58" spans="1:11" x14ac:dyDescent="0.2">
      <c r="A58" t="s">
        <v>9</v>
      </c>
      <c r="B58">
        <v>12</v>
      </c>
      <c r="C58">
        <v>131.39515707138617</v>
      </c>
      <c r="D58">
        <v>1.6806657677E-2</v>
      </c>
      <c r="E58">
        <v>131.39941496704819</v>
      </c>
      <c r="F58">
        <v>3.6290327880000002E-3</v>
      </c>
      <c r="G58">
        <v>131.40043061188501</v>
      </c>
      <c r="H58">
        <v>3.8658187120000002E-3</v>
      </c>
      <c r="I58">
        <v>4.2578956620218378E-3</v>
      </c>
      <c r="J58">
        <v>1.0156448368263682E-3</v>
      </c>
    </row>
    <row r="59" spans="1:11" x14ac:dyDescent="0.2">
      <c r="A59" t="s">
        <v>2</v>
      </c>
    </row>
    <row r="60" spans="1:11" x14ac:dyDescent="0.2">
      <c r="A60" t="s">
        <v>10</v>
      </c>
      <c r="B60">
        <v>1</v>
      </c>
      <c r="C60">
        <v>7.3811017938377699</v>
      </c>
      <c r="D60">
        <v>1.3733933122000001E-2</v>
      </c>
      <c r="E60">
        <v>7.3819025907283349</v>
      </c>
      <c r="F60">
        <v>1.8567999960000003E-3</v>
      </c>
      <c r="G60">
        <v>7.3849690568702515</v>
      </c>
      <c r="H60">
        <v>1.9288122100000003E-3</v>
      </c>
      <c r="J60">
        <v>3.066466141916635E-3</v>
      </c>
      <c r="K60">
        <f>AVERAGE(I60:I72)</f>
        <v>3.8745873942911402E-3</v>
      </c>
    </row>
    <row r="61" spans="1:11" x14ac:dyDescent="0.2">
      <c r="A61" t="s">
        <v>10</v>
      </c>
      <c r="B61">
        <v>2</v>
      </c>
      <c r="C61">
        <v>18.918072675634289</v>
      </c>
      <c r="D61">
        <v>1.3514234842000001E-2</v>
      </c>
      <c r="E61">
        <v>18.918873472524854</v>
      </c>
      <c r="F61">
        <v>1.8293377110000003E-3</v>
      </c>
      <c r="G61">
        <v>18.921939938666771</v>
      </c>
      <c r="H61">
        <v>1.8037062450000003E-3</v>
      </c>
      <c r="J61">
        <v>3.066466141916635E-3</v>
      </c>
    </row>
    <row r="62" spans="1:11" x14ac:dyDescent="0.2">
      <c r="A62" t="s">
        <v>10</v>
      </c>
      <c r="B62">
        <v>3</v>
      </c>
      <c r="C62">
        <v>35.30605406003437</v>
      </c>
      <c r="D62">
        <v>1.6319659822999998E-2</v>
      </c>
      <c r="E62">
        <v>35.309882259803899</v>
      </c>
      <c r="F62">
        <v>3.9836014010000004E-3</v>
      </c>
      <c r="G62">
        <v>35.311444790322078</v>
      </c>
      <c r="H62">
        <v>2.2760575470000001E-3</v>
      </c>
      <c r="I62">
        <v>3.8281997695293057E-3</v>
      </c>
      <c r="J62">
        <v>1.562530518178562E-3</v>
      </c>
    </row>
    <row r="63" spans="1:11" x14ac:dyDescent="0.2">
      <c r="A63" t="s">
        <v>10</v>
      </c>
      <c r="B63">
        <v>4</v>
      </c>
      <c r="C63">
        <v>44.57456323136585</v>
      </c>
      <c r="D63">
        <v>1.9334408442999999E-2</v>
      </c>
      <c r="E63">
        <v>44.575090585415737</v>
      </c>
      <c r="F63">
        <v>2.0783290950000003E-3</v>
      </c>
      <c r="G63">
        <v>44.5783718995039</v>
      </c>
      <c r="H63">
        <v>4.0604957990000006E-3</v>
      </c>
      <c r="J63">
        <v>3.281314088162901E-3</v>
      </c>
    </row>
    <row r="64" spans="1:11" x14ac:dyDescent="0.2">
      <c r="A64" t="s">
        <v>10</v>
      </c>
      <c r="B64">
        <v>5</v>
      </c>
      <c r="C64">
        <v>50.716038549327138</v>
      </c>
      <c r="D64">
        <v>1.6535696464999999E-2</v>
      </c>
      <c r="E64">
        <v>50.719925343991093</v>
      </c>
      <c r="F64">
        <v>3.171328038E-3</v>
      </c>
      <c r="G64">
        <v>50.721468342877792</v>
      </c>
      <c r="H64">
        <v>2.9888564110000003E-3</v>
      </c>
      <c r="I64">
        <v>3.8867946639555839E-3</v>
      </c>
      <c r="J64">
        <v>1.542998886698399E-3</v>
      </c>
    </row>
    <row r="65" spans="1:11" x14ac:dyDescent="0.2">
      <c r="A65" t="s">
        <v>10</v>
      </c>
      <c r="B65">
        <v>6</v>
      </c>
      <c r="C65">
        <v>58.361098033641284</v>
      </c>
      <c r="D65">
        <v>1.3779703597000001E-2</v>
      </c>
      <c r="E65">
        <v>58.36133241321901</v>
      </c>
      <c r="F65">
        <v>5.0753797979999999E-3</v>
      </c>
      <c r="G65">
        <v>58.36162538769117</v>
      </c>
      <c r="H65">
        <v>1.9501717650000003E-3</v>
      </c>
      <c r="J65">
        <v>2.9297447215981265E-4</v>
      </c>
    </row>
    <row r="66" spans="1:11" x14ac:dyDescent="0.2">
      <c r="A66" t="s">
        <v>10</v>
      </c>
      <c r="B66">
        <v>7</v>
      </c>
      <c r="C66">
        <v>84.917909702400436</v>
      </c>
      <c r="D66">
        <v>1.4897723733000001E-2</v>
      </c>
      <c r="E66">
        <v>84.921835560327352</v>
      </c>
      <c r="F66">
        <v>2.3883477790000002E-3</v>
      </c>
      <c r="G66">
        <v>84.923534812265871</v>
      </c>
      <c r="H66">
        <v>2.8582579890000003E-3</v>
      </c>
      <c r="I66">
        <v>3.92585792691591E-3</v>
      </c>
      <c r="J66">
        <v>1.6992519385183869E-3</v>
      </c>
    </row>
    <row r="67" spans="1:11" x14ac:dyDescent="0.2">
      <c r="A67" t="s">
        <v>10</v>
      </c>
      <c r="B67">
        <v>8</v>
      </c>
      <c r="C67">
        <v>92.408976485107118</v>
      </c>
      <c r="D67">
        <v>1.6774313207999998E-2</v>
      </c>
      <c r="E67">
        <v>92.409445244262571</v>
      </c>
      <c r="F67">
        <v>3.1511890290000003E-3</v>
      </c>
      <c r="G67">
        <v>92.409777281997691</v>
      </c>
      <c r="H67">
        <v>3.0498837110000004E-3</v>
      </c>
      <c r="J67">
        <v>3.3203773512013868E-4</v>
      </c>
    </row>
    <row r="68" spans="1:11" x14ac:dyDescent="0.2">
      <c r="A68" t="s">
        <v>10</v>
      </c>
      <c r="B68">
        <v>9</v>
      </c>
      <c r="C68">
        <v>105.64196274902049</v>
      </c>
      <c r="D68">
        <v>1.7496266167000001E-2</v>
      </c>
      <c r="E68">
        <v>105.64590813857889</v>
      </c>
      <c r="F68">
        <v>3.2836182700000001E-3</v>
      </c>
      <c r="G68">
        <v>105.64750973236001</v>
      </c>
      <c r="H68">
        <v>2.3669882240000004E-3</v>
      </c>
      <c r="I68">
        <v>3.945389558396073E-3</v>
      </c>
      <c r="J68">
        <v>1.6015937811175718E-3</v>
      </c>
    </row>
    <row r="69" spans="1:11" x14ac:dyDescent="0.2">
      <c r="A69" t="s">
        <v>10</v>
      </c>
      <c r="B69">
        <v>10</v>
      </c>
      <c r="C69">
        <v>159.58552916559699</v>
      </c>
      <c r="D69">
        <v>1.5644087612E-2</v>
      </c>
      <c r="E69">
        <v>159.58922064394619</v>
      </c>
      <c r="F69">
        <v>2.1509515820000002E-3</v>
      </c>
      <c r="G69">
        <v>159.59086130099027</v>
      </c>
      <c r="H69">
        <v>2.4298463430000002E-3</v>
      </c>
      <c r="I69">
        <v>3.6914783491965864E-3</v>
      </c>
      <c r="J69">
        <v>1.6406570440778978E-3</v>
      </c>
    </row>
    <row r="70" spans="1:11" x14ac:dyDescent="0.2">
      <c r="A70" t="s">
        <v>10</v>
      </c>
      <c r="B70">
        <v>11</v>
      </c>
      <c r="C70">
        <v>168.334151462552</v>
      </c>
      <c r="D70">
        <v>1.660587786E-2</v>
      </c>
      <c r="E70">
        <v>168.33792106742712</v>
      </c>
      <c r="F70">
        <v>3.5417637490000003E-3</v>
      </c>
      <c r="G70">
        <v>168.33967891426005</v>
      </c>
      <c r="H70">
        <v>3.4996549120000003E-3</v>
      </c>
      <c r="I70">
        <v>3.7696048751172384E-3</v>
      </c>
      <c r="J70">
        <v>1.7578468329304542E-3</v>
      </c>
    </row>
    <row r="71" spans="1:11" x14ac:dyDescent="0.2">
      <c r="A71" t="s">
        <v>10</v>
      </c>
      <c r="B71">
        <v>12</v>
      </c>
      <c r="C71">
        <v>177.18494830300006</v>
      </c>
      <c r="D71">
        <v>1.5764311393E-2</v>
      </c>
      <c r="E71">
        <v>177.18891322418992</v>
      </c>
      <c r="F71">
        <v>2.4890428240000001E-3</v>
      </c>
      <c r="G71">
        <v>177.19053434960253</v>
      </c>
      <c r="H71">
        <v>3.524676105E-3</v>
      </c>
      <c r="I71">
        <v>3.9649211898620251E-3</v>
      </c>
      <c r="J71">
        <v>1.6211254126119456E-3</v>
      </c>
    </row>
    <row r="72" spans="1:11" x14ac:dyDescent="0.2">
      <c r="A72" t="s">
        <v>10</v>
      </c>
      <c r="B72">
        <v>13</v>
      </c>
      <c r="C72">
        <v>221.00736082331295</v>
      </c>
      <c r="D72">
        <v>1.5420117421000001E-2</v>
      </c>
      <c r="E72">
        <v>221.01134527613431</v>
      </c>
      <c r="F72">
        <v>2.6757863620000002E-3</v>
      </c>
      <c r="G72">
        <v>221.01296640154692</v>
      </c>
      <c r="H72">
        <v>1.9977730590000002E-3</v>
      </c>
      <c r="I72">
        <v>3.984452821356399E-3</v>
      </c>
      <c r="J72">
        <v>1.6211254126119456E-3</v>
      </c>
    </row>
    <row r="73" spans="1:11" x14ac:dyDescent="0.2">
      <c r="A73" t="s">
        <v>2</v>
      </c>
    </row>
    <row r="74" spans="1:11" x14ac:dyDescent="0.2">
      <c r="A74" t="s">
        <v>4</v>
      </c>
      <c r="B74">
        <v>1</v>
      </c>
      <c r="C74">
        <v>28.744411110506064</v>
      </c>
      <c r="D74">
        <v>1.7101419536000001E-2</v>
      </c>
      <c r="E74">
        <v>28.748083057223774</v>
      </c>
      <c r="F74">
        <v>2.1509515820000002E-3</v>
      </c>
      <c r="G74">
        <v>28.749801840793765</v>
      </c>
      <c r="H74">
        <v>3.1792615870000003E-3</v>
      </c>
      <c r="I74">
        <v>3.6719467177093179E-3</v>
      </c>
      <c r="J74">
        <v>1.7187835699914444E-3</v>
      </c>
      <c r="K74">
        <f>AVERAGE(I74:I81)</f>
        <v>3.0005468856826312E-3</v>
      </c>
    </row>
    <row r="75" spans="1:11" x14ac:dyDescent="0.2">
      <c r="A75" t="s">
        <v>4</v>
      </c>
      <c r="B75">
        <v>2</v>
      </c>
      <c r="C75">
        <v>88.522208360085159</v>
      </c>
      <c r="D75">
        <v>1.6619914138999999E-2</v>
      </c>
      <c r="E75">
        <v>88.52494278849197</v>
      </c>
      <c r="F75">
        <v>4.8178445920000002E-3</v>
      </c>
      <c r="G75">
        <v>88.525704522119568</v>
      </c>
      <c r="H75">
        <v>4.5365087389999999E-3</v>
      </c>
      <c r="I75">
        <v>2.7344284068107072E-3</v>
      </c>
      <c r="J75">
        <v>7.6173362759845986E-4</v>
      </c>
    </row>
    <row r="76" spans="1:11" x14ac:dyDescent="0.2">
      <c r="A76" t="s">
        <v>4</v>
      </c>
      <c r="B76">
        <v>3</v>
      </c>
      <c r="C76">
        <v>100.5140443441454</v>
      </c>
      <c r="D76">
        <v>1.6876839072000001E-2</v>
      </c>
      <c r="E76">
        <v>100.51683736744663</v>
      </c>
      <c r="F76">
        <v>4.6402551490000001E-3</v>
      </c>
      <c r="G76">
        <v>100.51769675923163</v>
      </c>
      <c r="H76">
        <v>3.8920604510000001E-3</v>
      </c>
      <c r="I76">
        <v>2.7930233012227745E-3</v>
      </c>
      <c r="J76">
        <v>8.5939178499927493E-4</v>
      </c>
    </row>
    <row r="77" spans="1:11" x14ac:dyDescent="0.2">
      <c r="A77" t="s">
        <v>4</v>
      </c>
      <c r="B77">
        <v>4</v>
      </c>
      <c r="C77">
        <v>119.79197331178734</v>
      </c>
      <c r="D77">
        <v>1.9259344863999998E-2</v>
      </c>
      <c r="E77">
        <v>119.79484446161449</v>
      </c>
      <c r="F77">
        <v>4.8556815180000002E-3</v>
      </c>
      <c r="G77">
        <v>119.79578197992539</v>
      </c>
      <c r="H77">
        <v>5.4598517880000003E-3</v>
      </c>
      <c r="I77">
        <v>2.8711498271434266E-3</v>
      </c>
      <c r="J77">
        <v>9.3751831090571613E-4</v>
      </c>
    </row>
    <row r="78" spans="1:11" x14ac:dyDescent="0.2">
      <c r="A78" t="s">
        <v>4</v>
      </c>
      <c r="B78">
        <v>5</v>
      </c>
      <c r="C78">
        <v>128.90344564705953</v>
      </c>
      <c r="D78">
        <v>1.8356751096999999E-2</v>
      </c>
      <c r="E78">
        <v>128.90635586014963</v>
      </c>
      <c r="F78">
        <v>4.56519157E-3</v>
      </c>
      <c r="G78">
        <v>128.90725431519758</v>
      </c>
      <c r="H78">
        <v>4.5316265550000004E-3</v>
      </c>
      <c r="I78">
        <v>2.9102130901037526E-3</v>
      </c>
      <c r="J78">
        <v>8.9845504794539011E-4</v>
      </c>
    </row>
    <row r="79" spans="1:11" x14ac:dyDescent="0.2">
      <c r="A79" t="s">
        <v>4</v>
      </c>
      <c r="B79">
        <v>6</v>
      </c>
      <c r="C79">
        <v>137.34761616874937</v>
      </c>
      <c r="D79">
        <v>1.8125457630000001E-2</v>
      </c>
      <c r="E79">
        <v>137.35060450836539</v>
      </c>
      <c r="F79">
        <v>4.5639710239999999E-3</v>
      </c>
      <c r="G79">
        <v>137.35148343178187</v>
      </c>
      <c r="H79">
        <v>5.1156578160000002E-3</v>
      </c>
      <c r="I79">
        <v>2.9883396160244047E-3</v>
      </c>
      <c r="J79">
        <v>8.7892341647943795E-4</v>
      </c>
    </row>
    <row r="80" spans="1:11" x14ac:dyDescent="0.2">
      <c r="A80" t="s">
        <v>4</v>
      </c>
      <c r="B80">
        <v>7</v>
      </c>
      <c r="C80">
        <v>146.309116626313</v>
      </c>
      <c r="D80">
        <v>1.8173058924E-2</v>
      </c>
      <c r="E80">
        <v>146.31210496592902</v>
      </c>
      <c r="F80">
        <v>4.8172343190000001E-3</v>
      </c>
      <c r="G80">
        <v>146.31294482608254</v>
      </c>
      <c r="H80">
        <v>3.8267612400000005E-3</v>
      </c>
      <c r="I80">
        <v>2.9883396160244047E-3</v>
      </c>
      <c r="J80">
        <v>8.3986015351911192E-4</v>
      </c>
    </row>
    <row r="81" spans="1:10" x14ac:dyDescent="0.2">
      <c r="A81" t="s">
        <v>4</v>
      </c>
      <c r="B81">
        <v>8</v>
      </c>
      <c r="C81">
        <v>163.37042078601146</v>
      </c>
      <c r="D81">
        <v>1.8741223086999999E-2</v>
      </c>
      <c r="E81">
        <v>163.37346772052189</v>
      </c>
      <c r="F81">
        <v>5.2926369860000003E-3</v>
      </c>
      <c r="G81">
        <v>163.37440523883279</v>
      </c>
      <c r="H81">
        <v>4.499892359E-3</v>
      </c>
      <c r="I81">
        <v>3.0469345104222612E-3</v>
      </c>
      <c r="J81">
        <v>9.3751831090571613E-4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María José Torres Constante</cp:lastModifiedBy>
  <dcterms:modified xsi:type="dcterms:W3CDTF">2025-09-16T20:34:26Z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b10915-602c-481a-bdc7-238d429ea082_Enabled">
    <vt:lpwstr>true</vt:lpwstr>
  </property>
  <property fmtid="{D5CDD505-2E9C-101B-9397-08002B2CF9AE}" pid="3" name="MSIP_Label_f7b10915-602c-481a-bdc7-238d429ea082_SetDate">
    <vt:lpwstr>2025-09-16T20:34:26Z</vt:lpwstr>
  </property>
  <property fmtid="{D5CDD505-2E9C-101B-9397-08002B2CF9AE}" pid="4" name="MSIP_Label_f7b10915-602c-481a-bdc7-238d429ea082_Method">
    <vt:lpwstr>Standard</vt:lpwstr>
  </property>
  <property fmtid="{D5CDD505-2E9C-101B-9397-08002B2CF9AE}" pid="5" name="MSIP_Label_f7b10915-602c-481a-bdc7-238d429ea082_Name">
    <vt:lpwstr>defa4170-0d19-0005-0004-bc88714345d2</vt:lpwstr>
  </property>
  <property fmtid="{D5CDD505-2E9C-101B-9397-08002B2CF9AE}" pid="6" name="MSIP_Label_f7b10915-602c-481a-bdc7-238d429ea082_SiteId">
    <vt:lpwstr>9f119962-8c62-431c-a8ef-e7e0a42d11fc</vt:lpwstr>
  </property>
  <property fmtid="{D5CDD505-2E9C-101B-9397-08002B2CF9AE}" pid="7" name="MSIP_Label_f7b10915-602c-481a-bdc7-238d429ea082_ActionId">
    <vt:lpwstr>e510c09a-12a6-4375-ae91-c78342843814</vt:lpwstr>
  </property>
  <property fmtid="{D5CDD505-2E9C-101B-9397-08002B2CF9AE}" pid="8" name="MSIP_Label_f7b10915-602c-481a-bdc7-238d429ea082_ContentBits">
    <vt:lpwstr>0</vt:lpwstr>
  </property>
  <property fmtid="{D5CDD505-2E9C-101B-9397-08002B2CF9AE}" pid="9" name="MSIP_Label_f7b10915-602c-481a-bdc7-238d429ea082_Tag">
    <vt:lpwstr>50, 3, 0, 1</vt:lpwstr>
  </property>
</Properties>
</file>