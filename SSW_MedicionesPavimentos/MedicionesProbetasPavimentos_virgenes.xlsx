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\Desktop\InvestigacionUSFQ\MedicionesPAvimentos\"/>
    </mc:Choice>
  </mc:AlternateContent>
  <xr:revisionPtr revIDLastSave="0" documentId="13_ncr:1_{5F5CF78B-BCD5-4330-ADF0-54C8CC486D3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romediosAjustados" sheetId="5" r:id="rId1"/>
    <sheet name="DatosBrut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5" l="1"/>
  <c r="AA6" i="5"/>
  <c r="X6" i="5"/>
  <c r="U6" i="5"/>
  <c r="R6" i="5"/>
  <c r="AA5" i="5"/>
  <c r="X5" i="5"/>
  <c r="U5" i="5"/>
  <c r="R5" i="5"/>
  <c r="AA4" i="5"/>
  <c r="X4" i="5"/>
  <c r="U4" i="5"/>
  <c r="R4" i="5"/>
  <c r="AA3" i="5"/>
  <c r="X3" i="5"/>
  <c r="R3" i="5"/>
  <c r="X3" i="2"/>
  <c r="U5" i="2"/>
  <c r="U4" i="2"/>
  <c r="U3" i="2"/>
  <c r="R5" i="2"/>
  <c r="R4" i="2"/>
  <c r="R3" i="2"/>
  <c r="AA6" i="2"/>
  <c r="AA5" i="2"/>
  <c r="AA4" i="2"/>
  <c r="AA3" i="2"/>
  <c r="X6" i="2"/>
  <c r="X5" i="2"/>
  <c r="X4" i="2"/>
  <c r="U6" i="2"/>
  <c r="R6" i="2"/>
</calcChain>
</file>

<file path=xl/sharedStrings.xml><?xml version="1.0" encoding="utf-8"?>
<sst xmlns="http://schemas.openxmlformats.org/spreadsheetml/2006/main" count="634" uniqueCount="71">
  <si>
    <t>Filename</t>
  </si>
  <si>
    <t>Group</t>
  </si>
  <si>
    <t>TimeDifference</t>
  </si>
  <si>
    <t>64.0_6.5_P1.mat</t>
  </si>
  <si>
    <t>69.1_4.5_P2.mat</t>
  </si>
  <si>
    <t>69.3_6.5_P2.mat</t>
  </si>
  <si>
    <t>69.4_3.5_P2.mat</t>
  </si>
  <si>
    <t>69.4_5.5_P1.mat</t>
  </si>
  <si>
    <t>69.4_5.5_P1_SinPlaca.mat</t>
  </si>
  <si>
    <t>69.4_5.5_P3.mat</t>
  </si>
  <si>
    <t>70.3_4.5_P1.mat</t>
  </si>
  <si>
    <t>70.3_6.5_P3.mat</t>
  </si>
  <si>
    <t>70.6_4.5_P3.mat</t>
  </si>
  <si>
    <t>70.7_3.5_P3.mat</t>
  </si>
  <si>
    <t>70.9_5.5_P2.mat</t>
  </si>
  <si>
    <t>71.1_3.5_P1.mat</t>
  </si>
  <si>
    <t>20 Grados</t>
  </si>
  <si>
    <t>70 Grados</t>
  </si>
  <si>
    <t>3.5 P1</t>
  </si>
  <si>
    <t>3.5 P2</t>
  </si>
  <si>
    <t>3.5 P3</t>
  </si>
  <si>
    <t>4.5 P1</t>
  </si>
  <si>
    <t>4.5 P2</t>
  </si>
  <si>
    <t>4.5 P3</t>
  </si>
  <si>
    <t>5.5 P1</t>
  </si>
  <si>
    <t>5.5 P2</t>
  </si>
  <si>
    <t>5.5 P3</t>
  </si>
  <si>
    <t>6.8 P1</t>
  </si>
  <si>
    <t>6.8 P2</t>
  </si>
  <si>
    <t>6.8 P3</t>
  </si>
  <si>
    <t>Contenido</t>
  </si>
  <si>
    <t>20 Grados Cortadas</t>
  </si>
  <si>
    <t>22.3_5.5_P3.mat</t>
  </si>
  <si>
    <t>22.5_5.5_P1.mat</t>
  </si>
  <si>
    <t>22.5_6.5_P1.mat</t>
  </si>
  <si>
    <t>22.5_6.5_P2.mat</t>
  </si>
  <si>
    <t>22.6_3.5_P1#2.mat</t>
  </si>
  <si>
    <t>22.6_4.5_P2.mat</t>
  </si>
  <si>
    <t>22.6_4.5_P3.mat</t>
  </si>
  <si>
    <t>22.6_5.5_P2.mat</t>
  </si>
  <si>
    <t>22.7_3.5_P2.mat</t>
  </si>
  <si>
    <t>22.7_3.5_P3.mat</t>
  </si>
  <si>
    <t>22.7_6.5_P3.mat</t>
  </si>
  <si>
    <t>22.8_4.5_P1.mat</t>
  </si>
  <si>
    <t>5 Grados Cortadas</t>
  </si>
  <si>
    <t>5.2_3.5_P1.mat</t>
  </si>
  <si>
    <t>5.1_3.5_P2.mat</t>
  </si>
  <si>
    <t>4.6_3.5_P3.mat</t>
  </si>
  <si>
    <t>4.5_4.5_P1.mat</t>
  </si>
  <si>
    <t>4.7_4.5_P3.mat</t>
  </si>
  <si>
    <t>5.0_4.5_P2.mat</t>
  </si>
  <si>
    <t>4.7_5.5_P1.mat</t>
  </si>
  <si>
    <t>4.5_5.5_P2.mat</t>
  </si>
  <si>
    <t>5.1_5.5_P3.mat</t>
  </si>
  <si>
    <t>4.8_6.5_P3.mat</t>
  </si>
  <si>
    <t>4.8_6.5_P1.mat</t>
  </si>
  <si>
    <t>4.4_6.5_P2.mat</t>
  </si>
  <si>
    <t>5 Grados</t>
  </si>
  <si>
    <t>33 Grados Cortadas</t>
  </si>
  <si>
    <t>33.3_3.5_P3.mat</t>
  </si>
  <si>
    <t>33.2_3.5_P2.mat</t>
  </si>
  <si>
    <t>33.4_3.5_P1.mat</t>
  </si>
  <si>
    <t>33.4_4.5_P2.mat</t>
  </si>
  <si>
    <t>33.4_5.5_P3.mat</t>
  </si>
  <si>
    <t>33.4_6.5_P3.mat</t>
  </si>
  <si>
    <t>33.8_4.5_P1.mat</t>
  </si>
  <si>
    <t>33.8_6.5_P2.mat</t>
  </si>
  <si>
    <t>33.9_4.5_P3.mat</t>
  </si>
  <si>
    <t>33.9_5.5_P1.mat</t>
  </si>
  <si>
    <t>34.0_6.5_P1.mat</t>
  </si>
  <si>
    <t>33 Grados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</si>
</sst>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0" fontId="1" fillId="2" borderId="1" xfId="0" applyFont="1" applyFill="1" applyBorder="1"/>
    <xf numFmtId="0" fontId="0" fillId="4" borderId="1" xfId="0" applyFill="1" applyBorder="1"/>
    <xf numFmtId="0" fontId="0" fillId="2" borderId="0" xfId="0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Relación TOF vs Contenido Asfalto: Probetas Virgenes</a:t>
            </a:r>
          </a:p>
        </c:rich>
      </c:tx>
      <c:layout>
        <c:manualLayout>
          <c:xMode val="edge"/>
          <c:yMode val="edge"/>
          <c:x val="0.18223648114695182"/>
          <c:y val="1.9116187888946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142099490538036"/>
          <c:y val="5.0926126620811897E-2"/>
          <c:w val="0.84169013736004572"/>
          <c:h val="0.7901698745990084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PromediosAjustados!$R$2</c:f>
              <c:strCache>
                <c:ptCount val="1"/>
                <c:pt idx="0">
                  <c:v>70 Grados</c:v>
                </c:pt>
              </c:strCache>
            </c:strRef>
          </c:tx>
          <c:spPr>
            <a:ln w="19050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PromediosAjustados!$S$3:$S$6</c:f>
              <c:numCache>
                <c:formatCode>General</c:formatCode>
                <c:ptCount val="4"/>
                <c:pt idx="0">
                  <c:v>3.5</c:v>
                </c:pt>
                <c:pt idx="1">
                  <c:v>4.5</c:v>
                </c:pt>
                <c:pt idx="2">
                  <c:v>5.5</c:v>
                </c:pt>
                <c:pt idx="3">
                  <c:v>6.8</c:v>
                </c:pt>
              </c:numCache>
            </c:numRef>
          </c:xVal>
          <c:yVal>
            <c:numRef>
              <c:f>PromediosAjustados!$R$3:$R$6</c:f>
              <c:numCache>
                <c:formatCode>General</c:formatCode>
                <c:ptCount val="4"/>
                <c:pt idx="0">
                  <c:v>1.1211156467911523E-3</c:v>
                </c:pt>
                <c:pt idx="1">
                  <c:v>1.0937713627225064E-3</c:v>
                </c:pt>
                <c:pt idx="2">
                  <c:v>1.0818353657080009E-3</c:v>
                </c:pt>
                <c:pt idx="3">
                  <c:v>9.9741531410095052E-4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C6-4BCE-9BFA-E0A7D484DD3B}"/>
            </c:ext>
          </c:extLst>
        </c:ser>
        <c:ser>
          <c:idx val="3"/>
          <c:order val="1"/>
          <c:tx>
            <c:strRef>
              <c:f>PromediosAjustados!$AA$2</c:f>
              <c:strCache>
                <c:ptCount val="1"/>
                <c:pt idx="0">
                  <c:v>33 Grados</c:v>
                </c:pt>
              </c:strCache>
            </c:strRef>
          </c:tx>
          <c:spPr>
            <a:ln w="19050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PromediosAjustados!$AB$3:$AB$6</c:f>
              <c:numCache>
                <c:formatCode>General</c:formatCode>
                <c:ptCount val="4"/>
                <c:pt idx="0">
                  <c:v>3.5</c:v>
                </c:pt>
                <c:pt idx="1">
                  <c:v>4.5</c:v>
                </c:pt>
                <c:pt idx="2">
                  <c:v>5.5</c:v>
                </c:pt>
                <c:pt idx="3">
                  <c:v>6.8</c:v>
                </c:pt>
              </c:numCache>
            </c:numRef>
          </c:xVal>
          <c:yVal>
            <c:numRef>
              <c:f>PromediosAjustados!$AA$3:$AA$6</c:f>
              <c:numCache>
                <c:formatCode>General</c:formatCode>
                <c:ptCount val="4"/>
                <c:pt idx="0">
                  <c:v>1.016946945578671E-3</c:v>
                </c:pt>
                <c:pt idx="1">
                  <c:v>1.0052279666919498E-3</c:v>
                </c:pt>
                <c:pt idx="2">
                  <c:v>9.896026615103656E-4</c:v>
                </c:pt>
                <c:pt idx="3">
                  <c:v>9.2059089695751455E-4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DC6-4BCE-9BFA-E0A7D484DD3B}"/>
            </c:ext>
          </c:extLst>
        </c:ser>
        <c:ser>
          <c:idx val="2"/>
          <c:order val="2"/>
          <c:tx>
            <c:strRef>
              <c:f>PromediosAjustados!$U$2</c:f>
              <c:strCache>
                <c:ptCount val="1"/>
                <c:pt idx="0">
                  <c:v>20 Grados</c:v>
                </c:pt>
              </c:strCache>
            </c:strRef>
          </c:tx>
          <c:spPr>
            <a:ln w="19050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4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PromediosAjustados!$V$3:$V$6</c:f>
              <c:numCache>
                <c:formatCode>General</c:formatCode>
                <c:ptCount val="4"/>
                <c:pt idx="0">
                  <c:v>3.5</c:v>
                </c:pt>
                <c:pt idx="1">
                  <c:v>4.5</c:v>
                </c:pt>
                <c:pt idx="2">
                  <c:v>5.5</c:v>
                </c:pt>
                <c:pt idx="3">
                  <c:v>6.8</c:v>
                </c:pt>
              </c:numCache>
            </c:numRef>
          </c:xVal>
          <c:yVal>
            <c:numRef>
              <c:f>PromediosAjustados!$U$3:$U$6</c:f>
              <c:numCache>
                <c:formatCode>General</c:formatCode>
                <c:ptCount val="4"/>
                <c:pt idx="0">
                  <c:v>9.7357670747860302E-4</c:v>
                </c:pt>
                <c:pt idx="1">
                  <c:v>9.3426303899146745E-4</c:v>
                </c:pt>
                <c:pt idx="2">
                  <c:v>9.407735828167082E-4</c:v>
                </c:pt>
                <c:pt idx="3">
                  <c:v>8.9064239535918688E-4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DC6-4BCE-9BFA-E0A7D484DD3B}"/>
            </c:ext>
          </c:extLst>
        </c:ser>
        <c:ser>
          <c:idx val="1"/>
          <c:order val="3"/>
          <c:tx>
            <c:strRef>
              <c:f>PromediosAjustados!$X$2</c:f>
              <c:strCache>
                <c:ptCount val="1"/>
                <c:pt idx="0">
                  <c:v>5 Grados</c:v>
                </c:pt>
              </c:strCache>
            </c:strRef>
          </c:tx>
          <c:spPr>
            <a:ln w="19050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PromediosAjustados!$Y$3:$Y$6</c:f>
              <c:numCache>
                <c:formatCode>General</c:formatCode>
                <c:ptCount val="4"/>
                <c:pt idx="0">
                  <c:v>3.5</c:v>
                </c:pt>
                <c:pt idx="1">
                  <c:v>4.5</c:v>
                </c:pt>
                <c:pt idx="2">
                  <c:v>5.5</c:v>
                </c:pt>
                <c:pt idx="3">
                  <c:v>6.8</c:v>
                </c:pt>
              </c:numCache>
            </c:numRef>
          </c:xVal>
          <c:yVal>
            <c:numRef>
              <c:f>PromediosAjustados!$X$3:$X$6</c:f>
              <c:numCache>
                <c:formatCode>General</c:formatCode>
                <c:ptCount val="4"/>
                <c:pt idx="0">
                  <c:v>9.3589067494836975E-4</c:v>
                </c:pt>
                <c:pt idx="1">
                  <c:v>8.9411468540016392E-4</c:v>
                </c:pt>
                <c:pt idx="2">
                  <c:v>8.8478290591655908E-4</c:v>
                </c:pt>
                <c:pt idx="3">
                  <c:v>8.8326377902347986E-4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DC6-4BCE-9BFA-E0A7D484D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3213631"/>
        <c:axId val="1793222751"/>
      </c:scatterChart>
      <c:valAx>
        <c:axId val="1793213631"/>
        <c:scaling>
          <c:orientation val="minMax"/>
          <c:min val="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Contenido Asfalto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93222751"/>
        <c:crosses val="autoZero"/>
        <c:crossBetween val="midCat"/>
      </c:valAx>
      <c:valAx>
        <c:axId val="1793222751"/>
        <c:scaling>
          <c:orientation val="minMax"/>
          <c:max val="1.2500000000000002E-3"/>
          <c:min val="8.0000000000000026E-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TOF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932136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385144069190207"/>
          <c:y val="0.11435544429031078"/>
          <c:w val="0.14929611976213769"/>
          <c:h val="0.225129990077644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79032420999713"/>
          <c:y val="5.092605522522986E-2"/>
          <c:w val="0.81332080644374272"/>
          <c:h val="0.7901698745990084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DatosBrutos!$R$2</c:f>
              <c:strCache>
                <c:ptCount val="1"/>
                <c:pt idx="0">
                  <c:v>70 Grados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DatosBrutos!$S$3:$S$6</c:f>
              <c:numCache>
                <c:formatCode>General</c:formatCode>
                <c:ptCount val="4"/>
                <c:pt idx="0">
                  <c:v>3.5</c:v>
                </c:pt>
                <c:pt idx="1">
                  <c:v>4.5</c:v>
                </c:pt>
                <c:pt idx="2">
                  <c:v>5.5</c:v>
                </c:pt>
                <c:pt idx="3">
                  <c:v>6.8</c:v>
                </c:pt>
              </c:numCache>
            </c:numRef>
          </c:xVal>
          <c:yVal>
            <c:numRef>
              <c:f>DatosBrutos!$R$3:$R$6</c:f>
              <c:numCache>
                <c:formatCode>General</c:formatCode>
                <c:ptCount val="4"/>
                <c:pt idx="0">
                  <c:v>1.1211156467911523E-3</c:v>
                </c:pt>
                <c:pt idx="1">
                  <c:v>1.0573123172977243E-3</c:v>
                </c:pt>
                <c:pt idx="2">
                  <c:v>1.0986542705911039E-3</c:v>
                </c:pt>
                <c:pt idx="3">
                  <c:v>9.9741531410095052E-4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56-4854-95F9-9D83F227E8CB}"/>
            </c:ext>
          </c:extLst>
        </c:ser>
        <c:ser>
          <c:idx val="2"/>
          <c:order val="1"/>
          <c:tx>
            <c:strRef>
              <c:f>DatosBrutos!$U$2</c:f>
              <c:strCache>
                <c:ptCount val="1"/>
                <c:pt idx="0">
                  <c:v>20 Grados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DatosBrutos!$V$3:$V$6</c:f>
              <c:numCache>
                <c:formatCode>General</c:formatCode>
                <c:ptCount val="4"/>
                <c:pt idx="0">
                  <c:v>3.5</c:v>
                </c:pt>
                <c:pt idx="1">
                  <c:v>4.5</c:v>
                </c:pt>
                <c:pt idx="2">
                  <c:v>5.5</c:v>
                </c:pt>
                <c:pt idx="3">
                  <c:v>6.8</c:v>
                </c:pt>
              </c:numCache>
            </c:numRef>
          </c:xVal>
          <c:yVal>
            <c:numRef>
              <c:f>DatosBrutos!$U$3:$U$6</c:f>
              <c:numCache>
                <c:formatCode>General</c:formatCode>
                <c:ptCount val="4"/>
                <c:pt idx="0">
                  <c:v>9.6616470373831473E-4</c:v>
                </c:pt>
                <c:pt idx="1">
                  <c:v>9.0236137424544915E-4</c:v>
                </c:pt>
                <c:pt idx="2">
                  <c:v>9.987174228661762E-4</c:v>
                </c:pt>
                <c:pt idx="3">
                  <c:v>8.9064239535918688E-4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856-4854-95F9-9D83F227E8CB}"/>
            </c:ext>
          </c:extLst>
        </c:ser>
        <c:ser>
          <c:idx val="1"/>
          <c:order val="2"/>
          <c:tx>
            <c:strRef>
              <c:f>DatosBrutos!$X$2</c:f>
              <c:strCache>
                <c:ptCount val="1"/>
                <c:pt idx="0">
                  <c:v>5 Grados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DatosBrutos!$Y$3:$Y$6</c:f>
              <c:numCache>
                <c:formatCode>General</c:formatCode>
                <c:ptCount val="4"/>
                <c:pt idx="0">
                  <c:v>3.5</c:v>
                </c:pt>
                <c:pt idx="1">
                  <c:v>4.5</c:v>
                </c:pt>
                <c:pt idx="2">
                  <c:v>5.5</c:v>
                </c:pt>
                <c:pt idx="3">
                  <c:v>6.8</c:v>
                </c:pt>
              </c:numCache>
            </c:numRef>
          </c:xVal>
          <c:yVal>
            <c:numRef>
              <c:f>DatosBrutos!$X$3:$X$6</c:f>
              <c:numCache>
                <c:formatCode>General</c:formatCode>
                <c:ptCount val="4"/>
                <c:pt idx="0">
                  <c:v>9.6746681250303723E-4</c:v>
                </c:pt>
                <c:pt idx="1">
                  <c:v>8.7501709017795784E-4</c:v>
                </c:pt>
                <c:pt idx="2">
                  <c:v>9.4923728979120863E-4</c:v>
                </c:pt>
                <c:pt idx="3">
                  <c:v>8.9454872165471613E-4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03-4BDA-8EF6-BE3DE1F5F983}"/>
            </c:ext>
          </c:extLst>
        </c:ser>
        <c:ser>
          <c:idx val="3"/>
          <c:order val="3"/>
          <c:tx>
            <c:strRef>
              <c:f>DatosBrutos!$AA$2</c:f>
              <c:strCache>
                <c:ptCount val="1"/>
                <c:pt idx="0">
                  <c:v>33 Grados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DatosBrutos!$AB$3:$AB$6</c:f>
              <c:numCache>
                <c:formatCode>General</c:formatCode>
                <c:ptCount val="4"/>
                <c:pt idx="0">
                  <c:v>3.5</c:v>
                </c:pt>
                <c:pt idx="1">
                  <c:v>4.5</c:v>
                </c:pt>
                <c:pt idx="2">
                  <c:v>5.5</c:v>
                </c:pt>
                <c:pt idx="3">
                  <c:v>6.8</c:v>
                </c:pt>
              </c:numCache>
            </c:numRef>
          </c:xVal>
          <c:yVal>
            <c:numRef>
              <c:f>DatosBrutos!$AA$3:$AA$6</c:f>
              <c:numCache>
                <c:formatCode>General</c:formatCode>
                <c:ptCount val="4"/>
                <c:pt idx="0">
                  <c:v>1.016946945578671E-3</c:v>
                </c:pt>
                <c:pt idx="1">
                  <c:v>1.0052279666919498E-3</c:v>
                </c:pt>
                <c:pt idx="2">
                  <c:v>9.896026615103656E-4</c:v>
                </c:pt>
                <c:pt idx="3">
                  <c:v>9.2059089695751455E-4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61-4B5C-AA0C-E82910958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3213631"/>
        <c:axId val="1793222751"/>
      </c:scatterChart>
      <c:valAx>
        <c:axId val="1793213631"/>
        <c:scaling>
          <c:orientation val="minMax"/>
          <c:min val="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Contenido Asfalto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222751"/>
        <c:crosses val="autoZero"/>
        <c:crossBetween val="midCat"/>
      </c:valAx>
      <c:valAx>
        <c:axId val="1793222751"/>
        <c:scaling>
          <c:orientation val="minMax"/>
          <c:max val="1.2500000000000002E-3"/>
          <c:min val="8.0000000000000026E-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2136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421108688579745"/>
          <c:y val="6.083006886617031E-2"/>
          <c:w val="0.1689363307073721"/>
          <c:h val="0.313064360980676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388002</xdr:colOff>
      <xdr:row>8</xdr:row>
      <xdr:rowOff>139232</xdr:rowOff>
    </xdr:from>
    <xdr:to>
      <xdr:col>24</xdr:col>
      <xdr:colOff>422876</xdr:colOff>
      <xdr:row>27</xdr:row>
      <xdr:rowOff>28739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A3AD56-2C13-42DB-BD49-2990FCA540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388003</xdr:colOff>
      <xdr:row>8</xdr:row>
      <xdr:rowOff>139232</xdr:rowOff>
    </xdr:from>
    <xdr:to>
      <xdr:col>23</xdr:col>
      <xdr:colOff>284209</xdr:colOff>
      <xdr:row>23</xdr:row>
      <xdr:rowOff>167807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FD3494-9527-4D0E-854C-418E9F592C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A158B-E66B-4DD2-B385-BD2228246D9F}">
  <dimension ref="B2:AB84"/>
  <sheetViews>
    <sheetView tabSelected="1" topLeftCell="M4" zoomScale="116" zoomScaleNormal="130" workbookViewId="0">
      <selection activeCell="AB12" sqref="AB12"/>
    </sheetView>
  </sheetViews>
  <sheetFormatPr defaultRowHeight="14.25" x14ac:dyDescent="0.45"/>
  <cols>
    <col min="1" max="1" width="9.06640625" style="1"/>
    <col min="2" max="2" width="16.86328125" style="1" customWidth="1"/>
    <col min="3" max="3" width="7.73046875" style="1" customWidth="1"/>
    <col min="4" max="4" width="14.796875" style="1" customWidth="1"/>
    <col min="5" max="5" width="6.06640625" style="1" customWidth="1"/>
    <col min="6" max="6" width="21.46484375" style="1" customWidth="1"/>
    <col min="7" max="7" width="8.53125" style="1" customWidth="1"/>
    <col min="8" max="8" width="14.796875" style="1" customWidth="1"/>
    <col min="9" max="9" width="9.06640625" style="1"/>
    <col min="10" max="12" width="11.796875" style="1" customWidth="1"/>
    <col min="13" max="16" width="9.06640625" style="1"/>
    <col min="17" max="17" width="9.06640625" style="1" customWidth="1"/>
    <col min="18" max="18" width="17.3984375" style="1" customWidth="1"/>
    <col min="19" max="16384" width="9.06640625" style="1"/>
  </cols>
  <sheetData>
    <row r="2" spans="2:28" x14ac:dyDescent="0.45">
      <c r="B2" s="9" t="s">
        <v>17</v>
      </c>
      <c r="C2" s="10"/>
      <c r="D2" s="10"/>
      <c r="E2" s="6"/>
      <c r="F2" s="9" t="s">
        <v>31</v>
      </c>
      <c r="G2" s="10"/>
      <c r="H2" s="10"/>
      <c r="J2" s="9" t="s">
        <v>44</v>
      </c>
      <c r="K2" s="10"/>
      <c r="L2" s="10"/>
      <c r="M2" s="6"/>
      <c r="N2" s="9" t="s">
        <v>58</v>
      </c>
      <c r="O2" s="10"/>
      <c r="P2" s="10"/>
      <c r="R2" s="4" t="s">
        <v>17</v>
      </c>
      <c r="S2" s="4" t="s">
        <v>30</v>
      </c>
      <c r="U2" s="4" t="s">
        <v>16</v>
      </c>
      <c r="V2" s="4" t="s">
        <v>30</v>
      </c>
      <c r="X2" s="4" t="s">
        <v>57</v>
      </c>
      <c r="Y2" s="4" t="s">
        <v>30</v>
      </c>
      <c r="AA2" s="4" t="s">
        <v>70</v>
      </c>
      <c r="AB2" s="4" t="s">
        <v>30</v>
      </c>
    </row>
    <row r="3" spans="2:28" x14ac:dyDescent="0.45">
      <c r="B3" s="2" t="s">
        <v>0</v>
      </c>
      <c r="C3" s="2" t="s">
        <v>1</v>
      </c>
      <c r="D3" s="2" t="s">
        <v>2</v>
      </c>
      <c r="F3" s="2" t="s">
        <v>0</v>
      </c>
      <c r="G3" s="2" t="s">
        <v>1</v>
      </c>
      <c r="H3" s="2" t="s">
        <v>2</v>
      </c>
      <c r="J3" s="2" t="s">
        <v>0</v>
      </c>
      <c r="K3" s="2" t="s">
        <v>1</v>
      </c>
      <c r="L3" s="2" t="s">
        <v>2</v>
      </c>
      <c r="N3" s="2" t="s">
        <v>0</v>
      </c>
      <c r="O3" s="2" t="s">
        <v>1</v>
      </c>
      <c r="P3" s="2" t="s">
        <v>2</v>
      </c>
      <c r="R3" s="5">
        <f>AVERAGE(D5:D21)</f>
        <v>1.1211156467911523E-3</v>
      </c>
      <c r="S3" s="2">
        <v>3.5</v>
      </c>
      <c r="U3" s="5">
        <f>AVERAGE(H5:H21)</f>
        <v>9.7357670747860302E-4</v>
      </c>
      <c r="V3" s="2">
        <v>3.5</v>
      </c>
      <c r="X3" s="5">
        <f>AVERAGE(L5:L21)</f>
        <v>9.3589067494836975E-4</v>
      </c>
      <c r="Y3" s="2">
        <v>3.5</v>
      </c>
      <c r="AA3" s="5">
        <f>AVERAGE(P5:P21)</f>
        <v>1.016946945578671E-3</v>
      </c>
      <c r="AB3" s="2">
        <v>3.5</v>
      </c>
    </row>
    <row r="4" spans="2:28" x14ac:dyDescent="0.45">
      <c r="B4" s="7" t="s">
        <v>18</v>
      </c>
      <c r="C4" s="8"/>
      <c r="D4" s="8"/>
      <c r="E4" s="6"/>
      <c r="F4" s="7" t="s">
        <v>18</v>
      </c>
      <c r="G4" s="8"/>
      <c r="H4" s="8"/>
      <c r="J4" s="7" t="s">
        <v>18</v>
      </c>
      <c r="K4" s="8"/>
      <c r="L4" s="8"/>
      <c r="M4" s="6"/>
      <c r="N4" s="7" t="s">
        <v>18</v>
      </c>
      <c r="O4" s="8"/>
      <c r="P4" s="8"/>
      <c r="R4" s="5">
        <f>AVERAGE(D23:D39)</f>
        <v>1.0937713627225064E-3</v>
      </c>
      <c r="S4" s="2">
        <v>4.5</v>
      </c>
      <c r="U4" s="5">
        <f>AVERAGE(H23:H39)</f>
        <v>9.3426303899146745E-4</v>
      </c>
      <c r="V4" s="2">
        <v>4.5</v>
      </c>
      <c r="X4" s="5">
        <f>AVERAGE(L23:L39)</f>
        <v>8.9411468540016392E-4</v>
      </c>
      <c r="Y4" s="2">
        <v>4.5</v>
      </c>
      <c r="AA4" s="5">
        <f>AVERAGE(P23:P39)</f>
        <v>1.0052279666919498E-3</v>
      </c>
      <c r="AB4" s="2">
        <v>4.5</v>
      </c>
    </row>
    <row r="5" spans="2:28" x14ac:dyDescent="0.45">
      <c r="B5" s="3" t="s">
        <v>15</v>
      </c>
      <c r="C5" s="3">
        <v>1</v>
      </c>
      <c r="D5" s="3">
        <v>1.2109611515853658E-3</v>
      </c>
      <c r="F5" s="3" t="s">
        <v>36</v>
      </c>
      <c r="G5" s="3">
        <v>1</v>
      </c>
      <c r="H5" s="3">
        <v>9.9611320533554704E-4</v>
      </c>
      <c r="J5" t="s">
        <v>45</v>
      </c>
      <c r="K5">
        <v>1</v>
      </c>
      <c r="L5"/>
      <c r="N5" t="s">
        <v>61</v>
      </c>
      <c r="O5">
        <v>1</v>
      </c>
      <c r="P5">
        <v>1.2109611515851437E-3</v>
      </c>
      <c r="R5" s="5">
        <f>AVERAGE(D41:D62)</f>
        <v>1.0818353657080009E-3</v>
      </c>
      <c r="S5" s="4">
        <v>5.5</v>
      </c>
      <c r="U5" s="5">
        <f>AVERAGE(H41:H57)</f>
        <v>9.407735828167082E-4</v>
      </c>
      <c r="V5" s="4">
        <v>5.5</v>
      </c>
      <c r="X5" s="5">
        <f>AVERAGE(L41:L57)</f>
        <v>8.8478290591655908E-4</v>
      </c>
      <c r="Y5" s="4">
        <v>5.5</v>
      </c>
      <c r="AA5" s="5">
        <f>AVERAGE(P41:P57)</f>
        <v>9.896026615103656E-4</v>
      </c>
      <c r="AB5" s="4">
        <v>5.5</v>
      </c>
    </row>
    <row r="6" spans="2:28" x14ac:dyDescent="0.45">
      <c r="B6" s="3" t="s">
        <v>15</v>
      </c>
      <c r="C6" s="3">
        <v>2</v>
      </c>
      <c r="D6" s="3">
        <v>1.1328346256789246E-3</v>
      </c>
      <c r="F6" s="3" t="s">
        <v>36</v>
      </c>
      <c r="G6" s="3">
        <v>2</v>
      </c>
      <c r="H6" s="3"/>
      <c r="J6" t="s">
        <v>45</v>
      </c>
      <c r="K6">
        <v>2</v>
      </c>
      <c r="L6">
        <v>9.9611320533643521E-4</v>
      </c>
      <c r="N6" t="s">
        <v>61</v>
      </c>
      <c r="O6">
        <v>2</v>
      </c>
      <c r="P6">
        <v>1.1133029941996497E-3</v>
      </c>
      <c r="R6" s="5">
        <f>AVERAGE(D64:D84)</f>
        <v>9.9741531410095052E-4</v>
      </c>
      <c r="S6" s="2">
        <v>6.8</v>
      </c>
      <c r="U6" s="5">
        <f>AVERAGE(H59:H76)</f>
        <v>8.9064239535918688E-4</v>
      </c>
      <c r="V6" s="2">
        <v>6.8</v>
      </c>
      <c r="X6" s="5">
        <f>AVERAGE(L59:L76)</f>
        <v>8.8326377902347986E-4</v>
      </c>
      <c r="Y6" s="2">
        <v>6.8</v>
      </c>
      <c r="AA6" s="5">
        <f>AVERAGE(P59:P76)</f>
        <v>9.2059089695751455E-4</v>
      </c>
      <c r="AB6" s="2">
        <v>6.8</v>
      </c>
    </row>
    <row r="7" spans="2:28" x14ac:dyDescent="0.45">
      <c r="B7" s="3" t="s">
        <v>15</v>
      </c>
      <c r="C7" s="3">
        <v>3</v>
      </c>
      <c r="D7" s="3">
        <v>1.074239731245541E-3</v>
      </c>
      <c r="F7" s="3" t="s">
        <v>36</v>
      </c>
      <c r="G7" s="3">
        <v>3</v>
      </c>
      <c r="H7" s="3">
        <v>9.3751831090571613E-4</v>
      </c>
      <c r="J7" t="s">
        <v>45</v>
      </c>
      <c r="K7">
        <v>3</v>
      </c>
      <c r="L7">
        <v>1.0547080997671543E-3</v>
      </c>
      <c r="N7" t="s">
        <v>61</v>
      </c>
      <c r="O7">
        <v>3</v>
      </c>
      <c r="P7">
        <v>1.1328346256753719E-3</v>
      </c>
    </row>
    <row r="8" spans="2:28" x14ac:dyDescent="0.45">
      <c r="B8" s="3" t="s">
        <v>15</v>
      </c>
      <c r="C8" s="3">
        <v>4</v>
      </c>
      <c r="D8" s="3">
        <v>1.0547080997724834E-3</v>
      </c>
      <c r="F8" s="3" t="s">
        <v>36</v>
      </c>
      <c r="G8" s="3">
        <v>4</v>
      </c>
      <c r="H8" s="3">
        <v>9.3751831090571613E-4</v>
      </c>
      <c r="J8" t="s">
        <v>45</v>
      </c>
      <c r="K8">
        <v>4</v>
      </c>
      <c r="L8">
        <v>1.0156448368121573E-3</v>
      </c>
      <c r="N8" t="s">
        <v>61</v>
      </c>
      <c r="O8">
        <v>4</v>
      </c>
      <c r="P8">
        <v>1.1133029941987616E-3</v>
      </c>
    </row>
    <row r="9" spans="2:28" x14ac:dyDescent="0.45">
      <c r="B9" s="3" t="s">
        <v>15</v>
      </c>
      <c r="C9" s="3">
        <v>5</v>
      </c>
      <c r="D9" s="3">
        <v>1.0547080997724834E-3</v>
      </c>
      <c r="F9" s="3" t="s">
        <v>36</v>
      </c>
      <c r="G9" s="3">
        <v>5</v>
      </c>
      <c r="H9" s="3">
        <v>9.5704994237877372E-4</v>
      </c>
      <c r="J9" t="s">
        <v>45</v>
      </c>
      <c r="K9">
        <v>5</v>
      </c>
      <c r="L9">
        <v>9.3751831090571613E-4</v>
      </c>
      <c r="N9" t="s">
        <v>61</v>
      </c>
      <c r="O9">
        <v>5</v>
      </c>
      <c r="P9">
        <v>1.0351764682887676E-3</v>
      </c>
    </row>
    <row r="10" spans="2:28" x14ac:dyDescent="0.45">
      <c r="B10" s="7" t="s">
        <v>19</v>
      </c>
      <c r="C10" s="8"/>
      <c r="D10" s="8"/>
      <c r="E10" s="6"/>
      <c r="F10" s="7" t="s">
        <v>19</v>
      </c>
      <c r="G10" s="8"/>
      <c r="H10" s="8"/>
      <c r="J10" s="7" t="s">
        <v>19</v>
      </c>
      <c r="K10" s="8"/>
      <c r="L10" s="8"/>
      <c r="M10" s="6"/>
      <c r="N10" s="7" t="s">
        <v>19</v>
      </c>
      <c r="O10" s="8"/>
      <c r="P10" s="8"/>
    </row>
    <row r="11" spans="2:28" x14ac:dyDescent="0.45">
      <c r="B11" s="3" t="s">
        <v>6</v>
      </c>
      <c r="C11" s="3">
        <v>1</v>
      </c>
      <c r="D11" s="3">
        <v>1.367214203402245E-3</v>
      </c>
      <c r="F11" s="3" t="s">
        <v>40</v>
      </c>
      <c r="G11" s="3">
        <v>1</v>
      </c>
      <c r="H11" s="3">
        <v>9.5704994238232644E-4</v>
      </c>
      <c r="J11" t="s">
        <v>46</v>
      </c>
      <c r="K11">
        <v>1</v>
      </c>
      <c r="L11"/>
      <c r="N11" t="s">
        <v>60</v>
      </c>
      <c r="O11">
        <v>1</v>
      </c>
      <c r="P11">
        <v>9.5704994238232644E-4</v>
      </c>
    </row>
    <row r="12" spans="2:28" x14ac:dyDescent="0.45">
      <c r="B12" s="3" t="s">
        <v>6</v>
      </c>
      <c r="C12" s="3">
        <v>2</v>
      </c>
      <c r="D12" s="3">
        <v>1.1718978886321452E-3</v>
      </c>
      <c r="F12" s="3" t="s">
        <v>40</v>
      </c>
      <c r="G12" s="3">
        <v>2</v>
      </c>
      <c r="H12" s="3">
        <v>9.3751831090571613E-4</v>
      </c>
      <c r="J12" t="s">
        <v>46</v>
      </c>
      <c r="K12">
        <v>2</v>
      </c>
      <c r="L12">
        <v>8.5939178499572222E-4</v>
      </c>
      <c r="N12" t="s">
        <v>60</v>
      </c>
      <c r="O12">
        <v>2</v>
      </c>
      <c r="P12">
        <v>9.3751831090571613E-4</v>
      </c>
    </row>
    <row r="13" spans="2:28" x14ac:dyDescent="0.45">
      <c r="B13" s="3" t="s">
        <v>6</v>
      </c>
      <c r="C13" s="3">
        <v>3</v>
      </c>
      <c r="D13" s="3">
        <v>1.1133029941987616E-3</v>
      </c>
      <c r="F13" s="3" t="s">
        <v>40</v>
      </c>
      <c r="G13" s="3">
        <v>3</v>
      </c>
      <c r="H13" s="3">
        <v>9.7658157385893674E-4</v>
      </c>
      <c r="J13" t="s">
        <v>46</v>
      </c>
      <c r="K13">
        <v>3</v>
      </c>
      <c r="L13">
        <v>8.7892341647233252E-4</v>
      </c>
      <c r="N13" t="s">
        <v>60</v>
      </c>
      <c r="O13">
        <v>3</v>
      </c>
      <c r="P13">
        <v>9.3751831090571613E-4</v>
      </c>
    </row>
    <row r="14" spans="2:28" x14ac:dyDescent="0.45">
      <c r="B14" s="3" t="s">
        <v>6</v>
      </c>
      <c r="C14" s="3">
        <v>4</v>
      </c>
      <c r="D14" s="3">
        <v>1.1133029941987616E-3</v>
      </c>
      <c r="F14" s="3" t="s">
        <v>40</v>
      </c>
      <c r="G14" s="3">
        <v>4</v>
      </c>
      <c r="H14" s="3">
        <v>9.3751831090571613E-4</v>
      </c>
      <c r="J14" t="s">
        <v>46</v>
      </c>
      <c r="K14">
        <v>4</v>
      </c>
      <c r="L14">
        <v>8.7892341647588523E-4</v>
      </c>
      <c r="N14" t="s">
        <v>60</v>
      </c>
      <c r="O14">
        <v>4</v>
      </c>
      <c r="P14">
        <v>9.3751831090571613E-4</v>
      </c>
    </row>
    <row r="15" spans="2:28" x14ac:dyDescent="0.45">
      <c r="B15" s="3" t="s">
        <v>6</v>
      </c>
      <c r="C15" s="3">
        <v>5</v>
      </c>
      <c r="D15" s="3">
        <v>1.0937713627221513E-3</v>
      </c>
      <c r="F15" s="3" t="s">
        <v>40</v>
      </c>
      <c r="G15" s="3">
        <v>5</v>
      </c>
      <c r="H15" s="3">
        <v>9.9611320534620518E-4</v>
      </c>
      <c r="J15" t="s">
        <v>46</v>
      </c>
      <c r="K15">
        <v>5</v>
      </c>
      <c r="L15">
        <v>8.7892341647233252E-4</v>
      </c>
      <c r="N15" t="s">
        <v>60</v>
      </c>
      <c r="O15">
        <v>5</v>
      </c>
      <c r="P15">
        <v>9.1798667943265855E-4</v>
      </c>
    </row>
    <row r="16" spans="2:28" x14ac:dyDescent="0.45">
      <c r="B16" s="7" t="s">
        <v>20</v>
      </c>
      <c r="C16" s="8"/>
      <c r="D16" s="8"/>
      <c r="E16" s="6"/>
      <c r="F16" s="7" t="s">
        <v>20</v>
      </c>
      <c r="G16" s="8"/>
      <c r="H16" s="8"/>
      <c r="J16" s="7" t="s">
        <v>20</v>
      </c>
      <c r="K16" s="8"/>
      <c r="L16" s="8"/>
      <c r="M16" s="6"/>
      <c r="N16" s="7" t="s">
        <v>20</v>
      </c>
      <c r="O16" s="8"/>
      <c r="P16" s="8"/>
    </row>
    <row r="17" spans="2:16" x14ac:dyDescent="0.45">
      <c r="B17" s="3" t="s">
        <v>13</v>
      </c>
      <c r="C17" s="3">
        <v>1</v>
      </c>
      <c r="D17" s="3">
        <v>1.13283462567626E-3</v>
      </c>
      <c r="F17" s="3" t="s">
        <v>41</v>
      </c>
      <c r="G17" s="3">
        <v>1</v>
      </c>
      <c r="H17" s="3">
        <v>1.0156448368139337E-3</v>
      </c>
      <c r="J17" t="s">
        <v>47</v>
      </c>
      <c r="K17">
        <v>1</v>
      </c>
      <c r="L17"/>
      <c r="N17" t="s">
        <v>59</v>
      </c>
      <c r="O17">
        <v>1</v>
      </c>
      <c r="P17">
        <v>1.0937713627212631E-3</v>
      </c>
    </row>
    <row r="18" spans="2:16" x14ac:dyDescent="0.45">
      <c r="B18" s="3" t="s">
        <v>13</v>
      </c>
      <c r="C18" s="3">
        <v>2</v>
      </c>
      <c r="D18" s="3">
        <v>1.074239731245541E-3</v>
      </c>
      <c r="F18" s="3" t="s">
        <v>41</v>
      </c>
      <c r="G18" s="3">
        <v>2</v>
      </c>
      <c r="H18" s="3">
        <v>1.0156448368121573E-3</v>
      </c>
      <c r="J18" t="s">
        <v>47</v>
      </c>
      <c r="K18">
        <v>2</v>
      </c>
      <c r="L18">
        <v>9.1798667942555312E-4</v>
      </c>
      <c r="N18" t="s">
        <v>59</v>
      </c>
      <c r="O18">
        <v>2</v>
      </c>
      <c r="P18">
        <v>9.9611320533554704E-4</v>
      </c>
    </row>
    <row r="19" spans="2:16" x14ac:dyDescent="0.45">
      <c r="B19" s="3" t="s">
        <v>13</v>
      </c>
      <c r="C19" s="3">
        <v>3</v>
      </c>
      <c r="D19" s="3">
        <v>1.0547080997689307E-3</v>
      </c>
      <c r="F19" s="3" t="s">
        <v>41</v>
      </c>
      <c r="G19" s="3">
        <v>3</v>
      </c>
      <c r="H19" s="3">
        <v>9.7658157385893674E-4</v>
      </c>
      <c r="J19" t="s">
        <v>47</v>
      </c>
      <c r="K19">
        <v>3</v>
      </c>
      <c r="L19">
        <v>9.3751831090571613E-4</v>
      </c>
      <c r="N19" t="s">
        <v>59</v>
      </c>
      <c r="O19">
        <v>3</v>
      </c>
      <c r="P19">
        <v>9.7658157385893674E-4</v>
      </c>
    </row>
    <row r="20" spans="2:16" x14ac:dyDescent="0.45">
      <c r="B20" s="3" t="s">
        <v>13</v>
      </c>
      <c r="C20" s="3">
        <v>4</v>
      </c>
      <c r="D20" s="3">
        <v>1.0937713627221513E-3</v>
      </c>
      <c r="F20" s="3" t="s">
        <v>41</v>
      </c>
      <c r="G20" s="3">
        <v>4</v>
      </c>
      <c r="H20" s="3">
        <v>1.0156448368121573E-3</v>
      </c>
      <c r="J20" t="s">
        <v>47</v>
      </c>
      <c r="K20">
        <v>4</v>
      </c>
      <c r="L20">
        <v>9.1798667942555312E-4</v>
      </c>
      <c r="N20" t="s">
        <v>59</v>
      </c>
      <c r="O20">
        <v>4</v>
      </c>
      <c r="P20">
        <v>9.5704994237877372E-4</v>
      </c>
    </row>
    <row r="21" spans="2:16" x14ac:dyDescent="0.45">
      <c r="B21" s="3" t="s">
        <v>13</v>
      </c>
      <c r="C21" s="3">
        <v>5</v>
      </c>
      <c r="D21" s="3">
        <v>1.074239731245541E-3</v>
      </c>
      <c r="F21" s="3" t="s">
        <v>41</v>
      </c>
      <c r="G21" s="3">
        <v>5</v>
      </c>
      <c r="H21" s="3"/>
      <c r="J21" t="s">
        <v>47</v>
      </c>
      <c r="K21">
        <v>5</v>
      </c>
      <c r="L21">
        <v>9.5704994238587915E-4</v>
      </c>
      <c r="N21" t="s">
        <v>59</v>
      </c>
      <c r="O21">
        <v>5</v>
      </c>
      <c r="P21">
        <v>9.3751831090571613E-4</v>
      </c>
    </row>
    <row r="22" spans="2:16" x14ac:dyDescent="0.45">
      <c r="B22" s="7" t="s">
        <v>21</v>
      </c>
      <c r="C22" s="8"/>
      <c r="D22" s="8"/>
      <c r="E22" s="6"/>
      <c r="F22" s="7" t="s">
        <v>21</v>
      </c>
      <c r="G22" s="8"/>
      <c r="H22" s="8"/>
      <c r="J22" s="7" t="s">
        <v>21</v>
      </c>
      <c r="K22" s="8"/>
      <c r="L22" s="8"/>
      <c r="M22" s="6"/>
      <c r="N22" s="7" t="s">
        <v>21</v>
      </c>
      <c r="O22" s="8"/>
      <c r="P22" s="8"/>
    </row>
    <row r="23" spans="2:16" x14ac:dyDescent="0.45">
      <c r="B23" s="3" t="s">
        <v>10</v>
      </c>
      <c r="C23" s="3">
        <v>1</v>
      </c>
      <c r="D23" s="3">
        <v>1.0547080997671543E-3</v>
      </c>
      <c r="F23" s="3" t="s">
        <v>43</v>
      </c>
      <c r="G23" s="3">
        <v>1</v>
      </c>
      <c r="H23" s="3"/>
      <c r="J23" t="s">
        <v>48</v>
      </c>
      <c r="K23">
        <v>1</v>
      </c>
      <c r="L23">
        <v>9.1798667942555312E-4</v>
      </c>
      <c r="N23" t="s">
        <v>65</v>
      </c>
      <c r="O23">
        <v>1</v>
      </c>
      <c r="P23">
        <v>9.9611320533643521E-4</v>
      </c>
    </row>
    <row r="24" spans="2:16" x14ac:dyDescent="0.45">
      <c r="B24" s="3" t="s">
        <v>10</v>
      </c>
      <c r="C24" s="3">
        <v>2</v>
      </c>
      <c r="D24" s="3">
        <v>1.1328346256789246E-3</v>
      </c>
      <c r="F24" s="3" t="s">
        <v>43</v>
      </c>
      <c r="G24" s="3">
        <v>2</v>
      </c>
      <c r="H24" s="3"/>
      <c r="J24" t="s">
        <v>48</v>
      </c>
      <c r="K24">
        <v>2</v>
      </c>
      <c r="L24">
        <v>8.7892341647233252E-4</v>
      </c>
      <c r="N24" t="s">
        <v>65</v>
      </c>
      <c r="O24">
        <v>2</v>
      </c>
      <c r="P24">
        <v>9.9611320533732339E-4</v>
      </c>
    </row>
    <row r="25" spans="2:16" x14ac:dyDescent="0.45">
      <c r="B25" s="3" t="s">
        <v>10</v>
      </c>
      <c r="C25" s="3">
        <v>3</v>
      </c>
      <c r="D25" s="3"/>
      <c r="F25" s="3" t="s">
        <v>43</v>
      </c>
      <c r="G25" s="3">
        <v>3</v>
      </c>
      <c r="H25" s="3"/>
      <c r="J25" t="s">
        <v>48</v>
      </c>
      <c r="K25">
        <v>3</v>
      </c>
      <c r="L25">
        <v>8.7892341647233252E-4</v>
      </c>
      <c r="N25" t="s">
        <v>65</v>
      </c>
      <c r="O25">
        <v>3</v>
      </c>
      <c r="P25">
        <v>9.3751831090216342E-4</v>
      </c>
    </row>
    <row r="26" spans="2:16" x14ac:dyDescent="0.45">
      <c r="B26" s="3" t="s">
        <v>10</v>
      </c>
      <c r="C26" s="3">
        <v>4</v>
      </c>
      <c r="D26" s="3">
        <v>1.1328346256789246E-3</v>
      </c>
      <c r="F26" s="3" t="s">
        <v>43</v>
      </c>
      <c r="G26" s="3">
        <v>4</v>
      </c>
      <c r="H26" s="3">
        <v>9.3751831090571613E-4</v>
      </c>
      <c r="J26" t="s">
        <v>48</v>
      </c>
      <c r="K26">
        <v>4</v>
      </c>
      <c r="L26">
        <v>8.9845504795249553E-4</v>
      </c>
      <c r="N26" t="s">
        <v>65</v>
      </c>
      <c r="O26">
        <v>4</v>
      </c>
      <c r="P26">
        <v>9.7658157385893674E-4</v>
      </c>
    </row>
    <row r="27" spans="2:16" x14ac:dyDescent="0.45">
      <c r="B27" s="3" t="s">
        <v>10</v>
      </c>
      <c r="C27" s="3">
        <v>5</v>
      </c>
      <c r="D27" s="3">
        <v>1.2109611515853658E-3</v>
      </c>
      <c r="F27" s="3" t="s">
        <v>43</v>
      </c>
      <c r="G27" s="3">
        <v>5</v>
      </c>
      <c r="H27" s="3">
        <v>9.1798667942555312E-4</v>
      </c>
      <c r="J27" t="s">
        <v>48</v>
      </c>
      <c r="K27">
        <v>5</v>
      </c>
      <c r="L27">
        <v>9.1798667943265855E-4</v>
      </c>
      <c r="N27" t="s">
        <v>65</v>
      </c>
      <c r="O27">
        <v>5</v>
      </c>
      <c r="P27">
        <v>1.0156448368157101E-3</v>
      </c>
    </row>
    <row r="28" spans="2:16" x14ac:dyDescent="0.45">
      <c r="B28" s="7" t="s">
        <v>22</v>
      </c>
      <c r="C28" s="8"/>
      <c r="D28" s="8"/>
      <c r="E28" s="6"/>
      <c r="F28" s="7" t="s">
        <v>22</v>
      </c>
      <c r="G28" s="8"/>
      <c r="H28" s="8"/>
      <c r="J28" s="7" t="s">
        <v>22</v>
      </c>
      <c r="K28" s="8"/>
      <c r="L28" s="8"/>
      <c r="M28" s="6"/>
      <c r="N28" s="7" t="s">
        <v>22</v>
      </c>
      <c r="O28" s="8"/>
      <c r="P28" s="8"/>
    </row>
    <row r="29" spans="2:16" x14ac:dyDescent="0.45">
      <c r="B29" s="3" t="s">
        <v>4</v>
      </c>
      <c r="C29" s="3">
        <v>1</v>
      </c>
      <c r="D29" s="3">
        <v>1.035176468290544E-3</v>
      </c>
      <c r="F29" s="3" t="s">
        <v>37</v>
      </c>
      <c r="G29" s="3">
        <v>1</v>
      </c>
      <c r="H29" s="3"/>
      <c r="J29" t="s">
        <v>50</v>
      </c>
      <c r="K29">
        <v>1</v>
      </c>
      <c r="L29">
        <v>8.9845504795027509E-4</v>
      </c>
      <c r="N29" t="s">
        <v>62</v>
      </c>
      <c r="O29">
        <v>1</v>
      </c>
      <c r="P29">
        <v>1.1133029942005379E-3</v>
      </c>
    </row>
    <row r="30" spans="2:16" x14ac:dyDescent="0.45">
      <c r="B30" s="3" t="s">
        <v>4</v>
      </c>
      <c r="C30" s="3">
        <v>2</v>
      </c>
      <c r="D30" s="3">
        <v>1.0937713627221513E-3</v>
      </c>
      <c r="F30" s="3" t="s">
        <v>37</v>
      </c>
      <c r="G30" s="3">
        <v>2</v>
      </c>
      <c r="H30" s="3">
        <v>9.1798667942732948E-4</v>
      </c>
      <c r="J30" t="s">
        <v>50</v>
      </c>
      <c r="K30">
        <v>2</v>
      </c>
      <c r="L30">
        <v>8.7892341647233252E-4</v>
      </c>
      <c r="N30" t="s">
        <v>62</v>
      </c>
      <c r="O30">
        <v>2</v>
      </c>
      <c r="P30">
        <v>9.9611320533554704E-4</v>
      </c>
    </row>
    <row r="31" spans="2:16" x14ac:dyDescent="0.45">
      <c r="B31" s="3" t="s">
        <v>4</v>
      </c>
      <c r="C31" s="3">
        <v>3</v>
      </c>
      <c r="D31" s="3">
        <v>1.0547080997689307E-3</v>
      </c>
      <c r="F31" s="3" t="s">
        <v>37</v>
      </c>
      <c r="G31" s="3">
        <v>3</v>
      </c>
      <c r="H31" s="3"/>
      <c r="J31" t="s">
        <v>50</v>
      </c>
      <c r="K31">
        <v>3</v>
      </c>
      <c r="L31"/>
      <c r="N31" t="s">
        <v>62</v>
      </c>
      <c r="O31">
        <v>3</v>
      </c>
      <c r="P31">
        <v>1.0742397312437646E-3</v>
      </c>
    </row>
    <row r="32" spans="2:16" x14ac:dyDescent="0.45">
      <c r="B32" s="3" t="s">
        <v>4</v>
      </c>
      <c r="C32" s="3">
        <v>4</v>
      </c>
      <c r="D32" s="3">
        <v>1.0547080997653779E-3</v>
      </c>
      <c r="F32" s="3" t="s">
        <v>37</v>
      </c>
      <c r="G32" s="3">
        <v>4</v>
      </c>
      <c r="H32" s="3"/>
      <c r="J32" t="s">
        <v>50</v>
      </c>
      <c r="K32">
        <v>4</v>
      </c>
      <c r="L32"/>
      <c r="N32" t="s">
        <v>62</v>
      </c>
      <c r="O32">
        <v>4</v>
      </c>
      <c r="P32">
        <v>1.0351764682887676E-3</v>
      </c>
    </row>
    <row r="33" spans="2:16" x14ac:dyDescent="0.45">
      <c r="B33" s="3" t="s">
        <v>4</v>
      </c>
      <c r="C33" s="3">
        <v>5</v>
      </c>
      <c r="D33" s="3">
        <v>1.074239731245541E-3</v>
      </c>
      <c r="F33" s="3" t="s">
        <v>37</v>
      </c>
      <c r="G33" s="3">
        <v>5</v>
      </c>
      <c r="H33" s="3">
        <v>1.0351764682887676E-3</v>
      </c>
      <c r="J33" t="s">
        <v>50</v>
      </c>
      <c r="K33">
        <v>5</v>
      </c>
      <c r="L33"/>
      <c r="N33" t="s">
        <v>62</v>
      </c>
      <c r="O33">
        <v>5</v>
      </c>
      <c r="P33">
        <v>1.1133029941987616E-3</v>
      </c>
    </row>
    <row r="34" spans="2:16" x14ac:dyDescent="0.45">
      <c r="B34" s="7" t="s">
        <v>23</v>
      </c>
      <c r="C34" s="8"/>
      <c r="D34" s="8"/>
      <c r="E34" s="6"/>
      <c r="F34" s="7" t="s">
        <v>23</v>
      </c>
      <c r="G34" s="8"/>
      <c r="H34" s="8"/>
      <c r="J34" s="7" t="s">
        <v>23</v>
      </c>
      <c r="K34" s="8"/>
      <c r="L34" s="8"/>
      <c r="M34" s="6"/>
      <c r="N34" s="7" t="s">
        <v>23</v>
      </c>
      <c r="O34" s="8"/>
      <c r="P34" s="8"/>
    </row>
    <row r="35" spans="2:16" x14ac:dyDescent="0.45">
      <c r="B35" s="3" t="s">
        <v>12</v>
      </c>
      <c r="C35" s="3">
        <v>1</v>
      </c>
      <c r="D35" s="3">
        <v>1.0937713627221513E-3</v>
      </c>
      <c r="F35" s="3" t="s">
        <v>38</v>
      </c>
      <c r="G35" s="3">
        <v>1</v>
      </c>
      <c r="H35" s="3">
        <v>8.9845504795249553E-4</v>
      </c>
      <c r="J35" t="s">
        <v>49</v>
      </c>
      <c r="K35">
        <v>1</v>
      </c>
      <c r="L35">
        <v>8.9845504795027509E-4</v>
      </c>
      <c r="N35" t="s">
        <v>67</v>
      </c>
      <c r="O35">
        <v>1</v>
      </c>
      <c r="P35">
        <v>9.7658157385893674E-4</v>
      </c>
    </row>
    <row r="36" spans="2:16" x14ac:dyDescent="0.45">
      <c r="B36" s="3" t="s">
        <v>12</v>
      </c>
      <c r="C36" s="3">
        <v>2</v>
      </c>
      <c r="D36" s="3"/>
      <c r="F36" s="3" t="s">
        <v>38</v>
      </c>
      <c r="G36" s="3">
        <v>2</v>
      </c>
      <c r="H36" s="3"/>
      <c r="J36" t="s">
        <v>49</v>
      </c>
      <c r="K36">
        <v>2</v>
      </c>
      <c r="L36">
        <v>8.789234164732207E-4</v>
      </c>
      <c r="N36" t="s">
        <v>67</v>
      </c>
      <c r="O36">
        <v>2</v>
      </c>
      <c r="P36">
        <v>9.9611320533554704E-4</v>
      </c>
    </row>
    <row r="37" spans="2:16" x14ac:dyDescent="0.45">
      <c r="B37" s="3" t="s">
        <v>12</v>
      </c>
      <c r="C37" s="3">
        <v>3</v>
      </c>
      <c r="D37" s="3"/>
      <c r="F37" s="3" t="s">
        <v>38</v>
      </c>
      <c r="G37" s="3">
        <v>3</v>
      </c>
      <c r="H37" s="3">
        <v>8.9845504794894282E-4</v>
      </c>
      <c r="J37" t="s">
        <v>49</v>
      </c>
      <c r="K37">
        <v>3</v>
      </c>
      <c r="L37"/>
      <c r="N37" t="s">
        <v>67</v>
      </c>
      <c r="O37">
        <v>3</v>
      </c>
      <c r="P37">
        <v>9.7658157385893674E-4</v>
      </c>
    </row>
    <row r="38" spans="2:16" x14ac:dyDescent="0.45">
      <c r="B38" s="3" t="s">
        <v>12</v>
      </c>
      <c r="C38" s="3">
        <v>4</v>
      </c>
      <c r="D38" s="3"/>
      <c r="F38" s="3" t="s">
        <v>38</v>
      </c>
      <c r="G38" s="3">
        <v>4</v>
      </c>
      <c r="H38" s="3"/>
      <c r="J38" t="s">
        <v>49</v>
      </c>
      <c r="K38">
        <v>4</v>
      </c>
      <c r="L38"/>
      <c r="N38" t="s">
        <v>67</v>
      </c>
      <c r="O38">
        <v>4</v>
      </c>
      <c r="P38">
        <v>9.3751831090216342E-4</v>
      </c>
    </row>
    <row r="39" spans="2:16" x14ac:dyDescent="0.45">
      <c r="B39" s="3" t="s">
        <v>12</v>
      </c>
      <c r="C39" s="3">
        <v>5</v>
      </c>
      <c r="D39" s="3"/>
      <c r="F39" s="3" t="s">
        <v>38</v>
      </c>
      <c r="G39" s="3">
        <v>5</v>
      </c>
      <c r="H39" s="3"/>
      <c r="J39" t="s">
        <v>49</v>
      </c>
      <c r="K39">
        <v>5</v>
      </c>
      <c r="L39"/>
      <c r="N39" t="s">
        <v>67</v>
      </c>
      <c r="O39">
        <v>5</v>
      </c>
      <c r="P39">
        <v>9.3751831090571613E-4</v>
      </c>
    </row>
    <row r="40" spans="2:16" x14ac:dyDescent="0.45">
      <c r="B40" s="7" t="s">
        <v>24</v>
      </c>
      <c r="C40" s="8"/>
      <c r="D40" s="8"/>
      <c r="E40" s="6"/>
      <c r="F40" s="7" t="s">
        <v>24</v>
      </c>
      <c r="G40" s="8"/>
      <c r="H40" s="8"/>
      <c r="J40" s="7" t="s">
        <v>24</v>
      </c>
      <c r="K40" s="8"/>
      <c r="L40" s="8"/>
      <c r="M40" s="6"/>
      <c r="N40" s="7" t="s">
        <v>24</v>
      </c>
      <c r="O40" s="8"/>
      <c r="P40" s="8"/>
    </row>
    <row r="41" spans="2:16" x14ac:dyDescent="0.45">
      <c r="B41" s="3" t="s">
        <v>7</v>
      </c>
      <c r="C41" s="3">
        <v>1</v>
      </c>
      <c r="D41" s="3"/>
      <c r="F41" s="3" t="s">
        <v>33</v>
      </c>
      <c r="G41" s="3">
        <v>1</v>
      </c>
      <c r="H41" s="3"/>
      <c r="J41" t="s">
        <v>51</v>
      </c>
      <c r="K41">
        <v>1</v>
      </c>
      <c r="L41">
        <v>8.9845504795249553E-4</v>
      </c>
      <c r="N41" t="s">
        <v>68</v>
      </c>
      <c r="O41">
        <v>1</v>
      </c>
      <c r="P41">
        <v>9.9611320533732339E-4</v>
      </c>
    </row>
    <row r="42" spans="2:16" x14ac:dyDescent="0.45">
      <c r="B42" s="3" t="s">
        <v>7</v>
      </c>
      <c r="C42" s="3">
        <v>2</v>
      </c>
      <c r="D42" s="3">
        <v>1.1523662571528703E-3</v>
      </c>
      <c r="F42" s="3" t="s">
        <v>33</v>
      </c>
      <c r="G42" s="3">
        <v>2</v>
      </c>
      <c r="H42" s="3">
        <v>9.5704994237877372E-4</v>
      </c>
      <c r="J42" t="s">
        <v>51</v>
      </c>
      <c r="K42">
        <v>2</v>
      </c>
      <c r="L42">
        <v>8.5939178499927493E-4</v>
      </c>
      <c r="N42" t="s">
        <v>68</v>
      </c>
      <c r="O42">
        <v>2</v>
      </c>
      <c r="P42">
        <v>9.7658157385893674E-4</v>
      </c>
    </row>
    <row r="43" spans="2:16" x14ac:dyDescent="0.45">
      <c r="B43" s="3" t="s">
        <v>7</v>
      </c>
      <c r="C43" s="3">
        <v>3</v>
      </c>
      <c r="D43" s="3">
        <v>1.074239731245541E-3</v>
      </c>
      <c r="F43" s="3" t="s">
        <v>33</v>
      </c>
      <c r="G43" s="3">
        <v>3</v>
      </c>
      <c r="H43" s="3"/>
      <c r="J43" t="s">
        <v>51</v>
      </c>
      <c r="K43">
        <v>3</v>
      </c>
      <c r="L43">
        <v>8.5939178499927493E-4</v>
      </c>
      <c r="N43" t="s">
        <v>68</v>
      </c>
      <c r="O43">
        <v>3</v>
      </c>
      <c r="P43">
        <v>9.3751831090216342E-4</v>
      </c>
    </row>
    <row r="44" spans="2:16" x14ac:dyDescent="0.45">
      <c r="B44" s="3" t="s">
        <v>7</v>
      </c>
      <c r="C44" s="3">
        <v>4</v>
      </c>
      <c r="D44" s="3">
        <v>1.0547080997689307E-3</v>
      </c>
      <c r="F44" s="3" t="s">
        <v>33</v>
      </c>
      <c r="G44" s="3">
        <v>4</v>
      </c>
      <c r="H44" s="3">
        <v>9.1798667942910583E-4</v>
      </c>
      <c r="J44" t="s">
        <v>51</v>
      </c>
      <c r="K44">
        <v>4</v>
      </c>
      <c r="L44"/>
      <c r="N44" t="s">
        <v>68</v>
      </c>
      <c r="O44">
        <v>4</v>
      </c>
      <c r="P44">
        <v>9.3751831090216342E-4</v>
      </c>
    </row>
    <row r="45" spans="2:16" x14ac:dyDescent="0.45">
      <c r="B45" s="3" t="s">
        <v>7</v>
      </c>
      <c r="C45" s="3">
        <v>5</v>
      </c>
      <c r="D45" s="3">
        <v>1.0156448368121573E-3</v>
      </c>
      <c r="F45" s="3" t="s">
        <v>33</v>
      </c>
      <c r="G45" s="3">
        <v>5</v>
      </c>
      <c r="H45" s="3">
        <v>9.1798667942555312E-4</v>
      </c>
      <c r="J45" t="s">
        <v>51</v>
      </c>
      <c r="K45">
        <v>5</v>
      </c>
      <c r="L45"/>
      <c r="N45" t="s">
        <v>68</v>
      </c>
      <c r="O45">
        <v>5</v>
      </c>
      <c r="P45">
        <v>9.5704994238232644E-4</v>
      </c>
    </row>
    <row r="46" spans="2:16" x14ac:dyDescent="0.45">
      <c r="B46" s="3" t="s">
        <v>8</v>
      </c>
      <c r="C46" s="3">
        <v>1</v>
      </c>
      <c r="D46" s="3">
        <v>1.2109611515849217E-3</v>
      </c>
      <c r="F46" s="7" t="s">
        <v>25</v>
      </c>
      <c r="G46" s="7"/>
      <c r="H46" s="7"/>
      <c r="J46" s="7" t="s">
        <v>25</v>
      </c>
      <c r="K46" s="7"/>
      <c r="L46" s="7"/>
      <c r="M46" s="11"/>
      <c r="N46" s="7" t="s">
        <v>25</v>
      </c>
      <c r="O46" s="7"/>
      <c r="P46" s="7"/>
    </row>
    <row r="47" spans="2:16" x14ac:dyDescent="0.45">
      <c r="B47" s="3" t="s">
        <v>8</v>
      </c>
      <c r="C47" s="3">
        <v>2</v>
      </c>
      <c r="D47" s="3">
        <v>1.1133029941987616E-3</v>
      </c>
      <c r="F47" s="3" t="s">
        <v>39</v>
      </c>
      <c r="G47" s="3">
        <v>1</v>
      </c>
      <c r="H47" s="3"/>
      <c r="J47" t="s">
        <v>52</v>
      </c>
      <c r="K47">
        <v>1</v>
      </c>
      <c r="L47"/>
      <c r="N47" t="s">
        <v>69</v>
      </c>
      <c r="O47">
        <v>1</v>
      </c>
      <c r="P47">
        <v>1.0547080997671543E-3</v>
      </c>
    </row>
    <row r="48" spans="2:16" x14ac:dyDescent="0.45">
      <c r="B48" s="3" t="s">
        <v>8</v>
      </c>
      <c r="C48" s="3">
        <v>3</v>
      </c>
      <c r="D48" s="3">
        <v>1.074239731245541E-3</v>
      </c>
      <c r="F48" s="3" t="s">
        <v>39</v>
      </c>
      <c r="G48" s="3">
        <v>2</v>
      </c>
      <c r="H48" s="3"/>
      <c r="J48" t="s">
        <v>52</v>
      </c>
      <c r="K48">
        <v>2</v>
      </c>
      <c r="L48">
        <v>8.9845504794894282E-4</v>
      </c>
      <c r="N48" t="s">
        <v>69</v>
      </c>
      <c r="O48">
        <v>2</v>
      </c>
      <c r="P48">
        <v>9.1798667942732948E-4</v>
      </c>
    </row>
    <row r="49" spans="2:16" x14ac:dyDescent="0.45">
      <c r="B49" s="3" t="s">
        <v>8</v>
      </c>
      <c r="C49" s="3">
        <v>4</v>
      </c>
      <c r="D49" s="3">
        <v>1.0547080997689307E-3</v>
      </c>
      <c r="F49" s="3" t="s">
        <v>39</v>
      </c>
      <c r="G49" s="3">
        <v>3</v>
      </c>
      <c r="H49" s="3"/>
      <c r="J49" t="s">
        <v>52</v>
      </c>
      <c r="K49">
        <v>3</v>
      </c>
      <c r="L49">
        <v>8.9845504795071918E-4</v>
      </c>
      <c r="N49" t="s">
        <v>69</v>
      </c>
      <c r="O49">
        <v>3</v>
      </c>
      <c r="P49">
        <v>8.9845504794894282E-4</v>
      </c>
    </row>
    <row r="50" spans="2:16" x14ac:dyDescent="0.45">
      <c r="B50" s="3" t="s">
        <v>8</v>
      </c>
      <c r="C50" s="3">
        <v>5</v>
      </c>
      <c r="D50" s="3">
        <v>1.1328346256789246E-3</v>
      </c>
      <c r="F50" s="3" t="s">
        <v>39</v>
      </c>
      <c r="G50" s="3">
        <v>4</v>
      </c>
      <c r="H50" s="3"/>
      <c r="J50" t="s">
        <v>52</v>
      </c>
      <c r="K50">
        <v>4</v>
      </c>
      <c r="L50">
        <v>8.7892341647233252E-4</v>
      </c>
      <c r="N50" t="s">
        <v>69</v>
      </c>
      <c r="O50">
        <v>4</v>
      </c>
      <c r="P50">
        <v>1.0547080997689307E-3</v>
      </c>
    </row>
    <row r="51" spans="2:16" x14ac:dyDescent="0.45">
      <c r="B51" s="7" t="s">
        <v>25</v>
      </c>
      <c r="C51" s="8"/>
      <c r="D51" s="8"/>
      <c r="E51" s="6"/>
      <c r="F51" s="3" t="s">
        <v>39</v>
      </c>
      <c r="G51" s="3">
        <v>5</v>
      </c>
      <c r="H51" s="3"/>
      <c r="J51" t="s">
        <v>52</v>
      </c>
      <c r="K51">
        <v>5</v>
      </c>
      <c r="L51">
        <v>8.9845504794894282E-4</v>
      </c>
      <c r="N51" t="s">
        <v>69</v>
      </c>
      <c r="O51">
        <v>5</v>
      </c>
      <c r="P51">
        <v>8.7892341647233252E-4</v>
      </c>
    </row>
    <row r="52" spans="2:16" x14ac:dyDescent="0.45">
      <c r="B52" s="3" t="s">
        <v>14</v>
      </c>
      <c r="C52" s="3">
        <v>1</v>
      </c>
      <c r="D52" s="3">
        <v>1.0547080997671543E-3</v>
      </c>
      <c r="F52" s="7" t="s">
        <v>26</v>
      </c>
      <c r="G52" s="7"/>
      <c r="H52" s="7"/>
      <c r="J52" s="7" t="s">
        <v>26</v>
      </c>
      <c r="K52" s="7"/>
      <c r="L52" s="7"/>
      <c r="M52" s="11"/>
      <c r="N52" s="7" t="s">
        <v>26</v>
      </c>
      <c r="O52" s="7"/>
      <c r="P52" s="7"/>
    </row>
    <row r="53" spans="2:16" x14ac:dyDescent="0.45">
      <c r="B53" s="3" t="s">
        <v>14</v>
      </c>
      <c r="C53" s="3">
        <v>2</v>
      </c>
      <c r="D53" s="3">
        <v>1.0351764682887676E-3</v>
      </c>
      <c r="F53" s="3" t="s">
        <v>32</v>
      </c>
      <c r="G53" s="3">
        <v>1</v>
      </c>
      <c r="H53" s="3"/>
      <c r="J53" t="s">
        <v>53</v>
      </c>
      <c r="K53">
        <v>1</v>
      </c>
      <c r="L53"/>
      <c r="N53" t="s">
        <v>63</v>
      </c>
      <c r="O53">
        <v>1</v>
      </c>
      <c r="P53">
        <v>1.1523662571537585E-3</v>
      </c>
    </row>
    <row r="54" spans="2:16" x14ac:dyDescent="0.45">
      <c r="B54" s="3" t="s">
        <v>14</v>
      </c>
      <c r="C54" s="3">
        <v>3</v>
      </c>
      <c r="D54" s="3">
        <v>1.0156448368121573E-3</v>
      </c>
      <c r="F54" s="3" t="s">
        <v>32</v>
      </c>
      <c r="G54" s="3">
        <v>2</v>
      </c>
      <c r="H54" s="3"/>
      <c r="J54" t="s">
        <v>53</v>
      </c>
      <c r="K54">
        <v>2</v>
      </c>
      <c r="L54">
        <v>8.9845504794894282E-4</v>
      </c>
      <c r="N54" t="s">
        <v>63</v>
      </c>
      <c r="O54">
        <v>2</v>
      </c>
      <c r="P54">
        <v>1.0547080997671543E-3</v>
      </c>
    </row>
    <row r="55" spans="2:16" x14ac:dyDescent="0.45">
      <c r="B55" s="3" t="s">
        <v>14</v>
      </c>
      <c r="C55" s="3">
        <v>4</v>
      </c>
      <c r="D55" s="3">
        <v>1.0156448368121573E-3</v>
      </c>
      <c r="F55" s="3" t="s">
        <v>32</v>
      </c>
      <c r="G55" s="3">
        <v>3</v>
      </c>
      <c r="H55" s="3">
        <v>9.5704994238232644E-4</v>
      </c>
      <c r="J55" t="s">
        <v>53</v>
      </c>
      <c r="K55">
        <v>3</v>
      </c>
      <c r="L55">
        <v>8.7892341647233252E-4</v>
      </c>
      <c r="N55" t="s">
        <v>63</v>
      </c>
      <c r="O55">
        <v>3</v>
      </c>
      <c r="P55">
        <v>1.0156448368121573E-3</v>
      </c>
    </row>
    <row r="56" spans="2:16" x14ac:dyDescent="0.45">
      <c r="B56" s="3" t="s">
        <v>14</v>
      </c>
      <c r="C56" s="3">
        <v>5</v>
      </c>
      <c r="D56" s="3">
        <v>1.0156448368121573E-3</v>
      </c>
      <c r="F56" s="3" t="s">
        <v>32</v>
      </c>
      <c r="G56" s="3">
        <v>4</v>
      </c>
      <c r="H56" s="3">
        <v>9.5704994237877372E-4</v>
      </c>
      <c r="J56" t="s">
        <v>53</v>
      </c>
      <c r="K56">
        <v>4</v>
      </c>
      <c r="L56"/>
      <c r="N56" t="s">
        <v>63</v>
      </c>
      <c r="O56">
        <v>4</v>
      </c>
      <c r="P56">
        <v>1.0156448368157101E-3</v>
      </c>
    </row>
    <row r="57" spans="2:16" x14ac:dyDescent="0.45">
      <c r="B57" s="7" t="s">
        <v>26</v>
      </c>
      <c r="C57" s="8"/>
      <c r="D57" s="8"/>
      <c r="E57" s="6"/>
      <c r="F57" s="3" t="s">
        <v>32</v>
      </c>
      <c r="G57" s="3">
        <v>5</v>
      </c>
      <c r="H57" s="3">
        <v>9.3751831090571613E-4</v>
      </c>
      <c r="J57" t="s">
        <v>53</v>
      </c>
      <c r="K57">
        <v>5</v>
      </c>
      <c r="L57">
        <v>8.7892341647233252E-4</v>
      </c>
      <c r="N57" t="s">
        <v>63</v>
      </c>
      <c r="O57">
        <v>5</v>
      </c>
      <c r="P57">
        <v>9.9611320533909975E-4</v>
      </c>
    </row>
    <row r="58" spans="2:16" x14ac:dyDescent="0.45">
      <c r="B58" s="3" t="s">
        <v>9</v>
      </c>
      <c r="C58" s="3">
        <v>1</v>
      </c>
      <c r="D58" s="3"/>
      <c r="F58" s="7" t="s">
        <v>27</v>
      </c>
      <c r="G58" s="7"/>
      <c r="H58" s="7"/>
      <c r="J58" s="7" t="s">
        <v>27</v>
      </c>
      <c r="K58" s="7"/>
      <c r="L58" s="7"/>
      <c r="M58" s="11"/>
      <c r="N58" s="7" t="s">
        <v>27</v>
      </c>
      <c r="O58" s="7"/>
      <c r="P58" s="7"/>
    </row>
    <row r="59" spans="2:16" x14ac:dyDescent="0.45">
      <c r="B59" s="3" t="s">
        <v>9</v>
      </c>
      <c r="C59" s="3">
        <v>2</v>
      </c>
      <c r="D59" s="3">
        <v>1.1523662571519822E-3</v>
      </c>
      <c r="F59" s="3" t="s">
        <v>34</v>
      </c>
      <c r="G59" s="3">
        <v>1</v>
      </c>
      <c r="H59" s="3">
        <v>1.0156448368130455E-3</v>
      </c>
      <c r="J59" t="s">
        <v>55</v>
      </c>
      <c r="K59">
        <v>1</v>
      </c>
      <c r="L59">
        <v>8.5939178499572222E-4</v>
      </c>
      <c r="N59" t="s">
        <v>55</v>
      </c>
      <c r="O59">
        <v>1</v>
      </c>
      <c r="P59">
        <v>8.5939178499572222E-4</v>
      </c>
    </row>
    <row r="60" spans="2:16" x14ac:dyDescent="0.45">
      <c r="B60" s="3" t="s">
        <v>9</v>
      </c>
      <c r="C60" s="3">
        <v>3</v>
      </c>
      <c r="D60" s="3">
        <v>1.1523662571519822E-3</v>
      </c>
      <c r="F60" s="3" t="s">
        <v>34</v>
      </c>
      <c r="G60" s="3">
        <v>2</v>
      </c>
      <c r="H60" s="3">
        <v>9.5704994238232644E-4</v>
      </c>
      <c r="J60" t="s">
        <v>55</v>
      </c>
      <c r="K60">
        <v>2</v>
      </c>
      <c r="L60">
        <v>8.5939178499572222E-4</v>
      </c>
      <c r="N60" t="s">
        <v>55</v>
      </c>
      <c r="O60">
        <v>2</v>
      </c>
      <c r="P60">
        <v>8.5939178499572222E-4</v>
      </c>
    </row>
    <row r="61" spans="2:16" x14ac:dyDescent="0.45">
      <c r="B61" s="3" t="s">
        <v>9</v>
      </c>
      <c r="C61" s="3">
        <v>4</v>
      </c>
      <c r="D61" s="3">
        <v>1.0547080997724834E-3</v>
      </c>
      <c r="F61" s="3" t="s">
        <v>34</v>
      </c>
      <c r="G61" s="3">
        <v>3</v>
      </c>
      <c r="H61" s="3">
        <v>9.5704994238055008E-4</v>
      </c>
      <c r="J61" t="s">
        <v>55</v>
      </c>
      <c r="K61">
        <v>3</v>
      </c>
      <c r="L61">
        <v>8.7892341647410888E-4</v>
      </c>
      <c r="N61" t="s">
        <v>55</v>
      </c>
      <c r="O61">
        <v>3</v>
      </c>
      <c r="P61">
        <v>8.7892341647410888E-4</v>
      </c>
    </row>
    <row r="62" spans="2:16" x14ac:dyDescent="0.45">
      <c r="B62" s="3" t="s">
        <v>9</v>
      </c>
      <c r="C62" s="3">
        <v>5</v>
      </c>
      <c r="D62" s="3">
        <v>1.0937713627185985E-3</v>
      </c>
      <c r="F62" s="3" t="s">
        <v>34</v>
      </c>
      <c r="G62" s="3">
        <v>4</v>
      </c>
      <c r="H62" s="3">
        <v>9.1798667942732948E-4</v>
      </c>
      <c r="J62" t="s">
        <v>55</v>
      </c>
      <c r="K62">
        <v>4</v>
      </c>
      <c r="L62"/>
      <c r="N62" t="s">
        <v>55</v>
      </c>
      <c r="O62">
        <v>4</v>
      </c>
      <c r="P62">
        <v>8.7892341647233252E-4</v>
      </c>
    </row>
    <row r="63" spans="2:16" x14ac:dyDescent="0.45">
      <c r="B63" s="7" t="s">
        <v>27</v>
      </c>
      <c r="C63" s="8"/>
      <c r="D63" s="8"/>
      <c r="E63" s="6"/>
      <c r="F63" s="3" t="s">
        <v>34</v>
      </c>
      <c r="G63" s="3">
        <v>5</v>
      </c>
      <c r="H63" s="3">
        <v>9.1798667942555312E-4</v>
      </c>
      <c r="J63" t="s">
        <v>55</v>
      </c>
      <c r="K63">
        <v>5</v>
      </c>
      <c r="L63">
        <v>8.5939178499572222E-4</v>
      </c>
      <c r="N63" t="s">
        <v>55</v>
      </c>
      <c r="O63">
        <v>5</v>
      </c>
      <c r="P63">
        <v>8.5939178499572222E-4</v>
      </c>
    </row>
    <row r="64" spans="2:16" x14ac:dyDescent="0.45">
      <c r="B64" s="3" t="s">
        <v>3</v>
      </c>
      <c r="C64" s="3">
        <v>1</v>
      </c>
      <c r="D64" s="3">
        <v>1.0937713627221513E-3</v>
      </c>
      <c r="F64" s="7" t="s">
        <v>28</v>
      </c>
      <c r="G64" s="7"/>
      <c r="H64" s="7"/>
      <c r="J64" s="7" t="s">
        <v>28</v>
      </c>
      <c r="K64" s="7"/>
      <c r="L64" s="7"/>
      <c r="M64" s="11"/>
      <c r="N64" s="7" t="s">
        <v>28</v>
      </c>
      <c r="O64" s="7"/>
      <c r="P64" s="7"/>
    </row>
    <row r="65" spans="2:16" x14ac:dyDescent="0.45">
      <c r="B65" s="3" t="s">
        <v>3</v>
      </c>
      <c r="C65" s="3">
        <v>2</v>
      </c>
      <c r="D65" s="3">
        <v>1.0156448368130455E-3</v>
      </c>
      <c r="F65" s="3" t="s">
        <v>35</v>
      </c>
      <c r="G65" s="3">
        <v>1</v>
      </c>
      <c r="H65" s="3">
        <v>9.1798667942732948E-4</v>
      </c>
      <c r="J65" t="s">
        <v>56</v>
      </c>
      <c r="K65">
        <v>1</v>
      </c>
      <c r="L65">
        <v>9.1798667942732948E-4</v>
      </c>
      <c r="N65" t="s">
        <v>66</v>
      </c>
      <c r="O65">
        <v>1</v>
      </c>
      <c r="P65">
        <v>9.9611320533599113E-4</v>
      </c>
    </row>
    <row r="66" spans="2:16" x14ac:dyDescent="0.45">
      <c r="B66" s="3" t="s">
        <v>3</v>
      </c>
      <c r="C66" s="3">
        <v>3</v>
      </c>
      <c r="D66" s="3">
        <v>9.7658157385893674E-4</v>
      </c>
      <c r="F66" s="3" t="s">
        <v>35</v>
      </c>
      <c r="G66" s="3">
        <v>2</v>
      </c>
      <c r="H66" s="3">
        <v>8.5939178499572222E-4</v>
      </c>
      <c r="J66" t="s">
        <v>56</v>
      </c>
      <c r="K66">
        <v>1</v>
      </c>
      <c r="L66">
        <v>9.1798667942732948E-4</v>
      </c>
      <c r="N66" t="s">
        <v>66</v>
      </c>
      <c r="O66">
        <v>2</v>
      </c>
      <c r="P66">
        <v>9.3751831090482796E-4</v>
      </c>
    </row>
    <row r="67" spans="2:16" x14ac:dyDescent="0.45">
      <c r="B67" s="3" t="s">
        <v>3</v>
      </c>
      <c r="C67" s="3">
        <v>4</v>
      </c>
      <c r="D67" s="3">
        <v>9.9611320533732339E-4</v>
      </c>
      <c r="F67" s="3" t="s">
        <v>35</v>
      </c>
      <c r="G67" s="3">
        <v>3</v>
      </c>
      <c r="H67" s="3">
        <v>8.3986015351911192E-4</v>
      </c>
      <c r="J67" t="s">
        <v>56</v>
      </c>
      <c r="K67">
        <v>1</v>
      </c>
      <c r="L67"/>
      <c r="N67" t="s">
        <v>66</v>
      </c>
      <c r="O67">
        <v>3</v>
      </c>
      <c r="P67">
        <v>9.5704994238143826E-4</v>
      </c>
    </row>
    <row r="68" spans="2:16" x14ac:dyDescent="0.45">
      <c r="B68" s="3" t="s">
        <v>3</v>
      </c>
      <c r="C68" s="3">
        <v>5</v>
      </c>
      <c r="D68" s="3">
        <v>9.7658157385893674E-4</v>
      </c>
      <c r="F68" s="3" t="s">
        <v>35</v>
      </c>
      <c r="G68" s="3">
        <v>4</v>
      </c>
      <c r="H68" s="3">
        <v>8.3986015351911192E-4</v>
      </c>
      <c r="J68" t="s">
        <v>56</v>
      </c>
      <c r="K68">
        <v>1</v>
      </c>
      <c r="L68"/>
      <c r="N68" t="s">
        <v>66</v>
      </c>
      <c r="O68">
        <v>4</v>
      </c>
      <c r="P68">
        <v>8.9845504795071918E-4</v>
      </c>
    </row>
    <row r="69" spans="2:16" x14ac:dyDescent="0.45">
      <c r="B69" s="7" t="s">
        <v>28</v>
      </c>
      <c r="C69" s="8"/>
      <c r="D69" s="8"/>
      <c r="E69" s="6"/>
      <c r="F69" s="3" t="s">
        <v>35</v>
      </c>
      <c r="G69" s="3">
        <v>5</v>
      </c>
      <c r="H69" s="3">
        <v>8.3986015351911192E-4</v>
      </c>
      <c r="J69" t="s">
        <v>56</v>
      </c>
      <c r="K69">
        <v>1</v>
      </c>
      <c r="L69"/>
      <c r="N69" t="s">
        <v>66</v>
      </c>
      <c r="O69">
        <v>5</v>
      </c>
      <c r="P69">
        <v>9.7658157385893674E-4</v>
      </c>
    </row>
    <row r="70" spans="2:16" x14ac:dyDescent="0.45">
      <c r="B70" s="3" t="s">
        <v>5</v>
      </c>
      <c r="C70" s="3">
        <v>1</v>
      </c>
      <c r="D70" s="3">
        <v>1.035176468290544E-3</v>
      </c>
      <c r="F70" s="7" t="s">
        <v>29</v>
      </c>
      <c r="G70" s="7"/>
      <c r="H70" s="7"/>
      <c r="J70" s="7" t="s">
        <v>29</v>
      </c>
      <c r="K70" s="7"/>
      <c r="L70" s="7"/>
      <c r="M70" s="11"/>
      <c r="N70" s="7" t="s">
        <v>29</v>
      </c>
      <c r="O70" s="7"/>
      <c r="P70" s="7"/>
    </row>
    <row r="71" spans="2:16" x14ac:dyDescent="0.45">
      <c r="B71" s="3" t="s">
        <v>5</v>
      </c>
      <c r="C71" s="3">
        <v>2</v>
      </c>
      <c r="D71" s="3">
        <v>9.9611320533554704E-4</v>
      </c>
      <c r="F71" s="3" t="s">
        <v>42</v>
      </c>
      <c r="G71" s="3">
        <v>1</v>
      </c>
      <c r="H71" s="3">
        <v>9.1798667942732948E-4</v>
      </c>
      <c r="J71" t="s">
        <v>54</v>
      </c>
      <c r="K71">
        <v>1</v>
      </c>
      <c r="L71"/>
      <c r="N71" t="s">
        <v>64</v>
      </c>
      <c r="O71">
        <v>1</v>
      </c>
      <c r="P71">
        <v>9.7658157385893674E-4</v>
      </c>
    </row>
    <row r="72" spans="2:16" x14ac:dyDescent="0.45">
      <c r="B72" s="3" t="s">
        <v>5</v>
      </c>
      <c r="C72" s="3">
        <v>3</v>
      </c>
      <c r="D72" s="3">
        <v>9.5704994238232644E-4</v>
      </c>
      <c r="F72" s="3" t="s">
        <v>42</v>
      </c>
      <c r="G72" s="3">
        <v>2</v>
      </c>
      <c r="H72" s="3">
        <v>8.9845504795071918E-4</v>
      </c>
      <c r="J72" t="s">
        <v>54</v>
      </c>
      <c r="K72">
        <v>2</v>
      </c>
      <c r="L72">
        <v>8.9845504795071918E-4</v>
      </c>
      <c r="N72" t="s">
        <v>64</v>
      </c>
      <c r="O72">
        <v>2</v>
      </c>
      <c r="P72">
        <v>9.7658157385804856E-4</v>
      </c>
    </row>
    <row r="73" spans="2:16" x14ac:dyDescent="0.45">
      <c r="B73" s="3" t="s">
        <v>5</v>
      </c>
      <c r="C73" s="3">
        <v>4</v>
      </c>
      <c r="D73" s="3">
        <v>9.3751831090571613E-4</v>
      </c>
      <c r="F73" s="3" t="s">
        <v>42</v>
      </c>
      <c r="G73" s="3">
        <v>3</v>
      </c>
      <c r="H73" s="3">
        <v>8.3986015351911192E-4</v>
      </c>
      <c r="J73" t="s">
        <v>54</v>
      </c>
      <c r="K73">
        <v>3</v>
      </c>
      <c r="L73"/>
      <c r="N73" t="s">
        <v>64</v>
      </c>
      <c r="O73">
        <v>3</v>
      </c>
      <c r="P73">
        <v>9.3751831090571613E-4</v>
      </c>
    </row>
    <row r="74" spans="2:16" x14ac:dyDescent="0.45">
      <c r="B74" s="3" t="s">
        <v>5</v>
      </c>
      <c r="C74" s="3">
        <v>5</v>
      </c>
      <c r="D74" s="3">
        <v>9.1798667942555312E-4</v>
      </c>
      <c r="F74" s="3" t="s">
        <v>42</v>
      </c>
      <c r="G74" s="3">
        <v>4</v>
      </c>
      <c r="H74" s="3">
        <v>8.398601535155592E-4</v>
      </c>
      <c r="J74" t="s">
        <v>54</v>
      </c>
      <c r="K74">
        <v>4</v>
      </c>
      <c r="L74">
        <v>8.9845504794894282E-4</v>
      </c>
      <c r="N74" t="s">
        <v>64</v>
      </c>
      <c r="O74">
        <v>4</v>
      </c>
      <c r="P74">
        <v>8.7892341647233252E-4</v>
      </c>
    </row>
    <row r="75" spans="2:16" x14ac:dyDescent="0.45">
      <c r="B75" s="7" t="s">
        <v>29</v>
      </c>
      <c r="C75" s="8"/>
      <c r="D75" s="8"/>
      <c r="E75" s="6"/>
      <c r="F75" s="3" t="s">
        <v>42</v>
      </c>
      <c r="G75" s="3">
        <v>5</v>
      </c>
      <c r="H75" s="3">
        <v>8.0079689056589132E-4</v>
      </c>
      <c r="J75" t="s">
        <v>54</v>
      </c>
      <c r="K75">
        <v>5</v>
      </c>
      <c r="L75">
        <v>8.5939178499572222E-4</v>
      </c>
      <c r="N75" t="s">
        <v>64</v>
      </c>
      <c r="O75">
        <v>5</v>
      </c>
      <c r="P75">
        <v>9.3751831090216342E-4</v>
      </c>
    </row>
    <row r="76" spans="2:16" x14ac:dyDescent="0.45">
      <c r="B76" s="3" t="s">
        <v>11</v>
      </c>
      <c r="C76" s="3">
        <v>1</v>
      </c>
      <c r="D76" s="3">
        <v>1.0937713627221513E-3</v>
      </c>
      <c r="F76" s="2"/>
      <c r="G76" s="2"/>
      <c r="H76" s="2"/>
    </row>
    <row r="77" spans="2:16" x14ac:dyDescent="0.45">
      <c r="B77" s="3" t="s">
        <v>11</v>
      </c>
      <c r="C77" s="3">
        <v>2</v>
      </c>
      <c r="D77" s="3">
        <v>9.7658157385893674E-4</v>
      </c>
      <c r="F77" s="2"/>
      <c r="G77" s="2"/>
      <c r="H77" s="2"/>
    </row>
    <row r="78" spans="2:16" x14ac:dyDescent="0.45">
      <c r="B78" s="3" t="s">
        <v>11</v>
      </c>
      <c r="C78" s="3">
        <v>3</v>
      </c>
      <c r="D78" s="3">
        <v>9.9611320533199432E-4</v>
      </c>
      <c r="F78" s="2"/>
      <c r="G78" s="2"/>
      <c r="H78" s="2"/>
    </row>
    <row r="79" spans="2:16" x14ac:dyDescent="0.45">
      <c r="B79" s="3" t="s">
        <v>11</v>
      </c>
      <c r="C79" s="3">
        <v>4</v>
      </c>
      <c r="D79" s="3">
        <v>9.7658157385893674E-4</v>
      </c>
      <c r="F79" s="2"/>
      <c r="G79" s="2"/>
      <c r="H79" s="2"/>
    </row>
    <row r="80" spans="2:16" x14ac:dyDescent="0.45">
      <c r="B80" s="3" t="s">
        <v>11</v>
      </c>
      <c r="C80" s="3">
        <v>5</v>
      </c>
      <c r="D80" s="3">
        <v>1.0156448368121573E-3</v>
      </c>
      <c r="F80" s="2"/>
      <c r="G80" s="2"/>
      <c r="H80" s="2"/>
    </row>
    <row r="81" spans="2:8" x14ac:dyDescent="0.45">
      <c r="B81" s="2"/>
      <c r="C81" s="2"/>
      <c r="D81" s="2"/>
      <c r="F81" s="2"/>
      <c r="G81" s="2"/>
      <c r="H81" s="2"/>
    </row>
    <row r="82" spans="2:8" x14ac:dyDescent="0.45">
      <c r="B82" s="2"/>
      <c r="C82" s="2"/>
      <c r="D82" s="2"/>
      <c r="F82" s="2"/>
      <c r="G82" s="2"/>
      <c r="H82" s="2"/>
    </row>
    <row r="83" spans="2:8" x14ac:dyDescent="0.45">
      <c r="B83" s="2"/>
      <c r="C83" s="2"/>
      <c r="D83" s="2"/>
      <c r="F83" s="2"/>
      <c r="G83" s="2"/>
      <c r="H83" s="2"/>
    </row>
    <row r="84" spans="2:8" x14ac:dyDescent="0.45">
      <c r="B84" s="2"/>
      <c r="C84" s="2"/>
      <c r="D84" s="2"/>
      <c r="F84" s="2"/>
      <c r="G84" s="2"/>
      <c r="H84" s="2"/>
    </row>
  </sheetData>
  <mergeCells count="52">
    <mergeCell ref="B69:D69"/>
    <mergeCell ref="F70:H70"/>
    <mergeCell ref="J70:L70"/>
    <mergeCell ref="N70:P70"/>
    <mergeCell ref="B75:D75"/>
    <mergeCell ref="B57:D57"/>
    <mergeCell ref="F58:H58"/>
    <mergeCell ref="J58:L58"/>
    <mergeCell ref="N58:P58"/>
    <mergeCell ref="B63:D63"/>
    <mergeCell ref="F64:H64"/>
    <mergeCell ref="J64:L64"/>
    <mergeCell ref="N64:P64"/>
    <mergeCell ref="F46:H46"/>
    <mergeCell ref="J46:L46"/>
    <mergeCell ref="N46:P46"/>
    <mergeCell ref="B51:D51"/>
    <mergeCell ref="F52:H52"/>
    <mergeCell ref="J52:L52"/>
    <mergeCell ref="N52:P52"/>
    <mergeCell ref="B34:D34"/>
    <mergeCell ref="F34:H34"/>
    <mergeCell ref="J34:L34"/>
    <mergeCell ref="N34:P34"/>
    <mergeCell ref="B40:D40"/>
    <mergeCell ref="F40:H40"/>
    <mergeCell ref="J40:L40"/>
    <mergeCell ref="N40:P40"/>
    <mergeCell ref="B22:D22"/>
    <mergeCell ref="F22:H22"/>
    <mergeCell ref="J22:L22"/>
    <mergeCell ref="N22:P22"/>
    <mergeCell ref="B28:D28"/>
    <mergeCell ref="F28:H28"/>
    <mergeCell ref="J28:L28"/>
    <mergeCell ref="N28:P28"/>
    <mergeCell ref="B10:D10"/>
    <mergeCell ref="F10:H10"/>
    <mergeCell ref="J10:L10"/>
    <mergeCell ref="N10:P10"/>
    <mergeCell ref="B16:D16"/>
    <mergeCell ref="F16:H16"/>
    <mergeCell ref="J16:L16"/>
    <mergeCell ref="N16:P16"/>
    <mergeCell ref="B2:D2"/>
    <mergeCell ref="F2:H2"/>
    <mergeCell ref="J2:L2"/>
    <mergeCell ref="N2:P2"/>
    <mergeCell ref="B4:D4"/>
    <mergeCell ref="F4:H4"/>
    <mergeCell ref="J4:L4"/>
    <mergeCell ref="N4:P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AAD27-2345-4F71-8CDC-33A2F785D815}">
  <dimension ref="B2:AB84"/>
  <sheetViews>
    <sheetView topLeftCell="N1" zoomScale="116" zoomScaleNormal="130" workbookViewId="0">
      <selection activeCell="Y14" sqref="Y14"/>
    </sheetView>
  </sheetViews>
  <sheetFormatPr defaultRowHeight="14.25" x14ac:dyDescent="0.45"/>
  <cols>
    <col min="1" max="1" width="9.06640625" style="1"/>
    <col min="2" max="2" width="16.86328125" style="1" customWidth="1"/>
    <col min="3" max="3" width="7.73046875" style="1" customWidth="1"/>
    <col min="4" max="4" width="14.796875" style="1" customWidth="1"/>
    <col min="5" max="5" width="6.06640625" style="1" customWidth="1"/>
    <col min="6" max="6" width="21.46484375" style="1" customWidth="1"/>
    <col min="7" max="7" width="8.53125" style="1" customWidth="1"/>
    <col min="8" max="8" width="14.796875" style="1" customWidth="1"/>
    <col min="9" max="9" width="9.06640625" style="1"/>
    <col min="10" max="12" width="11.796875" style="1" customWidth="1"/>
    <col min="13" max="16" width="9.06640625" style="1"/>
    <col min="17" max="17" width="9.06640625" style="1" customWidth="1"/>
    <col min="18" max="18" width="17.3984375" style="1" customWidth="1"/>
    <col min="19" max="16384" width="9.06640625" style="1"/>
  </cols>
  <sheetData>
    <row r="2" spans="2:28" x14ac:dyDescent="0.45">
      <c r="B2" s="9" t="s">
        <v>17</v>
      </c>
      <c r="C2" s="10"/>
      <c r="D2" s="10"/>
      <c r="E2" s="6"/>
      <c r="F2" s="9" t="s">
        <v>31</v>
      </c>
      <c r="G2" s="10"/>
      <c r="H2" s="10"/>
      <c r="J2" s="9" t="s">
        <v>44</v>
      </c>
      <c r="K2" s="10"/>
      <c r="L2" s="10"/>
      <c r="M2" s="6"/>
      <c r="N2" s="9" t="s">
        <v>58</v>
      </c>
      <c r="O2" s="10"/>
      <c r="P2" s="10"/>
      <c r="R2" s="4" t="s">
        <v>17</v>
      </c>
      <c r="S2" s="4" t="s">
        <v>30</v>
      </c>
      <c r="U2" s="4" t="s">
        <v>16</v>
      </c>
      <c r="V2" s="4" t="s">
        <v>30</v>
      </c>
      <c r="X2" s="4" t="s">
        <v>57</v>
      </c>
      <c r="Y2" s="4" t="s">
        <v>30</v>
      </c>
      <c r="AA2" s="4" t="s">
        <v>70</v>
      </c>
      <c r="AB2" s="4" t="s">
        <v>30</v>
      </c>
    </row>
    <row r="3" spans="2:28" x14ac:dyDescent="0.45">
      <c r="B3" s="2" t="s">
        <v>0</v>
      </c>
      <c r="C3" s="2" t="s">
        <v>1</v>
      </c>
      <c r="D3" s="2" t="s">
        <v>2</v>
      </c>
      <c r="F3" s="2" t="s">
        <v>0</v>
      </c>
      <c r="G3" s="2" t="s">
        <v>1</v>
      </c>
      <c r="H3" s="2" t="s">
        <v>2</v>
      </c>
      <c r="J3" s="2" t="s">
        <v>0</v>
      </c>
      <c r="K3" s="2" t="s">
        <v>1</v>
      </c>
      <c r="L3" s="2" t="s">
        <v>2</v>
      </c>
      <c r="N3" s="2" t="s">
        <v>0</v>
      </c>
      <c r="O3" s="2" t="s">
        <v>1</v>
      </c>
      <c r="P3" s="2" t="s">
        <v>2</v>
      </c>
      <c r="R3" s="5">
        <f>AVERAGE(D5:D21)</f>
        <v>1.1211156467911523E-3</v>
      </c>
      <c r="S3" s="2">
        <v>3.5</v>
      </c>
      <c r="U3" s="5">
        <f>AVERAGE(H5:H21)</f>
        <v>9.6616470373831473E-4</v>
      </c>
      <c r="V3" s="2">
        <v>3.5</v>
      </c>
      <c r="X3" s="5">
        <f>AVERAGE(L5:L21)</f>
        <v>9.6746681250303723E-4</v>
      </c>
      <c r="Y3" s="2">
        <v>3.5</v>
      </c>
      <c r="AA3" s="5">
        <f>AVERAGE(P5:P21)</f>
        <v>1.016946945578671E-3</v>
      </c>
      <c r="AB3" s="2">
        <v>3.5</v>
      </c>
    </row>
    <row r="4" spans="2:28" x14ac:dyDescent="0.45">
      <c r="B4" s="7" t="s">
        <v>18</v>
      </c>
      <c r="C4" s="8"/>
      <c r="D4" s="8"/>
      <c r="E4" s="6"/>
      <c r="F4" s="7" t="s">
        <v>18</v>
      </c>
      <c r="G4" s="8"/>
      <c r="H4" s="8"/>
      <c r="J4" s="7" t="s">
        <v>18</v>
      </c>
      <c r="K4" s="8"/>
      <c r="L4" s="8"/>
      <c r="M4" s="6"/>
      <c r="N4" s="7" t="s">
        <v>18</v>
      </c>
      <c r="O4" s="8"/>
      <c r="P4" s="8"/>
      <c r="R4" s="5">
        <f>AVERAGE(D23:D39)</f>
        <v>1.0573123172977243E-3</v>
      </c>
      <c r="S4" s="2">
        <v>4.5</v>
      </c>
      <c r="U4" s="5">
        <f>AVERAGE(H23:H39)</f>
        <v>9.0236137424544915E-4</v>
      </c>
      <c r="V4" s="2">
        <v>4.5</v>
      </c>
      <c r="X4" s="5">
        <f>AVERAGE(L23:L39)</f>
        <v>8.7501709017795784E-4</v>
      </c>
      <c r="Y4" s="2">
        <v>4.5</v>
      </c>
      <c r="AA4" s="5">
        <f>AVERAGE(P23:P39)</f>
        <v>1.0052279666919498E-3</v>
      </c>
      <c r="AB4" s="2">
        <v>4.5</v>
      </c>
    </row>
    <row r="5" spans="2:28" x14ac:dyDescent="0.45">
      <c r="B5" s="3" t="s">
        <v>15</v>
      </c>
      <c r="C5" s="3">
        <v>1</v>
      </c>
      <c r="D5" s="3">
        <v>1.2109611515853658E-3</v>
      </c>
      <c r="F5" s="3" t="s">
        <v>36</v>
      </c>
      <c r="G5" s="3">
        <v>1</v>
      </c>
      <c r="H5" s="3">
        <v>9.9611320533554704E-4</v>
      </c>
      <c r="J5" t="s">
        <v>45</v>
      </c>
      <c r="K5">
        <v>1</v>
      </c>
      <c r="L5">
        <v>1.1914295201078673E-3</v>
      </c>
      <c r="N5" t="s">
        <v>61</v>
      </c>
      <c r="O5">
        <v>1</v>
      </c>
      <c r="P5">
        <v>1.2109611515851437E-3</v>
      </c>
      <c r="R5" s="5">
        <f>AVERAGE(D41:D62)</f>
        <v>1.0986542705911039E-3</v>
      </c>
      <c r="S5" s="4">
        <v>5.5</v>
      </c>
      <c r="U5" s="5">
        <f>AVERAGE(H41:H57)</f>
        <v>9.987174228661762E-4</v>
      </c>
      <c r="V5" s="4">
        <v>5.5</v>
      </c>
      <c r="X5" s="5">
        <f>AVERAGE(L41:L57)</f>
        <v>9.4923728979120863E-4</v>
      </c>
      <c r="Y5" s="4">
        <v>5.5</v>
      </c>
      <c r="AA5" s="5">
        <f>AVERAGE(P41:P57)</f>
        <v>9.896026615103656E-4</v>
      </c>
      <c r="AB5" s="4">
        <v>5.5</v>
      </c>
    </row>
    <row r="6" spans="2:28" x14ac:dyDescent="0.45">
      <c r="B6" s="3" t="s">
        <v>15</v>
      </c>
      <c r="C6" s="3">
        <v>2</v>
      </c>
      <c r="D6" s="3">
        <v>1.1328346256789246E-3</v>
      </c>
      <c r="F6" s="3" t="s">
        <v>36</v>
      </c>
      <c r="G6" s="3">
        <v>2</v>
      </c>
      <c r="H6" s="3">
        <v>9.1798667942732948E-4</v>
      </c>
      <c r="J6" t="s">
        <v>45</v>
      </c>
      <c r="K6">
        <v>2</v>
      </c>
      <c r="L6">
        <v>9.9611320533643521E-4</v>
      </c>
      <c r="N6" t="s">
        <v>61</v>
      </c>
      <c r="O6">
        <v>2</v>
      </c>
      <c r="P6">
        <v>1.1133029941996497E-3</v>
      </c>
      <c r="R6" s="5">
        <f>AVERAGE(D64:D84)</f>
        <v>9.9741531410095052E-4</v>
      </c>
      <c r="S6" s="2">
        <v>6.8</v>
      </c>
      <c r="U6" s="5">
        <f>AVERAGE(H59:H76)</f>
        <v>8.9064239535918688E-4</v>
      </c>
      <c r="V6" s="2">
        <v>6.8</v>
      </c>
      <c r="X6" s="5">
        <f>AVERAGE(L59:L76)</f>
        <v>8.9454872165471613E-4</v>
      </c>
      <c r="Y6" s="2">
        <v>6.8</v>
      </c>
      <c r="AA6" s="5">
        <f>AVERAGE(P59:P76)</f>
        <v>9.2059089695751455E-4</v>
      </c>
      <c r="AB6" s="2">
        <v>6.8</v>
      </c>
    </row>
    <row r="7" spans="2:28" x14ac:dyDescent="0.45">
      <c r="B7" s="3" t="s">
        <v>15</v>
      </c>
      <c r="C7" s="3">
        <v>3</v>
      </c>
      <c r="D7" s="3">
        <v>1.074239731245541E-3</v>
      </c>
      <c r="F7" s="3" t="s">
        <v>36</v>
      </c>
      <c r="G7" s="3">
        <v>3</v>
      </c>
      <c r="H7" s="3">
        <v>9.3751831090571613E-4</v>
      </c>
      <c r="J7" t="s">
        <v>45</v>
      </c>
      <c r="K7">
        <v>3</v>
      </c>
      <c r="L7">
        <v>1.0547080997671543E-3</v>
      </c>
      <c r="N7" t="s">
        <v>61</v>
      </c>
      <c r="O7">
        <v>3</v>
      </c>
      <c r="P7">
        <v>1.1328346256753719E-3</v>
      </c>
    </row>
    <row r="8" spans="2:28" x14ac:dyDescent="0.45">
      <c r="B8" s="3" t="s">
        <v>15</v>
      </c>
      <c r="C8" s="3">
        <v>4</v>
      </c>
      <c r="D8" s="3">
        <v>1.0547080997724834E-3</v>
      </c>
      <c r="F8" s="3" t="s">
        <v>36</v>
      </c>
      <c r="G8" s="3">
        <v>4</v>
      </c>
      <c r="H8" s="3">
        <v>9.3751831090571613E-4</v>
      </c>
      <c r="J8" t="s">
        <v>45</v>
      </c>
      <c r="K8">
        <v>4</v>
      </c>
      <c r="L8">
        <v>1.0156448368121573E-3</v>
      </c>
      <c r="N8" t="s">
        <v>61</v>
      </c>
      <c r="O8">
        <v>4</v>
      </c>
      <c r="P8">
        <v>1.1133029941987616E-3</v>
      </c>
    </row>
    <row r="9" spans="2:28" x14ac:dyDescent="0.45">
      <c r="B9" s="3" t="s">
        <v>15</v>
      </c>
      <c r="C9" s="3">
        <v>5</v>
      </c>
      <c r="D9" s="3">
        <v>1.0547080997724834E-3</v>
      </c>
      <c r="F9" s="3" t="s">
        <v>36</v>
      </c>
      <c r="G9" s="3">
        <v>5</v>
      </c>
      <c r="H9" s="3">
        <v>9.5704994237877372E-4</v>
      </c>
      <c r="J9" t="s">
        <v>45</v>
      </c>
      <c r="K9">
        <v>5</v>
      </c>
      <c r="L9">
        <v>9.3751831090571613E-4</v>
      </c>
      <c r="N9" t="s">
        <v>61</v>
      </c>
      <c r="O9">
        <v>5</v>
      </c>
      <c r="P9">
        <v>1.0351764682887676E-3</v>
      </c>
    </row>
    <row r="10" spans="2:28" x14ac:dyDescent="0.45">
      <c r="B10" s="7" t="s">
        <v>19</v>
      </c>
      <c r="C10" s="8"/>
      <c r="D10" s="8"/>
      <c r="E10" s="6"/>
      <c r="F10" s="7" t="s">
        <v>19</v>
      </c>
      <c r="G10" s="8"/>
      <c r="H10" s="8"/>
      <c r="J10" s="7" t="s">
        <v>19</v>
      </c>
      <c r="K10" s="8"/>
      <c r="L10" s="8"/>
      <c r="M10" s="6"/>
      <c r="N10" s="7" t="s">
        <v>19</v>
      </c>
      <c r="O10" s="8"/>
      <c r="P10" s="8"/>
    </row>
    <row r="11" spans="2:28" x14ac:dyDescent="0.45">
      <c r="B11" s="3" t="s">
        <v>6</v>
      </c>
      <c r="C11" s="3">
        <v>1</v>
      </c>
      <c r="D11" s="3">
        <v>1.367214203402245E-3</v>
      </c>
      <c r="F11" s="3" t="s">
        <v>40</v>
      </c>
      <c r="G11" s="3">
        <v>1</v>
      </c>
      <c r="H11" s="3">
        <v>9.5704994238232644E-4</v>
      </c>
      <c r="J11" t="s">
        <v>46</v>
      </c>
      <c r="K11">
        <v>1</v>
      </c>
      <c r="L11">
        <v>9.3751831090438387E-4</v>
      </c>
      <c r="N11" t="s">
        <v>60</v>
      </c>
      <c r="O11">
        <v>1</v>
      </c>
      <c r="P11">
        <v>9.5704994238232644E-4</v>
      </c>
    </row>
    <row r="12" spans="2:28" x14ac:dyDescent="0.45">
      <c r="B12" s="3" t="s">
        <v>6</v>
      </c>
      <c r="C12" s="3">
        <v>2</v>
      </c>
      <c r="D12" s="3">
        <v>1.1718978886321452E-3</v>
      </c>
      <c r="F12" s="3" t="s">
        <v>40</v>
      </c>
      <c r="G12" s="3">
        <v>2</v>
      </c>
      <c r="H12" s="3">
        <v>9.3751831090571613E-4</v>
      </c>
      <c r="J12" t="s">
        <v>46</v>
      </c>
      <c r="K12">
        <v>2</v>
      </c>
      <c r="L12">
        <v>8.5939178499572222E-4</v>
      </c>
      <c r="N12" t="s">
        <v>60</v>
      </c>
      <c r="O12">
        <v>2</v>
      </c>
      <c r="P12">
        <v>9.3751831090571613E-4</v>
      </c>
    </row>
    <row r="13" spans="2:28" x14ac:dyDescent="0.45">
      <c r="B13" s="3" t="s">
        <v>6</v>
      </c>
      <c r="C13" s="3">
        <v>3</v>
      </c>
      <c r="D13" s="3">
        <v>1.1133029941987616E-3</v>
      </c>
      <c r="F13" s="3" t="s">
        <v>40</v>
      </c>
      <c r="G13" s="3">
        <v>3</v>
      </c>
      <c r="H13" s="3">
        <v>9.7658157385893674E-4</v>
      </c>
      <c r="J13" t="s">
        <v>46</v>
      </c>
      <c r="K13">
        <v>3</v>
      </c>
      <c r="L13">
        <v>8.7892341647233252E-4</v>
      </c>
      <c r="N13" t="s">
        <v>60</v>
      </c>
      <c r="O13">
        <v>3</v>
      </c>
      <c r="P13">
        <v>9.3751831090571613E-4</v>
      </c>
    </row>
    <row r="14" spans="2:28" x14ac:dyDescent="0.45">
      <c r="B14" s="3" t="s">
        <v>6</v>
      </c>
      <c r="C14" s="3">
        <v>4</v>
      </c>
      <c r="D14" s="3">
        <v>1.1133029941987616E-3</v>
      </c>
      <c r="F14" s="3" t="s">
        <v>40</v>
      </c>
      <c r="G14" s="3">
        <v>4</v>
      </c>
      <c r="H14" s="3">
        <v>9.3751831090571613E-4</v>
      </c>
      <c r="J14" t="s">
        <v>46</v>
      </c>
      <c r="K14">
        <v>4</v>
      </c>
      <c r="L14">
        <v>8.7892341647588523E-4</v>
      </c>
      <c r="N14" t="s">
        <v>60</v>
      </c>
      <c r="O14">
        <v>4</v>
      </c>
      <c r="P14">
        <v>9.3751831090571613E-4</v>
      </c>
    </row>
    <row r="15" spans="2:28" x14ac:dyDescent="0.45">
      <c r="B15" s="3" t="s">
        <v>6</v>
      </c>
      <c r="C15" s="3">
        <v>5</v>
      </c>
      <c r="D15" s="3">
        <v>1.0937713627221513E-3</v>
      </c>
      <c r="F15" s="3" t="s">
        <v>40</v>
      </c>
      <c r="G15" s="3">
        <v>5</v>
      </c>
      <c r="H15" s="3">
        <v>9.9611320534620518E-4</v>
      </c>
      <c r="J15" t="s">
        <v>46</v>
      </c>
      <c r="K15">
        <v>5</v>
      </c>
      <c r="L15">
        <v>8.7892341647233252E-4</v>
      </c>
      <c r="N15" t="s">
        <v>60</v>
      </c>
      <c r="O15">
        <v>5</v>
      </c>
      <c r="P15">
        <v>9.1798667943265855E-4</v>
      </c>
    </row>
    <row r="16" spans="2:28" x14ac:dyDescent="0.45">
      <c r="B16" s="7" t="s">
        <v>20</v>
      </c>
      <c r="C16" s="8"/>
      <c r="D16" s="8"/>
      <c r="E16" s="6"/>
      <c r="F16" s="7" t="s">
        <v>20</v>
      </c>
      <c r="G16" s="8"/>
      <c r="H16" s="8"/>
      <c r="J16" s="7" t="s">
        <v>20</v>
      </c>
      <c r="K16" s="8"/>
      <c r="L16" s="8"/>
      <c r="M16" s="6"/>
      <c r="N16" s="7" t="s">
        <v>20</v>
      </c>
      <c r="O16" s="8"/>
      <c r="P16" s="8"/>
    </row>
    <row r="17" spans="2:16" x14ac:dyDescent="0.45">
      <c r="B17" s="3" t="s">
        <v>13</v>
      </c>
      <c r="C17" s="3">
        <v>1</v>
      </c>
      <c r="D17" s="3">
        <v>1.13283462567626E-3</v>
      </c>
      <c r="F17" s="3" t="s">
        <v>41</v>
      </c>
      <c r="G17" s="3">
        <v>1</v>
      </c>
      <c r="H17" s="3">
        <v>1.0156448368139337E-3</v>
      </c>
      <c r="J17" t="s">
        <v>47</v>
      </c>
      <c r="K17">
        <v>1</v>
      </c>
      <c r="L17">
        <v>1.1523662571528703E-3</v>
      </c>
      <c r="N17" t="s">
        <v>59</v>
      </c>
      <c r="O17">
        <v>1</v>
      </c>
      <c r="P17">
        <v>1.0937713627212631E-3</v>
      </c>
    </row>
    <row r="18" spans="2:16" x14ac:dyDescent="0.45">
      <c r="B18" s="3" t="s">
        <v>13</v>
      </c>
      <c r="C18" s="3">
        <v>2</v>
      </c>
      <c r="D18" s="3">
        <v>1.074239731245541E-3</v>
      </c>
      <c r="F18" s="3" t="s">
        <v>41</v>
      </c>
      <c r="G18" s="3">
        <v>2</v>
      </c>
      <c r="H18" s="3">
        <v>1.0156448368121573E-3</v>
      </c>
      <c r="J18" t="s">
        <v>47</v>
      </c>
      <c r="K18">
        <v>2</v>
      </c>
      <c r="L18">
        <v>9.1798667942555312E-4</v>
      </c>
      <c r="N18" t="s">
        <v>59</v>
      </c>
      <c r="O18">
        <v>2</v>
      </c>
      <c r="P18">
        <v>9.9611320533554704E-4</v>
      </c>
    </row>
    <row r="19" spans="2:16" x14ac:dyDescent="0.45">
      <c r="B19" s="3" t="s">
        <v>13</v>
      </c>
      <c r="C19" s="3">
        <v>3</v>
      </c>
      <c r="D19" s="3">
        <v>1.0547080997689307E-3</v>
      </c>
      <c r="F19" s="3" t="s">
        <v>41</v>
      </c>
      <c r="G19" s="3">
        <v>3</v>
      </c>
      <c r="H19" s="3">
        <v>9.7658157385893674E-4</v>
      </c>
      <c r="J19" t="s">
        <v>47</v>
      </c>
      <c r="K19">
        <v>3</v>
      </c>
      <c r="L19">
        <v>9.3751831090571613E-4</v>
      </c>
      <c r="N19" t="s">
        <v>59</v>
      </c>
      <c r="O19">
        <v>3</v>
      </c>
      <c r="P19">
        <v>9.7658157385893674E-4</v>
      </c>
    </row>
    <row r="20" spans="2:16" x14ac:dyDescent="0.45">
      <c r="B20" s="3" t="s">
        <v>13</v>
      </c>
      <c r="C20" s="3">
        <v>4</v>
      </c>
      <c r="D20" s="3">
        <v>1.0937713627221513E-3</v>
      </c>
      <c r="F20" s="3" t="s">
        <v>41</v>
      </c>
      <c r="G20" s="3">
        <v>4</v>
      </c>
      <c r="H20" s="3">
        <v>1.0156448368121573E-3</v>
      </c>
      <c r="J20" t="s">
        <v>47</v>
      </c>
      <c r="K20">
        <v>4</v>
      </c>
      <c r="L20">
        <v>9.1798667942555312E-4</v>
      </c>
      <c r="N20" t="s">
        <v>59</v>
      </c>
      <c r="O20">
        <v>4</v>
      </c>
      <c r="P20">
        <v>9.5704994237877372E-4</v>
      </c>
    </row>
    <row r="21" spans="2:16" x14ac:dyDescent="0.45">
      <c r="B21" s="3" t="s">
        <v>13</v>
      </c>
      <c r="C21" s="3">
        <v>5</v>
      </c>
      <c r="D21" s="3">
        <v>1.074239731245541E-3</v>
      </c>
      <c r="F21" s="3" t="s">
        <v>41</v>
      </c>
      <c r="G21" s="3">
        <v>5</v>
      </c>
      <c r="H21" s="3">
        <v>9.1798667942555312E-4</v>
      </c>
      <c r="J21" t="s">
        <v>47</v>
      </c>
      <c r="K21">
        <v>5</v>
      </c>
      <c r="L21">
        <v>9.5704994238587915E-4</v>
      </c>
      <c r="N21" t="s">
        <v>59</v>
      </c>
      <c r="O21">
        <v>5</v>
      </c>
      <c r="P21">
        <v>9.3751831090571613E-4</v>
      </c>
    </row>
    <row r="22" spans="2:16" x14ac:dyDescent="0.45">
      <c r="B22" s="7" t="s">
        <v>21</v>
      </c>
      <c r="C22" s="8"/>
      <c r="D22" s="8"/>
      <c r="E22" s="6"/>
      <c r="F22" s="7" t="s">
        <v>21</v>
      </c>
      <c r="G22" s="8"/>
      <c r="H22" s="8"/>
      <c r="J22" s="7" t="s">
        <v>21</v>
      </c>
      <c r="K22" s="8"/>
      <c r="L22" s="8"/>
      <c r="M22" s="6"/>
      <c r="N22" s="7" t="s">
        <v>21</v>
      </c>
      <c r="O22" s="8"/>
      <c r="P22" s="8"/>
    </row>
    <row r="23" spans="2:16" x14ac:dyDescent="0.45">
      <c r="B23" s="3" t="s">
        <v>10</v>
      </c>
      <c r="C23" s="3">
        <v>1</v>
      </c>
      <c r="D23" s="3">
        <v>1.0547080997671543E-3</v>
      </c>
      <c r="F23" s="3" t="s">
        <v>43</v>
      </c>
      <c r="G23" s="3">
        <v>1</v>
      </c>
      <c r="H23" s="3">
        <v>8.5939178499572222E-4</v>
      </c>
      <c r="J23" t="s">
        <v>48</v>
      </c>
      <c r="K23">
        <v>1</v>
      </c>
      <c r="L23">
        <v>9.1798667942555312E-4</v>
      </c>
      <c r="N23" t="s">
        <v>65</v>
      </c>
      <c r="O23">
        <v>1</v>
      </c>
      <c r="P23">
        <v>9.9611320533643521E-4</v>
      </c>
    </row>
    <row r="24" spans="2:16" x14ac:dyDescent="0.45">
      <c r="B24" s="3" t="s">
        <v>10</v>
      </c>
      <c r="C24" s="3">
        <v>2</v>
      </c>
      <c r="D24" s="3">
        <v>1.1328346256789246E-3</v>
      </c>
      <c r="F24" s="3" t="s">
        <v>43</v>
      </c>
      <c r="G24" s="3">
        <v>2</v>
      </c>
      <c r="H24" s="3">
        <v>8.5939178499927493E-4</v>
      </c>
      <c r="J24" t="s">
        <v>48</v>
      </c>
      <c r="K24">
        <v>2</v>
      </c>
      <c r="L24">
        <v>8.7892341647233252E-4</v>
      </c>
      <c r="N24" t="s">
        <v>65</v>
      </c>
      <c r="O24">
        <v>2</v>
      </c>
      <c r="P24">
        <v>9.9611320533732339E-4</v>
      </c>
    </row>
    <row r="25" spans="2:16" x14ac:dyDescent="0.45">
      <c r="B25" s="3" t="s">
        <v>10</v>
      </c>
      <c r="C25" s="3">
        <v>3</v>
      </c>
      <c r="D25" s="3">
        <v>9.9611320533554704E-4</v>
      </c>
      <c r="F25" s="3" t="s">
        <v>43</v>
      </c>
      <c r="G25" s="3">
        <v>3</v>
      </c>
      <c r="H25" s="3">
        <v>8.7892341647233252E-4</v>
      </c>
      <c r="J25" t="s">
        <v>48</v>
      </c>
      <c r="K25">
        <v>3</v>
      </c>
      <c r="L25">
        <v>8.7892341647233252E-4</v>
      </c>
      <c r="N25" t="s">
        <v>65</v>
      </c>
      <c r="O25">
        <v>3</v>
      </c>
      <c r="P25">
        <v>9.3751831090216342E-4</v>
      </c>
    </row>
    <row r="26" spans="2:16" x14ac:dyDescent="0.45">
      <c r="B26" s="3" t="s">
        <v>10</v>
      </c>
      <c r="C26" s="3">
        <v>4</v>
      </c>
      <c r="D26" s="3">
        <v>1.1328346256789246E-3</v>
      </c>
      <c r="F26" s="3" t="s">
        <v>43</v>
      </c>
      <c r="G26" s="3">
        <v>4</v>
      </c>
      <c r="H26" s="3">
        <v>9.3751831090571613E-4</v>
      </c>
      <c r="J26" t="s">
        <v>48</v>
      </c>
      <c r="K26">
        <v>4</v>
      </c>
      <c r="L26">
        <v>8.9845504795249553E-4</v>
      </c>
      <c r="N26" t="s">
        <v>65</v>
      </c>
      <c r="O26">
        <v>4</v>
      </c>
      <c r="P26">
        <v>9.7658157385893674E-4</v>
      </c>
    </row>
    <row r="27" spans="2:16" x14ac:dyDescent="0.45">
      <c r="B27" s="3" t="s">
        <v>10</v>
      </c>
      <c r="C27" s="3">
        <v>5</v>
      </c>
      <c r="D27" s="3">
        <v>1.2109611515853658E-3</v>
      </c>
      <c r="F27" s="3" t="s">
        <v>43</v>
      </c>
      <c r="G27" s="3">
        <v>5</v>
      </c>
      <c r="H27" s="3">
        <v>9.1798667942555312E-4</v>
      </c>
      <c r="J27" t="s">
        <v>48</v>
      </c>
      <c r="K27">
        <v>5</v>
      </c>
      <c r="L27">
        <v>9.1798667943265855E-4</v>
      </c>
      <c r="N27" t="s">
        <v>65</v>
      </c>
      <c r="O27">
        <v>5</v>
      </c>
      <c r="P27">
        <v>1.0156448368157101E-3</v>
      </c>
    </row>
    <row r="28" spans="2:16" x14ac:dyDescent="0.45">
      <c r="B28" s="7" t="s">
        <v>22</v>
      </c>
      <c r="C28" s="8"/>
      <c r="D28" s="8"/>
      <c r="E28" s="6"/>
      <c r="F28" s="7" t="s">
        <v>22</v>
      </c>
      <c r="G28" s="8"/>
      <c r="H28" s="8"/>
      <c r="J28" s="7" t="s">
        <v>22</v>
      </c>
      <c r="K28" s="8"/>
      <c r="L28" s="8"/>
      <c r="M28" s="6"/>
      <c r="N28" s="7" t="s">
        <v>22</v>
      </c>
      <c r="O28" s="8"/>
      <c r="P28" s="8"/>
    </row>
    <row r="29" spans="2:16" x14ac:dyDescent="0.45">
      <c r="B29" s="3" t="s">
        <v>4</v>
      </c>
      <c r="C29" s="3">
        <v>1</v>
      </c>
      <c r="D29" s="3">
        <v>1.035176468290544E-3</v>
      </c>
      <c r="F29" s="3" t="s">
        <v>37</v>
      </c>
      <c r="G29" s="3">
        <v>1</v>
      </c>
      <c r="H29" s="3">
        <v>8.9845504795071918E-4</v>
      </c>
      <c r="J29" t="s">
        <v>50</v>
      </c>
      <c r="K29">
        <v>1</v>
      </c>
      <c r="L29">
        <v>8.9845504795027509E-4</v>
      </c>
      <c r="N29" t="s">
        <v>62</v>
      </c>
      <c r="O29">
        <v>1</v>
      </c>
      <c r="P29">
        <v>1.1133029942005379E-3</v>
      </c>
    </row>
    <row r="30" spans="2:16" x14ac:dyDescent="0.45">
      <c r="B30" s="3" t="s">
        <v>4</v>
      </c>
      <c r="C30" s="3">
        <v>2</v>
      </c>
      <c r="D30" s="3">
        <v>1.0937713627221513E-3</v>
      </c>
      <c r="F30" s="3" t="s">
        <v>37</v>
      </c>
      <c r="G30" s="3">
        <v>2</v>
      </c>
      <c r="H30" s="3">
        <v>9.1798667942732948E-4</v>
      </c>
      <c r="J30" t="s">
        <v>50</v>
      </c>
      <c r="K30">
        <v>2</v>
      </c>
      <c r="L30">
        <v>8.7892341647233252E-4</v>
      </c>
      <c r="N30" t="s">
        <v>62</v>
      </c>
      <c r="O30">
        <v>2</v>
      </c>
      <c r="P30">
        <v>9.9611320533554704E-4</v>
      </c>
    </row>
    <row r="31" spans="2:16" x14ac:dyDescent="0.45">
      <c r="B31" s="3" t="s">
        <v>4</v>
      </c>
      <c r="C31" s="3">
        <v>3</v>
      </c>
      <c r="D31" s="3">
        <v>1.0547080997689307E-3</v>
      </c>
      <c r="F31" s="3" t="s">
        <v>37</v>
      </c>
      <c r="G31" s="3">
        <v>3</v>
      </c>
      <c r="H31" s="3">
        <v>8.9845504794894282E-4</v>
      </c>
      <c r="J31" t="s">
        <v>50</v>
      </c>
      <c r="K31">
        <v>3</v>
      </c>
      <c r="L31">
        <v>8.5939178499572222E-4</v>
      </c>
      <c r="N31" t="s">
        <v>62</v>
      </c>
      <c r="O31">
        <v>3</v>
      </c>
      <c r="P31">
        <v>1.0742397312437646E-3</v>
      </c>
    </row>
    <row r="32" spans="2:16" x14ac:dyDescent="0.45">
      <c r="B32" s="3" t="s">
        <v>4</v>
      </c>
      <c r="C32" s="3">
        <v>4</v>
      </c>
      <c r="D32" s="3">
        <v>1.0547080997653779E-3</v>
      </c>
      <c r="F32" s="3" t="s">
        <v>37</v>
      </c>
      <c r="G32" s="3">
        <v>4</v>
      </c>
      <c r="H32" s="3">
        <v>8.9845504794894282E-4</v>
      </c>
      <c r="J32" t="s">
        <v>50</v>
      </c>
      <c r="K32">
        <v>4</v>
      </c>
      <c r="L32">
        <v>8.5939178499572222E-4</v>
      </c>
      <c r="N32" t="s">
        <v>62</v>
      </c>
      <c r="O32">
        <v>4</v>
      </c>
      <c r="P32">
        <v>1.0351764682887676E-3</v>
      </c>
    </row>
    <row r="33" spans="2:16" x14ac:dyDescent="0.45">
      <c r="B33" s="3" t="s">
        <v>4</v>
      </c>
      <c r="C33" s="3">
        <v>5</v>
      </c>
      <c r="D33" s="3">
        <v>1.074239731245541E-3</v>
      </c>
      <c r="F33" s="3" t="s">
        <v>37</v>
      </c>
      <c r="G33" s="3">
        <v>5</v>
      </c>
      <c r="H33" s="3">
        <v>1.0351764682887676E-3</v>
      </c>
      <c r="J33" t="s">
        <v>50</v>
      </c>
      <c r="K33">
        <v>5</v>
      </c>
      <c r="L33">
        <v>8.5939178499572222E-4</v>
      </c>
      <c r="N33" t="s">
        <v>62</v>
      </c>
      <c r="O33">
        <v>5</v>
      </c>
      <c r="P33">
        <v>1.1133029941987616E-3</v>
      </c>
    </row>
    <row r="34" spans="2:16" x14ac:dyDescent="0.45">
      <c r="B34" s="7" t="s">
        <v>23</v>
      </c>
      <c r="C34" s="8"/>
      <c r="D34" s="8"/>
      <c r="E34" s="6"/>
      <c r="F34" s="7" t="s">
        <v>23</v>
      </c>
      <c r="G34" s="8"/>
      <c r="H34" s="8"/>
      <c r="J34" s="7" t="s">
        <v>23</v>
      </c>
      <c r="K34" s="8"/>
      <c r="L34" s="8"/>
      <c r="M34" s="6"/>
      <c r="N34" s="7" t="s">
        <v>23</v>
      </c>
      <c r="O34" s="8"/>
      <c r="P34" s="8"/>
    </row>
    <row r="35" spans="2:16" x14ac:dyDescent="0.45">
      <c r="B35" s="3" t="s">
        <v>12</v>
      </c>
      <c r="C35" s="3">
        <v>1</v>
      </c>
      <c r="D35" s="3">
        <v>1.0937713627221513E-3</v>
      </c>
      <c r="F35" s="3" t="s">
        <v>38</v>
      </c>
      <c r="G35" s="3">
        <v>1</v>
      </c>
      <c r="H35" s="3">
        <v>8.9845504795249553E-4</v>
      </c>
      <c r="J35" t="s">
        <v>49</v>
      </c>
      <c r="K35">
        <v>1</v>
      </c>
      <c r="L35">
        <v>8.9845504795027509E-4</v>
      </c>
      <c r="N35" t="s">
        <v>67</v>
      </c>
      <c r="O35">
        <v>1</v>
      </c>
      <c r="P35">
        <v>9.7658157385893674E-4</v>
      </c>
    </row>
    <row r="36" spans="2:16" x14ac:dyDescent="0.45">
      <c r="B36" s="3" t="s">
        <v>12</v>
      </c>
      <c r="C36" s="3">
        <v>2</v>
      </c>
      <c r="D36" s="3">
        <v>9.9611320533554704E-4</v>
      </c>
      <c r="F36" s="3" t="s">
        <v>38</v>
      </c>
      <c r="G36" s="3">
        <v>2</v>
      </c>
      <c r="H36" s="3">
        <v>8.7892341647233252E-4</v>
      </c>
      <c r="J36" t="s">
        <v>49</v>
      </c>
      <c r="K36">
        <v>2</v>
      </c>
      <c r="L36">
        <v>8.789234164732207E-4</v>
      </c>
      <c r="N36" t="s">
        <v>67</v>
      </c>
      <c r="O36">
        <v>2</v>
      </c>
      <c r="P36">
        <v>9.9611320533554704E-4</v>
      </c>
    </row>
    <row r="37" spans="2:16" x14ac:dyDescent="0.45">
      <c r="B37" s="3" t="s">
        <v>12</v>
      </c>
      <c r="C37" s="3">
        <v>3</v>
      </c>
      <c r="D37" s="3">
        <v>9.9611320533199432E-4</v>
      </c>
      <c r="F37" s="3" t="s">
        <v>38</v>
      </c>
      <c r="G37" s="3">
        <v>3</v>
      </c>
      <c r="H37" s="3">
        <v>8.9845504794894282E-4</v>
      </c>
      <c r="J37" t="s">
        <v>49</v>
      </c>
      <c r="K37">
        <v>3</v>
      </c>
      <c r="L37">
        <v>8.3986015351911192E-4</v>
      </c>
      <c r="N37" t="s">
        <v>67</v>
      </c>
      <c r="O37">
        <v>3</v>
      </c>
      <c r="P37">
        <v>9.7658157385893674E-4</v>
      </c>
    </row>
    <row r="38" spans="2:16" x14ac:dyDescent="0.45">
      <c r="B38" s="3" t="s">
        <v>12</v>
      </c>
      <c r="C38" s="3">
        <v>4</v>
      </c>
      <c r="D38" s="3">
        <v>9.7658157385893674E-4</v>
      </c>
      <c r="F38" s="3" t="s">
        <v>38</v>
      </c>
      <c r="G38" s="3">
        <v>4</v>
      </c>
      <c r="H38" s="3">
        <v>8.7892341647233252E-4</v>
      </c>
      <c r="J38" t="s">
        <v>49</v>
      </c>
      <c r="K38">
        <v>4</v>
      </c>
      <c r="L38">
        <v>8.3986015351911192E-4</v>
      </c>
      <c r="N38" t="s">
        <v>67</v>
      </c>
      <c r="O38">
        <v>4</v>
      </c>
      <c r="P38">
        <v>9.3751831090216342E-4</v>
      </c>
    </row>
    <row r="39" spans="2:16" x14ac:dyDescent="0.45">
      <c r="B39" s="3" t="s">
        <v>12</v>
      </c>
      <c r="C39" s="3">
        <v>5</v>
      </c>
      <c r="D39" s="3">
        <v>9.5704994237877372E-4</v>
      </c>
      <c r="F39" s="3" t="s">
        <v>38</v>
      </c>
      <c r="G39" s="3">
        <v>5</v>
      </c>
      <c r="H39" s="3">
        <v>8.7892341647233252E-4</v>
      </c>
      <c r="J39" t="s">
        <v>49</v>
      </c>
      <c r="K39">
        <v>5</v>
      </c>
      <c r="L39">
        <v>8.2032852204250162E-4</v>
      </c>
      <c r="N39" t="s">
        <v>67</v>
      </c>
      <c r="O39">
        <v>5</v>
      </c>
      <c r="P39">
        <v>9.3751831090571613E-4</v>
      </c>
    </row>
    <row r="40" spans="2:16" x14ac:dyDescent="0.45">
      <c r="B40" s="7" t="s">
        <v>24</v>
      </c>
      <c r="C40" s="8"/>
      <c r="D40" s="8"/>
      <c r="E40" s="6"/>
      <c r="F40" s="7" t="s">
        <v>24</v>
      </c>
      <c r="G40" s="8"/>
      <c r="H40" s="8"/>
      <c r="J40" s="7" t="s">
        <v>24</v>
      </c>
      <c r="K40" s="8"/>
      <c r="L40" s="8"/>
      <c r="M40" s="6"/>
      <c r="N40" s="7" t="s">
        <v>24</v>
      </c>
      <c r="O40" s="8"/>
      <c r="P40" s="8"/>
    </row>
    <row r="41" spans="2:16" x14ac:dyDescent="0.45">
      <c r="B41" s="3" t="s">
        <v>7</v>
      </c>
      <c r="C41" s="3">
        <v>1</v>
      </c>
      <c r="D41" s="3">
        <v>1.2500244145394745E-3</v>
      </c>
      <c r="F41" s="3" t="s">
        <v>33</v>
      </c>
      <c r="G41" s="3">
        <v>1</v>
      </c>
      <c r="H41" s="3">
        <v>1.074239731245541E-3</v>
      </c>
      <c r="J41" t="s">
        <v>51</v>
      </c>
      <c r="K41">
        <v>1</v>
      </c>
      <c r="L41">
        <v>8.9845504795249553E-4</v>
      </c>
      <c r="N41" t="s">
        <v>68</v>
      </c>
      <c r="O41">
        <v>1</v>
      </c>
      <c r="P41">
        <v>9.9611320533732339E-4</v>
      </c>
    </row>
    <row r="42" spans="2:16" x14ac:dyDescent="0.45">
      <c r="B42" s="3" t="s">
        <v>7</v>
      </c>
      <c r="C42" s="3">
        <v>2</v>
      </c>
      <c r="D42" s="3">
        <v>1.1523662571528703E-3</v>
      </c>
      <c r="F42" s="3" t="s">
        <v>33</v>
      </c>
      <c r="G42" s="3">
        <v>2</v>
      </c>
      <c r="H42" s="3">
        <v>9.5704994237877372E-4</v>
      </c>
      <c r="J42" t="s">
        <v>51</v>
      </c>
      <c r="K42">
        <v>2</v>
      </c>
      <c r="L42">
        <v>8.5939178499927493E-4</v>
      </c>
      <c r="N42" t="s">
        <v>68</v>
      </c>
      <c r="O42">
        <v>2</v>
      </c>
      <c r="P42">
        <v>9.7658157385893674E-4</v>
      </c>
    </row>
    <row r="43" spans="2:16" x14ac:dyDescent="0.45">
      <c r="B43" s="3" t="s">
        <v>7</v>
      </c>
      <c r="C43" s="3">
        <v>3</v>
      </c>
      <c r="D43" s="3">
        <v>1.074239731245541E-3</v>
      </c>
      <c r="F43" s="3" t="s">
        <v>33</v>
      </c>
      <c r="G43" s="3">
        <v>3</v>
      </c>
      <c r="H43" s="3">
        <v>1.074239731245541E-3</v>
      </c>
      <c r="J43" t="s">
        <v>51</v>
      </c>
      <c r="K43">
        <v>3</v>
      </c>
      <c r="L43">
        <v>8.5939178499927493E-4</v>
      </c>
      <c r="N43" t="s">
        <v>68</v>
      </c>
      <c r="O43">
        <v>3</v>
      </c>
      <c r="P43">
        <v>9.3751831090216342E-4</v>
      </c>
    </row>
    <row r="44" spans="2:16" x14ac:dyDescent="0.45">
      <c r="B44" s="3" t="s">
        <v>7</v>
      </c>
      <c r="C44" s="3">
        <v>4</v>
      </c>
      <c r="D44" s="3">
        <v>1.0547080997689307E-3</v>
      </c>
      <c r="F44" s="3" t="s">
        <v>33</v>
      </c>
      <c r="G44" s="3">
        <v>4</v>
      </c>
      <c r="H44" s="3">
        <v>9.1798667942910583E-4</v>
      </c>
      <c r="J44" t="s">
        <v>51</v>
      </c>
      <c r="K44">
        <v>4</v>
      </c>
      <c r="L44">
        <v>8.3986015351911192E-4</v>
      </c>
      <c r="N44" t="s">
        <v>68</v>
      </c>
      <c r="O44">
        <v>4</v>
      </c>
      <c r="P44">
        <v>9.3751831090216342E-4</v>
      </c>
    </row>
    <row r="45" spans="2:16" x14ac:dyDescent="0.45">
      <c r="B45" s="3" t="s">
        <v>7</v>
      </c>
      <c r="C45" s="3">
        <v>5</v>
      </c>
      <c r="D45" s="3">
        <v>1.0156448368121573E-3</v>
      </c>
      <c r="F45" s="3" t="s">
        <v>33</v>
      </c>
      <c r="G45" s="3">
        <v>5</v>
      </c>
      <c r="H45" s="3">
        <v>9.1798667942555312E-4</v>
      </c>
      <c r="J45" t="s">
        <v>51</v>
      </c>
      <c r="K45">
        <v>5</v>
      </c>
      <c r="L45">
        <v>9.3751831090571613E-4</v>
      </c>
      <c r="N45" t="s">
        <v>68</v>
      </c>
      <c r="O45">
        <v>5</v>
      </c>
      <c r="P45">
        <v>9.5704994238232644E-4</v>
      </c>
    </row>
    <row r="46" spans="2:16" x14ac:dyDescent="0.45">
      <c r="B46" s="3" t="s">
        <v>8</v>
      </c>
      <c r="C46" s="3">
        <v>1</v>
      </c>
      <c r="D46" s="3">
        <v>1.2109611515849217E-3</v>
      </c>
      <c r="F46" s="7" t="s">
        <v>25</v>
      </c>
      <c r="G46" s="7"/>
      <c r="H46" s="7"/>
      <c r="J46" s="7" t="s">
        <v>25</v>
      </c>
      <c r="K46" s="7"/>
      <c r="L46" s="7"/>
      <c r="M46" s="11"/>
      <c r="N46" s="7" t="s">
        <v>25</v>
      </c>
      <c r="O46" s="7"/>
      <c r="P46" s="7"/>
    </row>
    <row r="47" spans="2:16" x14ac:dyDescent="0.45">
      <c r="B47" s="3" t="s">
        <v>8</v>
      </c>
      <c r="C47" s="3">
        <v>2</v>
      </c>
      <c r="D47" s="3">
        <v>1.1133029941987616E-3</v>
      </c>
      <c r="F47" s="3" t="s">
        <v>39</v>
      </c>
      <c r="G47" s="3">
        <v>1</v>
      </c>
      <c r="H47" s="3">
        <v>1.1523662571537585E-3</v>
      </c>
      <c r="J47" t="s">
        <v>52</v>
      </c>
      <c r="K47">
        <v>1</v>
      </c>
      <c r="L47">
        <v>1.6992519385148341E-3</v>
      </c>
      <c r="N47" t="s">
        <v>69</v>
      </c>
      <c r="O47">
        <v>1</v>
      </c>
      <c r="P47">
        <v>1.0547080997671543E-3</v>
      </c>
    </row>
    <row r="48" spans="2:16" x14ac:dyDescent="0.45">
      <c r="B48" s="3" t="s">
        <v>8</v>
      </c>
      <c r="C48" s="3">
        <v>3</v>
      </c>
      <c r="D48" s="3">
        <v>1.074239731245541E-3</v>
      </c>
      <c r="F48" s="3" t="s">
        <v>39</v>
      </c>
      <c r="G48" s="3">
        <v>2</v>
      </c>
      <c r="H48" s="3">
        <v>1.0351764682896558E-3</v>
      </c>
      <c r="J48" t="s">
        <v>52</v>
      </c>
      <c r="K48">
        <v>2</v>
      </c>
      <c r="L48">
        <v>8.9845504794894282E-4</v>
      </c>
      <c r="N48" t="s">
        <v>69</v>
      </c>
      <c r="O48">
        <v>2</v>
      </c>
      <c r="P48">
        <v>9.1798667942732948E-4</v>
      </c>
    </row>
    <row r="49" spans="2:16" x14ac:dyDescent="0.45">
      <c r="B49" s="3" t="s">
        <v>8</v>
      </c>
      <c r="C49" s="3">
        <v>4</v>
      </c>
      <c r="D49" s="3">
        <v>1.0547080997689307E-3</v>
      </c>
      <c r="F49" s="3" t="s">
        <v>39</v>
      </c>
      <c r="G49" s="3">
        <v>3</v>
      </c>
      <c r="H49" s="3">
        <v>1.0156448368139337E-3</v>
      </c>
      <c r="J49" t="s">
        <v>52</v>
      </c>
      <c r="K49">
        <v>3</v>
      </c>
      <c r="L49">
        <v>8.9845504795071918E-4</v>
      </c>
      <c r="N49" t="s">
        <v>69</v>
      </c>
      <c r="O49">
        <v>3</v>
      </c>
      <c r="P49">
        <v>8.9845504794894282E-4</v>
      </c>
    </row>
    <row r="50" spans="2:16" x14ac:dyDescent="0.45">
      <c r="B50" s="3" t="s">
        <v>8</v>
      </c>
      <c r="C50" s="3">
        <v>5</v>
      </c>
      <c r="D50" s="3">
        <v>1.1328346256789246E-3</v>
      </c>
      <c r="F50" s="3" t="s">
        <v>39</v>
      </c>
      <c r="G50" s="3">
        <v>4</v>
      </c>
      <c r="H50" s="3">
        <v>9.9611320533554704E-4</v>
      </c>
      <c r="J50" t="s">
        <v>52</v>
      </c>
      <c r="K50">
        <v>4</v>
      </c>
      <c r="L50">
        <v>8.7892341647233252E-4</v>
      </c>
      <c r="N50" t="s">
        <v>69</v>
      </c>
      <c r="O50">
        <v>4</v>
      </c>
      <c r="P50">
        <v>1.0547080997689307E-3</v>
      </c>
    </row>
    <row r="51" spans="2:16" x14ac:dyDescent="0.45">
      <c r="B51" s="7" t="s">
        <v>25</v>
      </c>
      <c r="C51" s="8"/>
      <c r="D51" s="8"/>
      <c r="E51" s="6"/>
      <c r="F51" s="3" t="s">
        <v>39</v>
      </c>
      <c r="G51" s="3">
        <v>5</v>
      </c>
      <c r="H51" s="3">
        <v>9.9611320533554704E-4</v>
      </c>
      <c r="J51" t="s">
        <v>52</v>
      </c>
      <c r="K51">
        <v>5</v>
      </c>
      <c r="L51">
        <v>8.9845504794894282E-4</v>
      </c>
      <c r="N51" t="s">
        <v>69</v>
      </c>
      <c r="O51">
        <v>5</v>
      </c>
      <c r="P51">
        <v>8.7892341647233252E-4</v>
      </c>
    </row>
    <row r="52" spans="2:16" x14ac:dyDescent="0.45">
      <c r="B52" s="3" t="s">
        <v>14</v>
      </c>
      <c r="C52" s="3">
        <v>1</v>
      </c>
      <c r="D52" s="3">
        <v>1.0547080997671543E-3</v>
      </c>
      <c r="F52" s="7" t="s">
        <v>26</v>
      </c>
      <c r="G52" s="7"/>
      <c r="H52" s="7"/>
      <c r="J52" s="7" t="s">
        <v>26</v>
      </c>
      <c r="K52" s="7"/>
      <c r="L52" s="7"/>
      <c r="M52" s="11"/>
      <c r="N52" s="7" t="s">
        <v>26</v>
      </c>
      <c r="O52" s="7"/>
      <c r="P52" s="7"/>
    </row>
    <row r="53" spans="2:16" x14ac:dyDescent="0.45">
      <c r="B53" s="3" t="s">
        <v>14</v>
      </c>
      <c r="C53" s="3">
        <v>2</v>
      </c>
      <c r="D53" s="3">
        <v>1.0351764682887676E-3</v>
      </c>
      <c r="F53" s="3" t="s">
        <v>32</v>
      </c>
      <c r="G53" s="3">
        <v>1</v>
      </c>
      <c r="H53" s="3">
        <v>1.0156448368139337E-3</v>
      </c>
      <c r="J53" t="s">
        <v>53</v>
      </c>
      <c r="K53">
        <v>1</v>
      </c>
      <c r="L53">
        <v>9.3751831090393978E-4</v>
      </c>
      <c r="N53" t="s">
        <v>63</v>
      </c>
      <c r="O53">
        <v>1</v>
      </c>
      <c r="P53">
        <v>1.1523662571537585E-3</v>
      </c>
    </row>
    <row r="54" spans="2:16" x14ac:dyDescent="0.45">
      <c r="B54" s="3" t="s">
        <v>14</v>
      </c>
      <c r="C54" s="3">
        <v>3</v>
      </c>
      <c r="D54" s="3">
        <v>1.0156448368121573E-3</v>
      </c>
      <c r="F54" s="3" t="s">
        <v>32</v>
      </c>
      <c r="G54" s="3">
        <v>2</v>
      </c>
      <c r="H54" s="3">
        <v>9.7658157385893674E-4</v>
      </c>
      <c r="J54" t="s">
        <v>53</v>
      </c>
      <c r="K54">
        <v>2</v>
      </c>
      <c r="L54">
        <v>8.9845504794894282E-4</v>
      </c>
      <c r="N54" t="s">
        <v>63</v>
      </c>
      <c r="O54">
        <v>2</v>
      </c>
      <c r="P54">
        <v>1.0547080997671543E-3</v>
      </c>
    </row>
    <row r="55" spans="2:16" x14ac:dyDescent="0.45">
      <c r="B55" s="3" t="s">
        <v>14</v>
      </c>
      <c r="C55" s="3">
        <v>4</v>
      </c>
      <c r="D55" s="3">
        <v>1.0156448368121573E-3</v>
      </c>
      <c r="F55" s="3" t="s">
        <v>32</v>
      </c>
      <c r="G55" s="3">
        <v>3</v>
      </c>
      <c r="H55" s="3">
        <v>9.5704994238232644E-4</v>
      </c>
      <c r="J55" t="s">
        <v>53</v>
      </c>
      <c r="K55">
        <v>3</v>
      </c>
      <c r="L55">
        <v>8.7892341647233252E-4</v>
      </c>
      <c r="N55" t="s">
        <v>63</v>
      </c>
      <c r="O55">
        <v>3</v>
      </c>
      <c r="P55">
        <v>1.0156448368121573E-3</v>
      </c>
    </row>
    <row r="56" spans="2:16" x14ac:dyDescent="0.45">
      <c r="B56" s="3" t="s">
        <v>14</v>
      </c>
      <c r="C56" s="3">
        <v>5</v>
      </c>
      <c r="D56" s="3">
        <v>1.0156448368121573E-3</v>
      </c>
      <c r="F56" s="3" t="s">
        <v>32</v>
      </c>
      <c r="G56" s="3">
        <v>4</v>
      </c>
      <c r="H56" s="3">
        <v>9.5704994237877372E-4</v>
      </c>
      <c r="J56" t="s">
        <v>53</v>
      </c>
      <c r="K56">
        <v>4</v>
      </c>
      <c r="L56">
        <v>9.7658157385893674E-4</v>
      </c>
      <c r="N56" t="s">
        <v>63</v>
      </c>
      <c r="O56">
        <v>4</v>
      </c>
      <c r="P56">
        <v>1.0156448368157101E-3</v>
      </c>
    </row>
    <row r="57" spans="2:16" x14ac:dyDescent="0.45">
      <c r="B57" s="7" t="s">
        <v>26</v>
      </c>
      <c r="C57" s="8"/>
      <c r="D57" s="8"/>
      <c r="E57" s="6"/>
      <c r="F57" s="3" t="s">
        <v>32</v>
      </c>
      <c r="G57" s="3">
        <v>5</v>
      </c>
      <c r="H57" s="3">
        <v>9.3751831090571613E-4</v>
      </c>
      <c r="J57" t="s">
        <v>53</v>
      </c>
      <c r="K57">
        <v>5</v>
      </c>
      <c r="L57">
        <v>8.7892341647233252E-4</v>
      </c>
      <c r="N57" t="s">
        <v>63</v>
      </c>
      <c r="O57">
        <v>5</v>
      </c>
      <c r="P57">
        <v>9.9611320533909975E-4</v>
      </c>
    </row>
    <row r="58" spans="2:16" x14ac:dyDescent="0.45">
      <c r="B58" s="3" t="s">
        <v>9</v>
      </c>
      <c r="C58" s="3">
        <v>1</v>
      </c>
      <c r="D58" s="3">
        <v>1.2500244145385864E-3</v>
      </c>
      <c r="F58" s="7" t="s">
        <v>27</v>
      </c>
      <c r="G58" s="7"/>
      <c r="H58" s="7"/>
      <c r="J58" s="7" t="s">
        <v>27</v>
      </c>
      <c r="K58" s="7"/>
      <c r="L58" s="7"/>
      <c r="M58" s="11"/>
      <c r="N58" s="7" t="s">
        <v>27</v>
      </c>
      <c r="O58" s="7"/>
      <c r="P58" s="7"/>
    </row>
    <row r="59" spans="2:16" x14ac:dyDescent="0.45">
      <c r="B59" s="3" t="s">
        <v>9</v>
      </c>
      <c r="C59" s="3">
        <v>2</v>
      </c>
      <c r="D59" s="3">
        <v>1.1523662571519822E-3</v>
      </c>
      <c r="F59" s="3" t="s">
        <v>34</v>
      </c>
      <c r="G59" s="3">
        <v>1</v>
      </c>
      <c r="H59" s="3">
        <v>1.0156448368130455E-3</v>
      </c>
      <c r="J59" t="s">
        <v>55</v>
      </c>
      <c r="K59">
        <v>1</v>
      </c>
      <c r="L59">
        <v>8.5939178499572222E-4</v>
      </c>
      <c r="N59" t="s">
        <v>55</v>
      </c>
      <c r="O59">
        <v>1</v>
      </c>
      <c r="P59">
        <v>8.5939178499572222E-4</v>
      </c>
    </row>
    <row r="60" spans="2:16" x14ac:dyDescent="0.45">
      <c r="B60" s="3" t="s">
        <v>9</v>
      </c>
      <c r="C60" s="3">
        <v>3</v>
      </c>
      <c r="D60" s="3">
        <v>1.1523662571519822E-3</v>
      </c>
      <c r="F60" s="3" t="s">
        <v>34</v>
      </c>
      <c r="G60" s="3">
        <v>2</v>
      </c>
      <c r="H60" s="3">
        <v>9.5704994238232644E-4</v>
      </c>
      <c r="J60" t="s">
        <v>55</v>
      </c>
      <c r="K60">
        <v>2</v>
      </c>
      <c r="L60">
        <v>8.5939178499572222E-4</v>
      </c>
      <c r="N60" t="s">
        <v>55</v>
      </c>
      <c r="O60">
        <v>2</v>
      </c>
      <c r="P60">
        <v>8.5939178499572222E-4</v>
      </c>
    </row>
    <row r="61" spans="2:16" x14ac:dyDescent="0.45">
      <c r="B61" s="3" t="s">
        <v>9</v>
      </c>
      <c r="C61" s="3">
        <v>4</v>
      </c>
      <c r="D61" s="3">
        <v>1.0547080997724834E-3</v>
      </c>
      <c r="F61" s="3" t="s">
        <v>34</v>
      </c>
      <c r="G61" s="3">
        <v>3</v>
      </c>
      <c r="H61" s="3">
        <v>9.5704994238055008E-4</v>
      </c>
      <c r="J61" t="s">
        <v>55</v>
      </c>
      <c r="K61">
        <v>3</v>
      </c>
      <c r="L61">
        <v>8.7892341647410888E-4</v>
      </c>
      <c r="N61" t="s">
        <v>55</v>
      </c>
      <c r="O61">
        <v>3</v>
      </c>
      <c r="P61">
        <v>8.7892341647410888E-4</v>
      </c>
    </row>
    <row r="62" spans="2:16" x14ac:dyDescent="0.45">
      <c r="B62" s="3" t="s">
        <v>9</v>
      </c>
      <c r="C62" s="3">
        <v>5</v>
      </c>
      <c r="D62" s="3">
        <v>1.0937713627185985E-3</v>
      </c>
      <c r="F62" s="3" t="s">
        <v>34</v>
      </c>
      <c r="G62" s="3">
        <v>4</v>
      </c>
      <c r="H62" s="3">
        <v>9.1798667942732948E-4</v>
      </c>
      <c r="J62" t="s">
        <v>55</v>
      </c>
      <c r="K62">
        <v>4</v>
      </c>
      <c r="L62">
        <v>8.7892341647233252E-4</v>
      </c>
      <c r="N62" t="s">
        <v>55</v>
      </c>
      <c r="O62">
        <v>4</v>
      </c>
      <c r="P62">
        <v>8.7892341647233252E-4</v>
      </c>
    </row>
    <row r="63" spans="2:16" x14ac:dyDescent="0.45">
      <c r="B63" s="7" t="s">
        <v>27</v>
      </c>
      <c r="C63" s="8"/>
      <c r="D63" s="8"/>
      <c r="E63" s="6"/>
      <c r="F63" s="3" t="s">
        <v>34</v>
      </c>
      <c r="G63" s="3">
        <v>5</v>
      </c>
      <c r="H63" s="3">
        <v>9.1798667942555312E-4</v>
      </c>
      <c r="J63" t="s">
        <v>55</v>
      </c>
      <c r="K63">
        <v>5</v>
      </c>
      <c r="L63">
        <v>8.5939178499572222E-4</v>
      </c>
      <c r="N63" t="s">
        <v>55</v>
      </c>
      <c r="O63">
        <v>5</v>
      </c>
      <c r="P63">
        <v>8.5939178499572222E-4</v>
      </c>
    </row>
    <row r="64" spans="2:16" x14ac:dyDescent="0.45">
      <c r="B64" s="3" t="s">
        <v>3</v>
      </c>
      <c r="C64" s="3">
        <v>1</v>
      </c>
      <c r="D64" s="3">
        <v>1.0937713627221513E-3</v>
      </c>
      <c r="F64" s="7" t="s">
        <v>28</v>
      </c>
      <c r="G64" s="7"/>
      <c r="H64" s="7"/>
      <c r="J64" s="7" t="s">
        <v>28</v>
      </c>
      <c r="K64" s="7"/>
      <c r="L64" s="7"/>
      <c r="M64" s="11"/>
      <c r="N64" s="7" t="s">
        <v>28</v>
      </c>
      <c r="O64" s="7"/>
      <c r="P64" s="7"/>
    </row>
    <row r="65" spans="2:16" x14ac:dyDescent="0.45">
      <c r="B65" s="3" t="s">
        <v>3</v>
      </c>
      <c r="C65" s="3">
        <v>2</v>
      </c>
      <c r="D65" s="3">
        <v>1.0156448368130455E-3</v>
      </c>
      <c r="F65" s="3" t="s">
        <v>35</v>
      </c>
      <c r="G65" s="3">
        <v>1</v>
      </c>
      <c r="H65" s="3">
        <v>9.1798667942732948E-4</v>
      </c>
      <c r="J65" t="s">
        <v>56</v>
      </c>
      <c r="K65">
        <v>1</v>
      </c>
      <c r="L65">
        <v>9.1798667942732948E-4</v>
      </c>
      <c r="N65" t="s">
        <v>66</v>
      </c>
      <c r="O65">
        <v>1</v>
      </c>
      <c r="P65">
        <v>9.9611320533599113E-4</v>
      </c>
    </row>
    <row r="66" spans="2:16" x14ac:dyDescent="0.45">
      <c r="B66" s="3" t="s">
        <v>3</v>
      </c>
      <c r="C66" s="3">
        <v>3</v>
      </c>
      <c r="D66" s="3">
        <v>9.7658157385893674E-4</v>
      </c>
      <c r="F66" s="3" t="s">
        <v>35</v>
      </c>
      <c r="G66" s="3">
        <v>2</v>
      </c>
      <c r="H66" s="3">
        <v>8.5939178499572222E-4</v>
      </c>
      <c r="J66" t="s">
        <v>56</v>
      </c>
      <c r="K66">
        <v>1</v>
      </c>
      <c r="L66">
        <v>9.1798667942732948E-4</v>
      </c>
      <c r="N66" t="s">
        <v>66</v>
      </c>
      <c r="O66">
        <v>2</v>
      </c>
      <c r="P66">
        <v>9.3751831090482796E-4</v>
      </c>
    </row>
    <row r="67" spans="2:16" x14ac:dyDescent="0.45">
      <c r="B67" s="3" t="s">
        <v>3</v>
      </c>
      <c r="C67" s="3">
        <v>4</v>
      </c>
      <c r="D67" s="3">
        <v>9.9611320533732339E-4</v>
      </c>
      <c r="F67" s="3" t="s">
        <v>35</v>
      </c>
      <c r="G67" s="3">
        <v>3</v>
      </c>
      <c r="H67" s="3">
        <v>8.3986015351911192E-4</v>
      </c>
      <c r="J67" t="s">
        <v>56</v>
      </c>
      <c r="K67">
        <v>1</v>
      </c>
      <c r="L67">
        <v>9.1798667942732948E-4</v>
      </c>
      <c r="N67" t="s">
        <v>66</v>
      </c>
      <c r="O67">
        <v>3</v>
      </c>
      <c r="P67">
        <v>9.5704994238143826E-4</v>
      </c>
    </row>
    <row r="68" spans="2:16" x14ac:dyDescent="0.45">
      <c r="B68" s="3" t="s">
        <v>3</v>
      </c>
      <c r="C68" s="3">
        <v>5</v>
      </c>
      <c r="D68" s="3">
        <v>9.7658157385893674E-4</v>
      </c>
      <c r="F68" s="3" t="s">
        <v>35</v>
      </c>
      <c r="G68" s="3">
        <v>4</v>
      </c>
      <c r="H68" s="3">
        <v>8.3986015351911192E-4</v>
      </c>
      <c r="J68" t="s">
        <v>56</v>
      </c>
      <c r="K68">
        <v>1</v>
      </c>
      <c r="L68">
        <v>9.1798667942732948E-4</v>
      </c>
      <c r="N68" t="s">
        <v>66</v>
      </c>
      <c r="O68">
        <v>4</v>
      </c>
      <c r="P68">
        <v>8.9845504795071918E-4</v>
      </c>
    </row>
    <row r="69" spans="2:16" x14ac:dyDescent="0.45">
      <c r="B69" s="7" t="s">
        <v>28</v>
      </c>
      <c r="C69" s="8"/>
      <c r="D69" s="8"/>
      <c r="E69" s="6"/>
      <c r="F69" s="3" t="s">
        <v>35</v>
      </c>
      <c r="G69" s="3">
        <v>5</v>
      </c>
      <c r="H69" s="3">
        <v>8.3986015351911192E-4</v>
      </c>
      <c r="J69" t="s">
        <v>56</v>
      </c>
      <c r="K69">
        <v>1</v>
      </c>
      <c r="L69">
        <v>9.1798667942732948E-4</v>
      </c>
      <c r="N69" t="s">
        <v>66</v>
      </c>
      <c r="O69">
        <v>5</v>
      </c>
      <c r="P69">
        <v>9.7658157385893674E-4</v>
      </c>
    </row>
    <row r="70" spans="2:16" x14ac:dyDescent="0.45">
      <c r="B70" s="3" t="s">
        <v>5</v>
      </c>
      <c r="C70" s="3">
        <v>1</v>
      </c>
      <c r="D70" s="3">
        <v>1.035176468290544E-3</v>
      </c>
      <c r="F70" s="7" t="s">
        <v>29</v>
      </c>
      <c r="G70" s="7"/>
      <c r="H70" s="7"/>
      <c r="J70" s="7" t="s">
        <v>29</v>
      </c>
      <c r="K70" s="7"/>
      <c r="L70" s="7"/>
      <c r="M70" s="11"/>
      <c r="N70" s="7" t="s">
        <v>29</v>
      </c>
      <c r="O70" s="7"/>
      <c r="P70" s="7"/>
    </row>
    <row r="71" spans="2:16" x14ac:dyDescent="0.45">
      <c r="B71" s="3" t="s">
        <v>5</v>
      </c>
      <c r="C71" s="3">
        <v>2</v>
      </c>
      <c r="D71" s="3">
        <v>9.9611320533554704E-4</v>
      </c>
      <c r="F71" s="3" t="s">
        <v>42</v>
      </c>
      <c r="G71" s="3">
        <v>1</v>
      </c>
      <c r="H71" s="3">
        <v>9.1798667942732948E-4</v>
      </c>
      <c r="J71" t="s">
        <v>54</v>
      </c>
      <c r="K71">
        <v>1</v>
      </c>
      <c r="L71">
        <v>9.3751831090438387E-4</v>
      </c>
      <c r="N71" t="s">
        <v>64</v>
      </c>
      <c r="O71">
        <v>1</v>
      </c>
      <c r="P71">
        <v>9.7658157385893674E-4</v>
      </c>
    </row>
    <row r="72" spans="2:16" x14ac:dyDescent="0.45">
      <c r="B72" s="3" t="s">
        <v>5</v>
      </c>
      <c r="C72" s="3">
        <v>3</v>
      </c>
      <c r="D72" s="3">
        <v>9.5704994238232644E-4</v>
      </c>
      <c r="F72" s="3" t="s">
        <v>42</v>
      </c>
      <c r="G72" s="3">
        <v>2</v>
      </c>
      <c r="H72" s="3">
        <v>8.9845504795071918E-4</v>
      </c>
      <c r="J72" t="s">
        <v>54</v>
      </c>
      <c r="K72">
        <v>2</v>
      </c>
      <c r="L72">
        <v>8.9845504795071918E-4</v>
      </c>
      <c r="N72" t="s">
        <v>64</v>
      </c>
      <c r="O72">
        <v>2</v>
      </c>
      <c r="P72">
        <v>9.7658157385804856E-4</v>
      </c>
    </row>
    <row r="73" spans="2:16" x14ac:dyDescent="0.45">
      <c r="B73" s="3" t="s">
        <v>5</v>
      </c>
      <c r="C73" s="3">
        <v>4</v>
      </c>
      <c r="D73" s="3">
        <v>9.3751831090571613E-4</v>
      </c>
      <c r="F73" s="3" t="s">
        <v>42</v>
      </c>
      <c r="G73" s="3">
        <v>3</v>
      </c>
      <c r="H73" s="3">
        <v>8.3986015351911192E-4</v>
      </c>
      <c r="J73" t="s">
        <v>54</v>
      </c>
      <c r="K73">
        <v>3</v>
      </c>
      <c r="L73">
        <v>8.9845504795071918E-4</v>
      </c>
      <c r="N73" t="s">
        <v>64</v>
      </c>
      <c r="O73">
        <v>3</v>
      </c>
      <c r="P73">
        <v>9.3751831090571613E-4</v>
      </c>
    </row>
    <row r="74" spans="2:16" x14ac:dyDescent="0.45">
      <c r="B74" s="3" t="s">
        <v>5</v>
      </c>
      <c r="C74" s="3">
        <v>5</v>
      </c>
      <c r="D74" s="3">
        <v>9.1798667942555312E-4</v>
      </c>
      <c r="F74" s="3" t="s">
        <v>42</v>
      </c>
      <c r="G74" s="3">
        <v>4</v>
      </c>
      <c r="H74" s="3">
        <v>8.398601535155592E-4</v>
      </c>
      <c r="J74" t="s">
        <v>54</v>
      </c>
      <c r="K74">
        <v>4</v>
      </c>
      <c r="L74">
        <v>8.9845504794894282E-4</v>
      </c>
      <c r="N74" t="s">
        <v>64</v>
      </c>
      <c r="O74">
        <v>4</v>
      </c>
      <c r="P74">
        <v>8.7892341647233252E-4</v>
      </c>
    </row>
    <row r="75" spans="2:16" x14ac:dyDescent="0.45">
      <c r="B75" s="7" t="s">
        <v>29</v>
      </c>
      <c r="C75" s="8"/>
      <c r="D75" s="8"/>
      <c r="E75" s="6"/>
      <c r="F75" s="3" t="s">
        <v>42</v>
      </c>
      <c r="G75" s="3">
        <v>5</v>
      </c>
      <c r="H75" s="3">
        <v>8.0079689056589132E-4</v>
      </c>
      <c r="J75" t="s">
        <v>54</v>
      </c>
      <c r="K75">
        <v>5</v>
      </c>
      <c r="L75">
        <v>8.5939178499572222E-4</v>
      </c>
      <c r="N75" t="s">
        <v>64</v>
      </c>
      <c r="O75">
        <v>5</v>
      </c>
      <c r="P75">
        <v>9.3751831090216342E-4</v>
      </c>
    </row>
    <row r="76" spans="2:16" x14ac:dyDescent="0.45">
      <c r="B76" s="3" t="s">
        <v>11</v>
      </c>
      <c r="C76" s="3">
        <v>1</v>
      </c>
      <c r="D76" s="3">
        <v>1.0937713627221513E-3</v>
      </c>
      <c r="F76" s="2"/>
      <c r="G76" s="2"/>
      <c r="H76" s="2"/>
    </row>
    <row r="77" spans="2:16" x14ac:dyDescent="0.45">
      <c r="B77" s="3" t="s">
        <v>11</v>
      </c>
      <c r="C77" s="3">
        <v>2</v>
      </c>
      <c r="D77" s="3">
        <v>9.7658157385893674E-4</v>
      </c>
      <c r="F77" s="2"/>
      <c r="G77" s="2"/>
      <c r="H77" s="2"/>
    </row>
    <row r="78" spans="2:16" x14ac:dyDescent="0.45">
      <c r="B78" s="3" t="s">
        <v>11</v>
      </c>
      <c r="C78" s="3">
        <v>3</v>
      </c>
      <c r="D78" s="3">
        <v>9.9611320533199432E-4</v>
      </c>
      <c r="F78" s="2"/>
      <c r="G78" s="2"/>
      <c r="H78" s="2"/>
    </row>
    <row r="79" spans="2:16" x14ac:dyDescent="0.45">
      <c r="B79" s="3" t="s">
        <v>11</v>
      </c>
      <c r="C79" s="3">
        <v>4</v>
      </c>
      <c r="D79" s="3">
        <v>9.7658157385893674E-4</v>
      </c>
      <c r="F79" s="2"/>
      <c r="G79" s="2"/>
      <c r="H79" s="2"/>
    </row>
    <row r="80" spans="2:16" x14ac:dyDescent="0.45">
      <c r="B80" s="3" t="s">
        <v>11</v>
      </c>
      <c r="C80" s="3">
        <v>5</v>
      </c>
      <c r="D80" s="3">
        <v>1.0156448368121573E-3</v>
      </c>
      <c r="F80" s="2"/>
      <c r="G80" s="2"/>
      <c r="H80" s="2"/>
    </row>
    <row r="81" spans="2:8" x14ac:dyDescent="0.45">
      <c r="B81" s="2"/>
      <c r="C81" s="2"/>
      <c r="D81" s="2"/>
      <c r="F81" s="2"/>
      <c r="G81" s="2"/>
      <c r="H81" s="2"/>
    </row>
    <row r="82" spans="2:8" x14ac:dyDescent="0.45">
      <c r="B82" s="2"/>
      <c r="C82" s="2"/>
      <c r="D82" s="2"/>
      <c r="F82" s="2"/>
      <c r="G82" s="2"/>
      <c r="H82" s="2"/>
    </row>
    <row r="83" spans="2:8" x14ac:dyDescent="0.45">
      <c r="B83" s="2"/>
      <c r="C83" s="2"/>
      <c r="D83" s="2"/>
      <c r="F83" s="2"/>
      <c r="G83" s="2"/>
      <c r="H83" s="2"/>
    </row>
    <row r="84" spans="2:8" x14ac:dyDescent="0.45">
      <c r="B84" s="2"/>
      <c r="C84" s="2"/>
      <c r="D84" s="2"/>
      <c r="F84" s="2"/>
      <c r="G84" s="2"/>
      <c r="H84" s="2"/>
    </row>
  </sheetData>
  <mergeCells count="52">
    <mergeCell ref="J2:L2"/>
    <mergeCell ref="J4:L4"/>
    <mergeCell ref="J10:L10"/>
    <mergeCell ref="J16:L16"/>
    <mergeCell ref="J22:L22"/>
    <mergeCell ref="J28:L28"/>
    <mergeCell ref="J34:L34"/>
    <mergeCell ref="J40:L40"/>
    <mergeCell ref="J46:L46"/>
    <mergeCell ref="J52:L52"/>
    <mergeCell ref="J58:L58"/>
    <mergeCell ref="J64:L64"/>
    <mergeCell ref="J70:L70"/>
    <mergeCell ref="B2:D2"/>
    <mergeCell ref="F2:H2"/>
    <mergeCell ref="B4:D4"/>
    <mergeCell ref="F4:H4"/>
    <mergeCell ref="B22:D22"/>
    <mergeCell ref="F22:H22"/>
    <mergeCell ref="B28:D28"/>
    <mergeCell ref="F28:H28"/>
    <mergeCell ref="B10:D10"/>
    <mergeCell ref="F10:H10"/>
    <mergeCell ref="B16:D16"/>
    <mergeCell ref="F16:H16"/>
    <mergeCell ref="B51:D51"/>
    <mergeCell ref="F52:H52"/>
    <mergeCell ref="B57:D57"/>
    <mergeCell ref="F58:H58"/>
    <mergeCell ref="B34:D34"/>
    <mergeCell ref="F34:H34"/>
    <mergeCell ref="B40:D40"/>
    <mergeCell ref="F40:H40"/>
    <mergeCell ref="F46:H46"/>
    <mergeCell ref="B63:D63"/>
    <mergeCell ref="F64:H64"/>
    <mergeCell ref="B69:D69"/>
    <mergeCell ref="F70:H70"/>
    <mergeCell ref="B75:D75"/>
    <mergeCell ref="N2:P2"/>
    <mergeCell ref="N4:P4"/>
    <mergeCell ref="N10:P10"/>
    <mergeCell ref="N16:P16"/>
    <mergeCell ref="N22:P22"/>
    <mergeCell ref="N58:P58"/>
    <mergeCell ref="N64:P64"/>
    <mergeCell ref="N70:P70"/>
    <mergeCell ref="N28:P28"/>
    <mergeCell ref="N34:P34"/>
    <mergeCell ref="N40:P40"/>
    <mergeCell ref="N46:P46"/>
    <mergeCell ref="N52:P5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PromediosAjustados</vt:lpstr>
      <vt:lpstr>DatosBrutos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Sebastián Alvarado Sarmiento</cp:lastModifiedBy>
  <dcterms:modified xsi:type="dcterms:W3CDTF">2025-05-12T15:04:49Z</dcterms:modified>
</cp:coreProperties>
</file>