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MedicionesPAvimentos\ProbetasPavimentos20Grados\"/>
    </mc:Choice>
  </mc:AlternateContent>
  <xr:revisionPtr revIDLastSave="0" documentId="13_ncr:1_{FF0F3F27-851A-4A4A-B1A4-48FDEBB381F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M11" i="1"/>
  <c r="M10" i="1"/>
  <c r="M9" i="1"/>
  <c r="M6" i="1"/>
  <c r="M5" i="1"/>
  <c r="M4" i="1"/>
  <c r="M3" i="1"/>
  <c r="J18" i="1"/>
  <c r="J17" i="1"/>
  <c r="J16" i="1"/>
  <c r="J15" i="1"/>
  <c r="J13" i="1"/>
  <c r="J12" i="1"/>
  <c r="J11" i="1"/>
  <c r="J14" i="1" s="1"/>
  <c r="J9" i="1"/>
  <c r="J8" i="1"/>
  <c r="J7" i="1"/>
  <c r="J10" i="1" s="1"/>
  <c r="J5" i="1"/>
  <c r="J4" i="1"/>
  <c r="J3" i="1"/>
  <c r="J6" i="1" s="1"/>
</calcChain>
</file>

<file path=xl/sharedStrings.xml><?xml version="1.0" encoding="utf-8"?>
<sst xmlns="http://schemas.openxmlformats.org/spreadsheetml/2006/main" count="172" uniqueCount="49">
  <si>
    <t>Filename</t>
  </si>
  <si>
    <t>21.1_6.8_P2.mat</t>
  </si>
  <si>
    <t>21.2_3.5_P3.mat</t>
  </si>
  <si>
    <t>21.2_4.5_P1.mat</t>
  </si>
  <si>
    <t>21.2_4.5_P2.mat</t>
  </si>
  <si>
    <t>21.2_6.8_P1.mat</t>
  </si>
  <si>
    <t>21.2_6.8_P3.mat</t>
  </si>
  <si>
    <t>21.3_5.5_P1.mat</t>
  </si>
  <si>
    <t>21.5_3.5_P1.mat</t>
  </si>
  <si>
    <t>21.5_3.5_P2.mat</t>
  </si>
  <si>
    <t>21.5_4.5_P3.mat</t>
  </si>
  <si>
    <t>21.5_5.5_P2#2.mat</t>
  </si>
  <si>
    <t>21.5_5.5_P2#3.mat</t>
  </si>
  <si>
    <t>21.5_5.5_P2#4.mat</t>
  </si>
  <si>
    <t>21.5_5.5_P2.mat</t>
  </si>
  <si>
    <t>21.5_5.5_P3.mat</t>
  </si>
  <si>
    <t>21.5_6.8_P3#4.mat</t>
  </si>
  <si>
    <t>21.6_6.8_P2#2.mat</t>
  </si>
  <si>
    <t>21.7_6.8_P1#2.mat</t>
  </si>
  <si>
    <t>Group</t>
  </si>
  <si>
    <t>TimeDifference</t>
  </si>
  <si>
    <t>64.0_6.5_P1.mat</t>
  </si>
  <si>
    <t>69.1_4.5_P2.mat</t>
  </si>
  <si>
    <t>69.3_6.5_P2.mat</t>
  </si>
  <si>
    <t>69.4_3.5_P2.mat</t>
  </si>
  <si>
    <t>69.4_5.5_P1.mat</t>
  </si>
  <si>
    <t>69.4_5.5_P1_SinPlaca.mat</t>
  </si>
  <si>
    <t>69.4_5.5_P3.mat</t>
  </si>
  <si>
    <t>70.3_4.5_P1.mat</t>
  </si>
  <si>
    <t>70.3_6.5_P3.mat</t>
  </si>
  <si>
    <t>70.6_4.5_P3.mat</t>
  </si>
  <si>
    <t>70.7_3.5_P3.mat</t>
  </si>
  <si>
    <t>70.9_5.5_P2.mat</t>
  </si>
  <si>
    <t>71.1_3.5_P1.mat</t>
  </si>
  <si>
    <t>20 Grados</t>
  </si>
  <si>
    <t>70 Grados</t>
  </si>
  <si>
    <t>3.5 P1</t>
  </si>
  <si>
    <t>3.5 P2</t>
  </si>
  <si>
    <t>3.5 P3</t>
  </si>
  <si>
    <t>4.5 P1</t>
  </si>
  <si>
    <t>4.5 P2</t>
  </si>
  <si>
    <t>4.5 P3</t>
  </si>
  <si>
    <t>5.5 P1</t>
  </si>
  <si>
    <t>5.5 P2</t>
  </si>
  <si>
    <t>5.5 P3</t>
  </si>
  <si>
    <t>6.8 P1</t>
  </si>
  <si>
    <t>6.8 P2</t>
  </si>
  <si>
    <t>6.8 P3</t>
  </si>
  <si>
    <t>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</si>
</sst>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0" xfId="0" applyFont="1" applyFill="1"/>
    <xf numFmtId="0" fontId="0" fillId="4" borderId="0" xfId="0" applyFill="1"/>
    <xf numFmtId="0" fontId="0" fillId="0" borderId="1" xfId="0" applyBorder="1"/>
    <xf numFmtId="0" fontId="1" fillId="2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79022956827864"/>
          <c:y val="5.0925925925925923E-2"/>
          <c:w val="0.81332080644374272"/>
          <c:h val="0.7901698745990084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Sheet1!$M$2</c:f>
              <c:strCache>
                <c:ptCount val="1"/>
                <c:pt idx="0">
                  <c:v>70 Grados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Sheet1!$N$3:$N$6</c:f>
              <c:numCache>
                <c:formatCode>General</c:formatCode>
                <c:ptCount val="4"/>
                <c:pt idx="0">
                  <c:v>3.5</c:v>
                </c:pt>
                <c:pt idx="1">
                  <c:v>4.5</c:v>
                </c:pt>
                <c:pt idx="2">
                  <c:v>5.5</c:v>
                </c:pt>
                <c:pt idx="3">
                  <c:v>6.8</c:v>
                </c:pt>
              </c:numCache>
            </c:numRef>
          </c:xVal>
          <c:yVal>
            <c:numRef>
              <c:f>Sheet1!$M$3:$M$6</c:f>
              <c:numCache>
                <c:formatCode>General</c:formatCode>
                <c:ptCount val="4"/>
                <c:pt idx="0">
                  <c:v>1.367214203402245E-3</c:v>
                </c:pt>
                <c:pt idx="1">
                  <c:v>1.2109611515853658E-3</c:v>
                </c:pt>
                <c:pt idx="2">
                  <c:v>1.2500244145394745E-3</c:v>
                </c:pt>
                <c:pt idx="3">
                  <c:v>1.0937713627221513E-3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2A-49F5-B9F0-FF582C8E4722}"/>
            </c:ext>
          </c:extLst>
        </c:ser>
        <c:ser>
          <c:idx val="1"/>
          <c:order val="1"/>
          <c:tx>
            <c:strRef>
              <c:f>Sheet1!$M$8</c:f>
              <c:strCache>
                <c:ptCount val="1"/>
                <c:pt idx="0">
                  <c:v>20 Grados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x"/>
            <c:size val="7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Sheet1!$N$9:$N$12</c:f>
              <c:numCache>
                <c:formatCode>General</c:formatCode>
                <c:ptCount val="4"/>
                <c:pt idx="0">
                  <c:v>3.5</c:v>
                </c:pt>
                <c:pt idx="1">
                  <c:v>4.5</c:v>
                </c:pt>
                <c:pt idx="2">
                  <c:v>5.5</c:v>
                </c:pt>
                <c:pt idx="3">
                  <c:v>6.8</c:v>
                </c:pt>
              </c:numCache>
            </c:numRef>
          </c:xVal>
          <c:yVal>
            <c:numRef>
              <c:f>Sheet1!$M$9:$M$12</c:f>
              <c:numCache>
                <c:formatCode>General</c:formatCode>
                <c:ptCount val="4"/>
                <c:pt idx="0">
                  <c:v>9.3100776707899513E-4</c:v>
                </c:pt>
                <c:pt idx="1">
                  <c:v>9.6356048620608681E-4</c:v>
                </c:pt>
                <c:pt idx="2">
                  <c:v>8.6590232882007478E-4</c:v>
                </c:pt>
                <c:pt idx="3">
                  <c:v>8.3986015351674348E-4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2A-49F5-B9F0-FF582C8E4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213631"/>
        <c:axId val="1793222751"/>
      </c:scatterChart>
      <c:valAx>
        <c:axId val="1793213631"/>
        <c:scaling>
          <c:orientation val="minMax"/>
          <c:min val="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Contenido Asfalto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222751"/>
        <c:crosses val="autoZero"/>
        <c:crossBetween val="midCat"/>
      </c:valAx>
      <c:valAx>
        <c:axId val="1793222751"/>
        <c:scaling>
          <c:orientation val="minMax"/>
          <c:min val="4.0000000000000013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213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0849934383202093"/>
          <c:y val="0.59780037911927686"/>
          <c:w val="0.1920465696683612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</xdr:colOff>
      <xdr:row>20</xdr:row>
      <xdr:rowOff>76200</xdr:rowOff>
    </xdr:from>
    <xdr:to>
      <xdr:col>15</xdr:col>
      <xdr:colOff>564356</xdr:colOff>
      <xdr:row>35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D59BE8-1CB7-8A5B-4353-0B2A658B3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84"/>
  <sheetViews>
    <sheetView tabSelected="1" topLeftCell="A9" workbookViewId="0">
      <selection activeCell="Q17" sqref="Q17"/>
    </sheetView>
  </sheetViews>
  <sheetFormatPr defaultRowHeight="14.25" x14ac:dyDescent="0.45"/>
  <cols>
    <col min="1" max="1" width="9.06640625" style="1"/>
    <col min="2" max="2" width="16.6640625" style="1" customWidth="1"/>
    <col min="3" max="3" width="6.19921875" style="1" customWidth="1"/>
    <col min="4" max="4" width="15.796875" style="1" customWidth="1"/>
    <col min="5" max="5" width="5.46484375" style="1" customWidth="1"/>
    <col min="6" max="6" width="16.86328125" style="1" customWidth="1"/>
    <col min="7" max="7" width="7.73046875" style="1" customWidth="1"/>
    <col min="8" max="8" width="14.796875" style="1" customWidth="1"/>
    <col min="9" max="16384" width="9.06640625" style="1"/>
  </cols>
  <sheetData>
    <row r="2" spans="2:14" x14ac:dyDescent="0.45">
      <c r="B2" s="2" t="s">
        <v>34</v>
      </c>
      <c r="C2" s="3"/>
      <c r="D2" s="3"/>
      <c r="E2" s="4"/>
      <c r="F2" s="2" t="s">
        <v>35</v>
      </c>
      <c r="G2" s="3"/>
      <c r="H2" s="3"/>
      <c r="J2" s="10" t="s">
        <v>34</v>
      </c>
      <c r="K2" s="10" t="s">
        <v>48</v>
      </c>
      <c r="M2" s="10" t="s">
        <v>35</v>
      </c>
      <c r="N2" s="10" t="s">
        <v>48</v>
      </c>
    </row>
    <row r="3" spans="2:14" x14ac:dyDescent="0.45">
      <c r="B3" s="4" t="s">
        <v>0</v>
      </c>
      <c r="C3" s="4" t="s">
        <v>19</v>
      </c>
      <c r="D3" s="4" t="s">
        <v>20</v>
      </c>
      <c r="E3" s="4"/>
      <c r="F3" s="4" t="s">
        <v>0</v>
      </c>
      <c r="G3" s="4" t="s">
        <v>19</v>
      </c>
      <c r="H3" s="4" t="s">
        <v>20</v>
      </c>
      <c r="J3" s="1">
        <f>MIN(D5:D7)</f>
        <v>9.3751831090571613E-4</v>
      </c>
      <c r="M3" s="11">
        <f>MAX(H5:H21)</f>
        <v>1.367214203402245E-3</v>
      </c>
      <c r="N3" s="4">
        <v>3.5</v>
      </c>
    </row>
    <row r="4" spans="2:14" x14ac:dyDescent="0.45">
      <c r="B4" s="5" t="s">
        <v>36</v>
      </c>
      <c r="C4" s="6"/>
      <c r="D4" s="6"/>
      <c r="E4" s="4"/>
      <c r="F4" s="5" t="s">
        <v>36</v>
      </c>
      <c r="G4" s="6"/>
      <c r="H4" s="6"/>
      <c r="J4" s="1">
        <f>MIN(D9:D11)</f>
        <v>9.1798667942555312E-4</v>
      </c>
      <c r="M4" s="11">
        <f>MAX(H23:H39)</f>
        <v>1.2109611515853658E-3</v>
      </c>
      <c r="N4" s="4">
        <v>4.5</v>
      </c>
    </row>
    <row r="5" spans="2:14" x14ac:dyDescent="0.45">
      <c r="B5" s="4" t="s">
        <v>8</v>
      </c>
      <c r="C5" s="4">
        <v>1</v>
      </c>
      <c r="D5" s="4">
        <v>9.9611320533554704E-4</v>
      </c>
      <c r="E5" s="4"/>
      <c r="F5" s="9" t="s">
        <v>33</v>
      </c>
      <c r="G5" s="9">
        <v>1</v>
      </c>
      <c r="H5" s="9">
        <v>1.2109611515853658E-3</v>
      </c>
      <c r="J5" s="1">
        <f>MIN(D13:D15)</f>
        <v>9.3751831090571613E-4</v>
      </c>
      <c r="M5" s="11">
        <f>MAX(H41:H62)</f>
        <v>1.2500244145394745E-3</v>
      </c>
      <c r="N5" s="10">
        <v>5.5</v>
      </c>
    </row>
    <row r="6" spans="2:14" x14ac:dyDescent="0.45">
      <c r="B6" s="4" t="s">
        <v>8</v>
      </c>
      <c r="C6" s="4">
        <v>2</v>
      </c>
      <c r="D6" s="4">
        <v>9.5704994238232644E-4</v>
      </c>
      <c r="E6" s="4"/>
      <c r="F6" s="9" t="s">
        <v>33</v>
      </c>
      <c r="G6" s="9">
        <v>2</v>
      </c>
      <c r="H6" s="9">
        <v>1.1328346256789246E-3</v>
      </c>
      <c r="J6" s="8">
        <f>AVERAGEA(J3:J5)</f>
        <v>9.3100776707899513E-4</v>
      </c>
      <c r="K6" s="1">
        <v>3.5</v>
      </c>
      <c r="M6" s="11">
        <f>MAX(H64:H84)</f>
        <v>1.0937713627221513E-3</v>
      </c>
      <c r="N6" s="4">
        <v>6.8</v>
      </c>
    </row>
    <row r="7" spans="2:14" x14ac:dyDescent="0.45">
      <c r="B7" s="4" t="s">
        <v>8</v>
      </c>
      <c r="C7" s="4">
        <v>3</v>
      </c>
      <c r="D7" s="4">
        <v>9.3751831090571613E-4</v>
      </c>
      <c r="E7" s="4"/>
      <c r="F7" s="9" t="s">
        <v>33</v>
      </c>
      <c r="G7" s="9">
        <v>3</v>
      </c>
      <c r="H7" s="9">
        <v>1.074239731245541E-3</v>
      </c>
      <c r="J7" s="1">
        <f>MIN(D17:D19)</f>
        <v>9.5704994237877372E-4</v>
      </c>
    </row>
    <row r="8" spans="2:14" x14ac:dyDescent="0.45">
      <c r="B8" s="5" t="s">
        <v>37</v>
      </c>
      <c r="C8" s="6"/>
      <c r="D8" s="6"/>
      <c r="E8" s="4"/>
      <c r="F8" s="9" t="s">
        <v>33</v>
      </c>
      <c r="G8" s="9">
        <v>4</v>
      </c>
      <c r="H8" s="9">
        <v>1.0547080997724834E-3</v>
      </c>
      <c r="J8" s="1">
        <f>MIN(D21:D23)</f>
        <v>9.3751831090393978E-4</v>
      </c>
      <c r="M8" s="10" t="s">
        <v>34</v>
      </c>
      <c r="N8" s="10" t="s">
        <v>48</v>
      </c>
    </row>
    <row r="9" spans="2:14" x14ac:dyDescent="0.45">
      <c r="B9" s="4" t="s">
        <v>9</v>
      </c>
      <c r="C9" s="4">
        <v>1</v>
      </c>
      <c r="D9" s="4">
        <v>1.0156448368121573E-3</v>
      </c>
      <c r="E9" s="4"/>
      <c r="F9" s="9" t="s">
        <v>33</v>
      </c>
      <c r="G9" s="9">
        <v>5</v>
      </c>
      <c r="H9" s="9">
        <v>1.0547080997724834E-3</v>
      </c>
      <c r="J9" s="1">
        <f>MIN(D25:D27)</f>
        <v>9.9611320533554704E-4</v>
      </c>
      <c r="M9" s="11">
        <f>J6</f>
        <v>9.3100776707899513E-4</v>
      </c>
      <c r="N9" s="4">
        <v>3.5</v>
      </c>
    </row>
    <row r="10" spans="2:14" x14ac:dyDescent="0.45">
      <c r="B10" s="4" t="s">
        <v>9</v>
      </c>
      <c r="C10" s="4">
        <v>2</v>
      </c>
      <c r="D10" s="4">
        <v>9.3751831090571613E-4</v>
      </c>
      <c r="E10" s="4"/>
      <c r="F10" s="5" t="s">
        <v>37</v>
      </c>
      <c r="G10" s="6"/>
      <c r="H10" s="6"/>
      <c r="J10" s="8">
        <f>AVERAGEA(J7:J9)</f>
        <v>9.6356048620608681E-4</v>
      </c>
      <c r="K10" s="1">
        <v>4.5</v>
      </c>
      <c r="M10" s="11">
        <f>J10</f>
        <v>9.6356048620608681E-4</v>
      </c>
      <c r="N10" s="4">
        <v>4.5</v>
      </c>
    </row>
    <row r="11" spans="2:14" x14ac:dyDescent="0.45">
      <c r="B11" s="4" t="s">
        <v>9</v>
      </c>
      <c r="C11" s="4">
        <v>3</v>
      </c>
      <c r="D11" s="4">
        <v>9.1798667942555312E-4</v>
      </c>
      <c r="E11" s="4"/>
      <c r="F11" s="9" t="s">
        <v>24</v>
      </c>
      <c r="G11" s="9">
        <v>1</v>
      </c>
      <c r="H11" s="9">
        <v>1.367214203402245E-3</v>
      </c>
      <c r="J11" s="1">
        <f>MIN(D29:D32)</f>
        <v>9.1798667942555312E-4</v>
      </c>
      <c r="M11" s="11">
        <f>J14</f>
        <v>8.6590232882007478E-4</v>
      </c>
      <c r="N11" s="10">
        <v>5.5</v>
      </c>
    </row>
    <row r="12" spans="2:14" x14ac:dyDescent="0.45">
      <c r="B12" s="5" t="s">
        <v>38</v>
      </c>
      <c r="C12" s="6"/>
      <c r="D12" s="6"/>
      <c r="E12" s="4"/>
      <c r="F12" s="9" t="s">
        <v>24</v>
      </c>
      <c r="G12" s="9">
        <v>2</v>
      </c>
      <c r="H12" s="9">
        <v>1.1718978886321452E-3</v>
      </c>
      <c r="J12" s="1">
        <f>MIN(D34:D51)</f>
        <v>8.203285220389489E-4</v>
      </c>
      <c r="M12" s="11">
        <f>J18</f>
        <v>8.3986015351674348E-4</v>
      </c>
      <c r="N12" s="4">
        <v>6.8</v>
      </c>
    </row>
    <row r="13" spans="2:14" x14ac:dyDescent="0.45">
      <c r="B13" s="4" t="s">
        <v>2</v>
      </c>
      <c r="C13" s="4">
        <v>1</v>
      </c>
      <c r="D13" s="4">
        <v>9.9611320533554704E-4</v>
      </c>
      <c r="E13" s="4"/>
      <c r="F13" s="9" t="s">
        <v>24</v>
      </c>
      <c r="G13" s="9">
        <v>3</v>
      </c>
      <c r="H13" s="9">
        <v>1.1133029941987616E-3</v>
      </c>
      <c r="J13" s="1">
        <f>MIN(D53:D58)</f>
        <v>8.5939178499572222E-4</v>
      </c>
    </row>
    <row r="14" spans="2:14" x14ac:dyDescent="0.45">
      <c r="B14" s="4" t="s">
        <v>2</v>
      </c>
      <c r="C14" s="4">
        <v>2</v>
      </c>
      <c r="D14" s="4">
        <v>1.074239731245541E-3</v>
      </c>
      <c r="E14" s="4"/>
      <c r="F14" s="9" t="s">
        <v>24</v>
      </c>
      <c r="G14" s="9">
        <v>4</v>
      </c>
      <c r="H14" s="9">
        <v>1.1133029941987616E-3</v>
      </c>
      <c r="J14" s="8">
        <f>AVERAGEA(J11:J13)</f>
        <v>8.6590232882007478E-4</v>
      </c>
      <c r="K14" s="7">
        <v>5.5</v>
      </c>
    </row>
    <row r="15" spans="2:14" x14ac:dyDescent="0.45">
      <c r="B15" s="4" t="s">
        <v>2</v>
      </c>
      <c r="C15" s="4">
        <v>3</v>
      </c>
      <c r="D15" s="4">
        <v>9.3751831090571613E-4</v>
      </c>
      <c r="E15" s="4"/>
      <c r="F15" s="9" t="s">
        <v>24</v>
      </c>
      <c r="G15" s="9">
        <v>5</v>
      </c>
      <c r="H15" s="9">
        <v>1.0937713627221513E-3</v>
      </c>
      <c r="J15" s="1">
        <f>MIN(D60:D66)</f>
        <v>8.9845504794539011E-4</v>
      </c>
    </row>
    <row r="16" spans="2:14" x14ac:dyDescent="0.45">
      <c r="B16" s="5" t="s">
        <v>39</v>
      </c>
      <c r="C16" s="6"/>
      <c r="D16" s="6"/>
      <c r="E16" s="4"/>
      <c r="F16" s="5" t="s">
        <v>38</v>
      </c>
      <c r="G16" s="6"/>
      <c r="H16" s="6"/>
      <c r="J16" s="1">
        <f>MIN(D68:D74)</f>
        <v>8.3986015351911192E-4</v>
      </c>
    </row>
    <row r="17" spans="2:11" x14ac:dyDescent="0.45">
      <c r="B17" s="4" t="s">
        <v>3</v>
      </c>
      <c r="C17" s="4">
        <v>1</v>
      </c>
      <c r="D17" s="4">
        <v>9.7658157385716038E-4</v>
      </c>
      <c r="E17" s="4"/>
      <c r="F17" s="9" t="s">
        <v>31</v>
      </c>
      <c r="G17" s="9">
        <v>1</v>
      </c>
      <c r="H17" s="9">
        <v>1.13283462567626E-3</v>
      </c>
      <c r="J17" s="1">
        <f>MIN(D76:D84)</f>
        <v>7.812652590857283E-4</v>
      </c>
    </row>
    <row r="18" spans="2:11" x14ac:dyDescent="0.45">
      <c r="B18" s="4" t="s">
        <v>3</v>
      </c>
      <c r="C18" s="4">
        <v>2</v>
      </c>
      <c r="D18" s="4">
        <v>9.5704994237877372E-4</v>
      </c>
      <c r="E18" s="4"/>
      <c r="F18" s="9" t="s">
        <v>31</v>
      </c>
      <c r="G18" s="9">
        <v>2</v>
      </c>
      <c r="H18" s="9">
        <v>1.074239731245541E-3</v>
      </c>
      <c r="J18" s="8">
        <f>AVERAGEA(J15:J17)</f>
        <v>8.3986015351674348E-4</v>
      </c>
      <c r="K18" s="1">
        <v>6.8</v>
      </c>
    </row>
    <row r="19" spans="2:11" x14ac:dyDescent="0.45">
      <c r="B19" s="4" t="s">
        <v>3</v>
      </c>
      <c r="C19" s="4">
        <v>3</v>
      </c>
      <c r="D19" s="4">
        <v>9.5704994238232644E-4</v>
      </c>
      <c r="E19" s="4"/>
      <c r="F19" s="9" t="s">
        <v>31</v>
      </c>
      <c r="G19" s="9">
        <v>3</v>
      </c>
      <c r="H19" s="9">
        <v>1.0547080997689307E-3</v>
      </c>
    </row>
    <row r="20" spans="2:11" x14ac:dyDescent="0.45">
      <c r="B20" s="5" t="s">
        <v>40</v>
      </c>
      <c r="C20" s="6"/>
      <c r="D20" s="6"/>
      <c r="E20" s="4"/>
      <c r="F20" s="9" t="s">
        <v>31</v>
      </c>
      <c r="G20" s="9">
        <v>4</v>
      </c>
      <c r="H20" s="9">
        <v>1.0937713627221513E-3</v>
      </c>
    </row>
    <row r="21" spans="2:11" x14ac:dyDescent="0.45">
      <c r="B21" s="4" t="s">
        <v>4</v>
      </c>
      <c r="C21" s="4">
        <v>1</v>
      </c>
      <c r="D21" s="4">
        <v>1.1133029941987616E-3</v>
      </c>
      <c r="E21" s="4"/>
      <c r="F21" s="9" t="s">
        <v>31</v>
      </c>
      <c r="G21" s="9">
        <v>5</v>
      </c>
      <c r="H21" s="9">
        <v>1.074239731245541E-3</v>
      </c>
    </row>
    <row r="22" spans="2:11" x14ac:dyDescent="0.45">
      <c r="B22" s="4" t="s">
        <v>4</v>
      </c>
      <c r="C22" s="4">
        <v>2</v>
      </c>
      <c r="D22" s="4">
        <v>9.5704994238232644E-4</v>
      </c>
      <c r="E22" s="4"/>
      <c r="F22" s="5" t="s">
        <v>39</v>
      </c>
      <c r="G22" s="6"/>
      <c r="H22" s="6"/>
    </row>
    <row r="23" spans="2:11" x14ac:dyDescent="0.45">
      <c r="B23" s="4" t="s">
        <v>4</v>
      </c>
      <c r="C23" s="4">
        <v>3</v>
      </c>
      <c r="D23" s="4">
        <v>9.3751831090393978E-4</v>
      </c>
      <c r="E23" s="4"/>
      <c r="F23" s="9" t="s">
        <v>28</v>
      </c>
      <c r="G23" s="9">
        <v>1</v>
      </c>
      <c r="H23" s="9">
        <v>1.0547080997671543E-3</v>
      </c>
    </row>
    <row r="24" spans="2:11" x14ac:dyDescent="0.45">
      <c r="B24" s="5" t="s">
        <v>41</v>
      </c>
      <c r="C24" s="6"/>
      <c r="D24" s="6"/>
      <c r="E24" s="4"/>
      <c r="F24" s="9" t="s">
        <v>28</v>
      </c>
      <c r="G24" s="9">
        <v>2</v>
      </c>
      <c r="H24" s="9">
        <v>1.1328346256789246E-3</v>
      </c>
    </row>
    <row r="25" spans="2:11" x14ac:dyDescent="0.45">
      <c r="B25" s="4" t="s">
        <v>10</v>
      </c>
      <c r="C25" s="4">
        <v>1</v>
      </c>
      <c r="D25" s="4">
        <v>1.2109611515853658E-3</v>
      </c>
      <c r="E25" s="4"/>
      <c r="F25" s="9" t="s">
        <v>28</v>
      </c>
      <c r="G25" s="9">
        <v>3</v>
      </c>
      <c r="H25" s="9">
        <v>9.9611320533554704E-4</v>
      </c>
    </row>
    <row r="26" spans="2:11" x14ac:dyDescent="0.45">
      <c r="B26" s="4" t="s">
        <v>10</v>
      </c>
      <c r="C26" s="4">
        <v>2</v>
      </c>
      <c r="D26" s="4">
        <v>1.035176468290544E-3</v>
      </c>
      <c r="E26" s="4"/>
      <c r="F26" s="9" t="s">
        <v>28</v>
      </c>
      <c r="G26" s="9">
        <v>4</v>
      </c>
      <c r="H26" s="9">
        <v>1.1328346256789246E-3</v>
      </c>
    </row>
    <row r="27" spans="2:11" x14ac:dyDescent="0.45">
      <c r="B27" s="4" t="s">
        <v>10</v>
      </c>
      <c r="C27" s="4">
        <v>3</v>
      </c>
      <c r="D27" s="4">
        <v>9.9611320533554704E-4</v>
      </c>
      <c r="E27" s="4"/>
      <c r="F27" s="9" t="s">
        <v>28</v>
      </c>
      <c r="G27" s="9">
        <v>5</v>
      </c>
      <c r="H27" s="9">
        <v>1.2109611515853658E-3</v>
      </c>
    </row>
    <row r="28" spans="2:11" x14ac:dyDescent="0.45">
      <c r="B28" s="5" t="s">
        <v>42</v>
      </c>
      <c r="C28" s="6"/>
      <c r="D28" s="6"/>
      <c r="E28" s="4"/>
      <c r="F28" s="5" t="s">
        <v>40</v>
      </c>
      <c r="G28" s="6"/>
      <c r="H28" s="6"/>
    </row>
    <row r="29" spans="2:11" x14ac:dyDescent="0.45">
      <c r="B29" s="4" t="s">
        <v>7</v>
      </c>
      <c r="C29" s="4">
        <v>1</v>
      </c>
      <c r="D29" s="4">
        <v>1.1133029941992056E-3</v>
      </c>
      <c r="E29" s="4"/>
      <c r="F29" s="9" t="s">
        <v>22</v>
      </c>
      <c r="G29" s="9">
        <v>1</v>
      </c>
      <c r="H29" s="9">
        <v>1.035176468290544E-3</v>
      </c>
    </row>
    <row r="30" spans="2:11" x14ac:dyDescent="0.45">
      <c r="B30" s="4" t="s">
        <v>7</v>
      </c>
      <c r="C30" s="4">
        <v>2</v>
      </c>
      <c r="D30" s="4">
        <v>9.7658157385716038E-4</v>
      </c>
      <c r="E30" s="4"/>
      <c r="F30" s="9" t="s">
        <v>22</v>
      </c>
      <c r="G30" s="9">
        <v>2</v>
      </c>
      <c r="H30" s="9">
        <v>1.0937713627221513E-3</v>
      </c>
    </row>
    <row r="31" spans="2:11" x14ac:dyDescent="0.45">
      <c r="B31" s="4" t="s">
        <v>7</v>
      </c>
      <c r="C31" s="4">
        <v>3</v>
      </c>
      <c r="D31" s="4">
        <v>9.1798667942555312E-4</v>
      </c>
      <c r="E31" s="4"/>
      <c r="F31" s="9" t="s">
        <v>22</v>
      </c>
      <c r="G31" s="9">
        <v>3</v>
      </c>
      <c r="H31" s="9">
        <v>1.0547080997689307E-3</v>
      </c>
    </row>
    <row r="32" spans="2:11" x14ac:dyDescent="0.45">
      <c r="B32" s="4" t="s">
        <v>7</v>
      </c>
      <c r="C32" s="4">
        <v>4</v>
      </c>
      <c r="D32" s="4">
        <v>9.1798667942910583E-4</v>
      </c>
      <c r="E32" s="4"/>
      <c r="F32" s="9" t="s">
        <v>22</v>
      </c>
      <c r="G32" s="9">
        <v>4</v>
      </c>
      <c r="H32" s="9">
        <v>1.0547080997653779E-3</v>
      </c>
    </row>
    <row r="33" spans="2:8" x14ac:dyDescent="0.45">
      <c r="B33" s="5" t="s">
        <v>43</v>
      </c>
      <c r="C33" s="6"/>
      <c r="D33" s="6"/>
      <c r="E33" s="4"/>
      <c r="F33" s="9" t="s">
        <v>22</v>
      </c>
      <c r="G33" s="9">
        <v>5</v>
      </c>
      <c r="H33" s="9">
        <v>1.074239731245541E-3</v>
      </c>
    </row>
    <row r="34" spans="2:8" x14ac:dyDescent="0.45">
      <c r="B34" s="4" t="s">
        <v>14</v>
      </c>
      <c r="C34" s="4">
        <v>1</v>
      </c>
      <c r="D34" s="4">
        <v>1.1523662571528703E-3</v>
      </c>
      <c r="E34" s="4"/>
      <c r="F34" s="5" t="s">
        <v>41</v>
      </c>
      <c r="G34" s="6"/>
      <c r="H34" s="6"/>
    </row>
    <row r="35" spans="2:8" x14ac:dyDescent="0.45">
      <c r="B35" s="4" t="s">
        <v>14</v>
      </c>
      <c r="C35" s="4">
        <v>2</v>
      </c>
      <c r="D35" s="4">
        <v>1.0156448368121573E-3</v>
      </c>
      <c r="E35" s="4"/>
      <c r="F35" s="9" t="s">
        <v>30</v>
      </c>
      <c r="G35" s="9">
        <v>1</v>
      </c>
      <c r="H35" s="9">
        <v>1.0937713627221513E-3</v>
      </c>
    </row>
    <row r="36" spans="2:8" x14ac:dyDescent="0.45">
      <c r="B36" s="4" t="s">
        <v>14</v>
      </c>
      <c r="C36" s="4">
        <v>3</v>
      </c>
      <c r="D36" s="4">
        <v>9.9611320533554704E-4</v>
      </c>
      <c r="E36" s="4"/>
      <c r="F36" s="9" t="s">
        <v>30</v>
      </c>
      <c r="G36" s="9">
        <v>2</v>
      </c>
      <c r="H36" s="9">
        <v>9.9611320533554704E-4</v>
      </c>
    </row>
    <row r="37" spans="2:8" x14ac:dyDescent="0.45">
      <c r="B37" s="4" t="s">
        <v>14</v>
      </c>
      <c r="C37" s="4">
        <v>4</v>
      </c>
      <c r="D37" s="4">
        <v>9.5704994238232644E-4</v>
      </c>
      <c r="E37" s="4"/>
      <c r="F37" s="9" t="s">
        <v>30</v>
      </c>
      <c r="G37" s="9">
        <v>3</v>
      </c>
      <c r="H37" s="9">
        <v>9.9611320533199432E-4</v>
      </c>
    </row>
    <row r="38" spans="2:8" x14ac:dyDescent="0.45">
      <c r="B38" s="4" t="s">
        <v>14</v>
      </c>
      <c r="C38" s="4">
        <v>5</v>
      </c>
      <c r="D38" s="4">
        <v>9.5704994238232644E-4</v>
      </c>
      <c r="E38" s="4"/>
      <c r="F38" s="9" t="s">
        <v>30</v>
      </c>
      <c r="G38" s="9">
        <v>4</v>
      </c>
      <c r="H38" s="9">
        <v>9.7658157385893674E-4</v>
      </c>
    </row>
    <row r="39" spans="2:8" x14ac:dyDescent="0.45">
      <c r="B39" s="4" t="s">
        <v>11</v>
      </c>
      <c r="C39" s="4">
        <v>1</v>
      </c>
      <c r="D39" s="4">
        <v>8.789234164732207E-4</v>
      </c>
      <c r="E39" s="4"/>
      <c r="F39" s="9" t="s">
        <v>30</v>
      </c>
      <c r="G39" s="9">
        <v>5</v>
      </c>
      <c r="H39" s="9">
        <v>9.5704994237877372E-4</v>
      </c>
    </row>
    <row r="40" spans="2:8" x14ac:dyDescent="0.45">
      <c r="B40" s="4" t="s">
        <v>11</v>
      </c>
      <c r="C40" s="4">
        <v>2</v>
      </c>
      <c r="D40" s="4">
        <v>8.2032852204250162E-4</v>
      </c>
      <c r="E40" s="4"/>
      <c r="F40" s="5" t="s">
        <v>42</v>
      </c>
      <c r="G40" s="6"/>
      <c r="H40" s="6"/>
    </row>
    <row r="41" spans="2:8" x14ac:dyDescent="0.45">
      <c r="B41" s="4" t="s">
        <v>11</v>
      </c>
      <c r="C41" s="4">
        <v>3</v>
      </c>
      <c r="D41" s="4">
        <v>8.2032852204250162E-4</v>
      </c>
      <c r="E41" s="4"/>
      <c r="F41" s="9" t="s">
        <v>25</v>
      </c>
      <c r="G41" s="9">
        <v>1</v>
      </c>
      <c r="H41" s="9">
        <v>1.2500244145394745E-3</v>
      </c>
    </row>
    <row r="42" spans="2:8" x14ac:dyDescent="0.45">
      <c r="B42" s="4" t="s">
        <v>11</v>
      </c>
      <c r="C42" s="4">
        <v>4</v>
      </c>
      <c r="D42" s="4">
        <v>8.203285220389489E-4</v>
      </c>
      <c r="E42" s="4"/>
      <c r="F42" s="9" t="s">
        <v>25</v>
      </c>
      <c r="G42" s="9">
        <v>2</v>
      </c>
      <c r="H42" s="9">
        <v>1.1523662571528703E-3</v>
      </c>
    </row>
    <row r="43" spans="2:8" x14ac:dyDescent="0.45">
      <c r="B43" s="4" t="s">
        <v>11</v>
      </c>
      <c r="C43" s="4">
        <v>5</v>
      </c>
      <c r="D43" s="4">
        <v>8.3986015351911192E-4</v>
      </c>
      <c r="E43" s="4"/>
      <c r="F43" s="9" t="s">
        <v>25</v>
      </c>
      <c r="G43" s="9">
        <v>3</v>
      </c>
      <c r="H43" s="9">
        <v>1.074239731245541E-3</v>
      </c>
    </row>
    <row r="44" spans="2:8" x14ac:dyDescent="0.45">
      <c r="B44" s="4" t="s">
        <v>12</v>
      </c>
      <c r="C44" s="4">
        <v>1</v>
      </c>
      <c r="D44" s="4">
        <v>1.1328346256753719E-3</v>
      </c>
      <c r="E44" s="4"/>
      <c r="F44" s="9" t="s">
        <v>25</v>
      </c>
      <c r="G44" s="9">
        <v>4</v>
      </c>
      <c r="H44" s="9">
        <v>1.0547080997689307E-3</v>
      </c>
    </row>
    <row r="45" spans="2:8" x14ac:dyDescent="0.45">
      <c r="B45" s="4" t="s">
        <v>12</v>
      </c>
      <c r="C45" s="4">
        <v>2</v>
      </c>
      <c r="D45" s="4">
        <v>1.1328346256753719E-3</v>
      </c>
      <c r="E45" s="4"/>
      <c r="F45" s="9" t="s">
        <v>25</v>
      </c>
      <c r="G45" s="9">
        <v>5</v>
      </c>
      <c r="H45" s="9">
        <v>1.0156448368121573E-3</v>
      </c>
    </row>
    <row r="46" spans="2:8" x14ac:dyDescent="0.45">
      <c r="B46" s="4" t="s">
        <v>12</v>
      </c>
      <c r="C46" s="4">
        <v>3</v>
      </c>
      <c r="D46" s="4">
        <v>1.1328346256753719E-3</v>
      </c>
      <c r="E46" s="4"/>
      <c r="F46" s="9" t="s">
        <v>26</v>
      </c>
      <c r="G46" s="9">
        <v>1</v>
      </c>
      <c r="H46" s="9">
        <v>1.2109611515849217E-3</v>
      </c>
    </row>
    <row r="47" spans="2:8" x14ac:dyDescent="0.45">
      <c r="B47" s="4" t="s">
        <v>13</v>
      </c>
      <c r="C47" s="4">
        <v>1</v>
      </c>
      <c r="D47" s="4">
        <v>8.9845504795027509E-4</v>
      </c>
      <c r="E47" s="4"/>
      <c r="F47" s="9" t="s">
        <v>26</v>
      </c>
      <c r="G47" s="9">
        <v>2</v>
      </c>
      <c r="H47" s="9">
        <v>1.1133029941987616E-3</v>
      </c>
    </row>
    <row r="48" spans="2:8" x14ac:dyDescent="0.45">
      <c r="B48" s="4" t="s">
        <v>13</v>
      </c>
      <c r="C48" s="4">
        <v>2</v>
      </c>
      <c r="D48" s="4">
        <v>8.9845504795071918E-4</v>
      </c>
      <c r="E48" s="4"/>
      <c r="F48" s="9" t="s">
        <v>26</v>
      </c>
      <c r="G48" s="9">
        <v>3</v>
      </c>
      <c r="H48" s="9">
        <v>1.074239731245541E-3</v>
      </c>
    </row>
    <row r="49" spans="2:8" x14ac:dyDescent="0.45">
      <c r="B49" s="4" t="s">
        <v>13</v>
      </c>
      <c r="C49" s="4">
        <v>3</v>
      </c>
      <c r="D49" s="4">
        <v>8.7892341647233252E-4</v>
      </c>
      <c r="E49" s="4"/>
      <c r="F49" s="9" t="s">
        <v>26</v>
      </c>
      <c r="G49" s="9">
        <v>4</v>
      </c>
      <c r="H49" s="9">
        <v>1.0547080997689307E-3</v>
      </c>
    </row>
    <row r="50" spans="2:8" x14ac:dyDescent="0.45">
      <c r="B50" s="4" t="s">
        <v>13</v>
      </c>
      <c r="C50" s="4">
        <v>4</v>
      </c>
      <c r="D50" s="4">
        <v>8.5939178499572222E-4</v>
      </c>
      <c r="E50" s="4"/>
      <c r="F50" s="9" t="s">
        <v>26</v>
      </c>
      <c r="G50" s="9">
        <v>5</v>
      </c>
      <c r="H50" s="9">
        <v>1.1328346256789246E-3</v>
      </c>
    </row>
    <row r="51" spans="2:8" x14ac:dyDescent="0.45">
      <c r="B51" s="4" t="s">
        <v>13</v>
      </c>
      <c r="C51" s="4">
        <v>5</v>
      </c>
      <c r="D51" s="4">
        <v>8.5939178499572222E-4</v>
      </c>
      <c r="E51" s="4"/>
      <c r="F51" s="5" t="s">
        <v>43</v>
      </c>
      <c r="G51" s="6"/>
      <c r="H51" s="6"/>
    </row>
    <row r="52" spans="2:8" x14ac:dyDescent="0.45">
      <c r="B52" s="5" t="s">
        <v>44</v>
      </c>
      <c r="C52" s="6"/>
      <c r="D52" s="6"/>
      <c r="E52" s="4"/>
      <c r="F52" s="9" t="s">
        <v>32</v>
      </c>
      <c r="G52" s="9">
        <v>1</v>
      </c>
      <c r="H52" s="9">
        <v>1.0547080997671543E-3</v>
      </c>
    </row>
    <row r="53" spans="2:8" x14ac:dyDescent="0.45">
      <c r="B53" s="4" t="s">
        <v>15</v>
      </c>
      <c r="C53" s="4">
        <v>1</v>
      </c>
      <c r="D53" s="4">
        <v>8.9845504795071918E-4</v>
      </c>
      <c r="E53" s="4"/>
      <c r="F53" s="9" t="s">
        <v>32</v>
      </c>
      <c r="G53" s="9">
        <v>2</v>
      </c>
      <c r="H53" s="9">
        <v>1.0351764682887676E-3</v>
      </c>
    </row>
    <row r="54" spans="2:8" x14ac:dyDescent="0.45">
      <c r="B54" s="4" t="s">
        <v>15</v>
      </c>
      <c r="C54" s="4">
        <v>2</v>
      </c>
      <c r="D54" s="4">
        <v>8.9845504794894282E-4</v>
      </c>
      <c r="E54" s="4"/>
      <c r="F54" s="9" t="s">
        <v>32</v>
      </c>
      <c r="G54" s="9">
        <v>3</v>
      </c>
      <c r="H54" s="9">
        <v>1.0156448368121573E-3</v>
      </c>
    </row>
    <row r="55" spans="2:8" x14ac:dyDescent="0.45">
      <c r="B55" s="4" t="s">
        <v>15</v>
      </c>
      <c r="C55" s="4">
        <v>3</v>
      </c>
      <c r="D55" s="4">
        <v>9.1798667942555312E-4</v>
      </c>
      <c r="E55" s="4"/>
      <c r="F55" s="9" t="s">
        <v>32</v>
      </c>
      <c r="G55" s="9">
        <v>4</v>
      </c>
      <c r="H55" s="9">
        <v>1.0156448368121573E-3</v>
      </c>
    </row>
    <row r="56" spans="2:8" x14ac:dyDescent="0.45">
      <c r="B56" s="4" t="s">
        <v>15</v>
      </c>
      <c r="C56" s="4">
        <v>4</v>
      </c>
      <c r="D56" s="4">
        <v>8.9845504795249553E-4</v>
      </c>
      <c r="E56" s="4"/>
      <c r="F56" s="9" t="s">
        <v>32</v>
      </c>
      <c r="G56" s="9">
        <v>5</v>
      </c>
      <c r="H56" s="9">
        <v>1.0156448368121573E-3</v>
      </c>
    </row>
    <row r="57" spans="2:8" x14ac:dyDescent="0.45">
      <c r="B57" s="4" t="s">
        <v>15</v>
      </c>
      <c r="C57" s="4">
        <v>5</v>
      </c>
      <c r="D57" s="4">
        <v>8.5939178499572222E-4</v>
      </c>
      <c r="E57" s="4"/>
      <c r="F57" s="5" t="s">
        <v>44</v>
      </c>
      <c r="G57" s="6"/>
      <c r="H57" s="6"/>
    </row>
    <row r="58" spans="2:8" x14ac:dyDescent="0.45">
      <c r="B58" s="4" t="s">
        <v>15</v>
      </c>
      <c r="C58" s="4">
        <v>6</v>
      </c>
      <c r="D58" s="4">
        <v>8.7892341647233252E-4</v>
      </c>
      <c r="E58" s="4"/>
      <c r="F58" s="9" t="s">
        <v>27</v>
      </c>
      <c r="G58" s="9">
        <v>1</v>
      </c>
      <c r="H58" s="9">
        <v>1.2500244145385864E-3</v>
      </c>
    </row>
    <row r="59" spans="2:8" x14ac:dyDescent="0.45">
      <c r="B59" s="5" t="s">
        <v>45</v>
      </c>
      <c r="C59" s="6"/>
      <c r="D59" s="6"/>
      <c r="E59" s="4"/>
      <c r="F59" s="9" t="s">
        <v>27</v>
      </c>
      <c r="G59" s="9">
        <v>2</v>
      </c>
      <c r="H59" s="9">
        <v>1.1523662571519822E-3</v>
      </c>
    </row>
    <row r="60" spans="2:8" x14ac:dyDescent="0.45">
      <c r="B60" s="4" t="s">
        <v>5</v>
      </c>
      <c r="C60" s="4">
        <v>1</v>
      </c>
      <c r="D60" s="4">
        <v>1.074239731245541E-3</v>
      </c>
      <c r="E60" s="4"/>
      <c r="F60" s="9" t="s">
        <v>27</v>
      </c>
      <c r="G60" s="9">
        <v>3</v>
      </c>
      <c r="H60" s="9">
        <v>1.1523662571519822E-3</v>
      </c>
    </row>
    <row r="61" spans="2:8" x14ac:dyDescent="0.45">
      <c r="B61" s="4" t="s">
        <v>5</v>
      </c>
      <c r="C61" s="4">
        <v>2</v>
      </c>
      <c r="D61" s="4">
        <v>9.3751831090571613E-4</v>
      </c>
      <c r="E61" s="4"/>
      <c r="F61" s="9" t="s">
        <v>27</v>
      </c>
      <c r="G61" s="9">
        <v>4</v>
      </c>
      <c r="H61" s="9">
        <v>1.0547080997724834E-3</v>
      </c>
    </row>
    <row r="62" spans="2:8" x14ac:dyDescent="0.45">
      <c r="B62" s="4" t="s">
        <v>5</v>
      </c>
      <c r="C62" s="4">
        <v>3</v>
      </c>
      <c r="D62" s="4">
        <v>8.9845504794539011E-4</v>
      </c>
      <c r="E62" s="4"/>
      <c r="F62" s="9" t="s">
        <v>27</v>
      </c>
      <c r="G62" s="9">
        <v>5</v>
      </c>
      <c r="H62" s="9">
        <v>1.0937713627185985E-3</v>
      </c>
    </row>
    <row r="63" spans="2:8" x14ac:dyDescent="0.45">
      <c r="B63" s="4" t="s">
        <v>18</v>
      </c>
      <c r="C63" s="4">
        <v>1</v>
      </c>
      <c r="D63" s="4">
        <v>1.13283462567626E-3</v>
      </c>
      <c r="E63" s="4"/>
      <c r="F63" s="5" t="s">
        <v>45</v>
      </c>
      <c r="G63" s="6"/>
      <c r="H63" s="6"/>
    </row>
    <row r="64" spans="2:8" x14ac:dyDescent="0.45">
      <c r="B64" s="4" t="s">
        <v>18</v>
      </c>
      <c r="C64" s="4">
        <v>2</v>
      </c>
      <c r="D64" s="4">
        <v>9.9611320533554704E-4</v>
      </c>
      <c r="E64" s="4"/>
      <c r="F64" s="9" t="s">
        <v>21</v>
      </c>
      <c r="G64" s="9">
        <v>1</v>
      </c>
      <c r="H64" s="9">
        <v>1.0937713627221513E-3</v>
      </c>
    </row>
    <row r="65" spans="2:8" x14ac:dyDescent="0.45">
      <c r="B65" s="4" t="s">
        <v>18</v>
      </c>
      <c r="C65" s="4">
        <v>3</v>
      </c>
      <c r="D65" s="4">
        <v>9.3751831090571613E-4</v>
      </c>
      <c r="E65" s="4"/>
      <c r="F65" s="9" t="s">
        <v>21</v>
      </c>
      <c r="G65" s="9">
        <v>2</v>
      </c>
      <c r="H65" s="9">
        <v>1.0156448368130455E-3</v>
      </c>
    </row>
    <row r="66" spans="2:8" x14ac:dyDescent="0.45">
      <c r="B66" s="4" t="s">
        <v>18</v>
      </c>
      <c r="C66" s="4">
        <v>4</v>
      </c>
      <c r="D66" s="4">
        <v>9.3751831090571613E-4</v>
      </c>
      <c r="E66" s="4"/>
      <c r="F66" s="9" t="s">
        <v>21</v>
      </c>
      <c r="G66" s="9">
        <v>3</v>
      </c>
      <c r="H66" s="9">
        <v>9.7658157385893674E-4</v>
      </c>
    </row>
    <row r="67" spans="2:8" x14ac:dyDescent="0.45">
      <c r="B67" s="5" t="s">
        <v>46</v>
      </c>
      <c r="C67" s="6"/>
      <c r="D67" s="6"/>
      <c r="E67" s="4"/>
      <c r="F67" s="9" t="s">
        <v>21</v>
      </c>
      <c r="G67" s="9">
        <v>4</v>
      </c>
      <c r="H67" s="9">
        <v>9.9611320533732339E-4</v>
      </c>
    </row>
    <row r="68" spans="2:8" x14ac:dyDescent="0.45">
      <c r="B68" s="4" t="s">
        <v>1</v>
      </c>
      <c r="C68" s="4">
        <v>1</v>
      </c>
      <c r="D68" s="4">
        <v>1.5039356237425139E-3</v>
      </c>
      <c r="E68" s="4"/>
      <c r="F68" s="9" t="s">
        <v>21</v>
      </c>
      <c r="G68" s="9">
        <v>5</v>
      </c>
      <c r="H68" s="9">
        <v>9.7658157385893674E-4</v>
      </c>
    </row>
    <row r="69" spans="2:8" x14ac:dyDescent="0.45">
      <c r="B69" s="4" t="s">
        <v>1</v>
      </c>
      <c r="C69" s="4">
        <v>2</v>
      </c>
      <c r="D69" s="4">
        <v>1.3672142034018009E-3</v>
      </c>
      <c r="E69" s="4"/>
      <c r="F69" s="5" t="s">
        <v>46</v>
      </c>
      <c r="G69" s="6"/>
      <c r="H69" s="6"/>
    </row>
    <row r="70" spans="2:8" x14ac:dyDescent="0.45">
      <c r="B70" s="4" t="s">
        <v>1</v>
      </c>
      <c r="C70" s="4">
        <v>3</v>
      </c>
      <c r="D70" s="4">
        <v>1.4258090978316318E-3</v>
      </c>
      <c r="E70" s="4"/>
      <c r="F70" s="9" t="s">
        <v>23</v>
      </c>
      <c r="G70" s="9">
        <v>1</v>
      </c>
      <c r="H70" s="9">
        <v>1.035176468290544E-3</v>
      </c>
    </row>
    <row r="71" spans="2:8" x14ac:dyDescent="0.45">
      <c r="B71" s="4" t="s">
        <v>1</v>
      </c>
      <c r="C71" s="4">
        <v>4</v>
      </c>
      <c r="D71" s="4">
        <v>1.4258090978316318E-3</v>
      </c>
      <c r="E71" s="4"/>
      <c r="F71" s="9" t="s">
        <v>23</v>
      </c>
      <c r="G71" s="9">
        <v>2</v>
      </c>
      <c r="H71" s="9">
        <v>9.9611320533554704E-4</v>
      </c>
    </row>
    <row r="72" spans="2:8" x14ac:dyDescent="0.45">
      <c r="B72" s="4" t="s">
        <v>17</v>
      </c>
      <c r="C72" s="4">
        <v>1</v>
      </c>
      <c r="D72" s="4">
        <v>1.0742397312446528E-3</v>
      </c>
      <c r="E72" s="4"/>
      <c r="F72" s="9" t="s">
        <v>23</v>
      </c>
      <c r="G72" s="9">
        <v>3</v>
      </c>
      <c r="H72" s="9">
        <v>9.5704994238232644E-4</v>
      </c>
    </row>
    <row r="73" spans="2:8" x14ac:dyDescent="0.45">
      <c r="B73" s="4" t="s">
        <v>17</v>
      </c>
      <c r="C73" s="4">
        <v>2</v>
      </c>
      <c r="D73" s="4">
        <v>8.3986015351911192E-4</v>
      </c>
      <c r="E73" s="4"/>
      <c r="F73" s="9" t="s">
        <v>23</v>
      </c>
      <c r="G73" s="9">
        <v>4</v>
      </c>
      <c r="H73" s="9">
        <v>9.3751831090571613E-4</v>
      </c>
    </row>
    <row r="74" spans="2:8" x14ac:dyDescent="0.45">
      <c r="B74" s="4" t="s">
        <v>17</v>
      </c>
      <c r="C74" s="4">
        <v>3</v>
      </c>
      <c r="D74" s="4">
        <v>8.3986015351911192E-4</v>
      </c>
      <c r="E74" s="4"/>
      <c r="F74" s="9" t="s">
        <v>23</v>
      </c>
      <c r="G74" s="9">
        <v>5</v>
      </c>
      <c r="H74" s="9">
        <v>9.1798667942555312E-4</v>
      </c>
    </row>
    <row r="75" spans="2:8" x14ac:dyDescent="0.45">
      <c r="B75" s="5" t="s">
        <v>47</v>
      </c>
      <c r="C75" s="6"/>
      <c r="D75" s="6"/>
      <c r="E75" s="4"/>
      <c r="F75" s="5" t="s">
        <v>47</v>
      </c>
      <c r="G75" s="6"/>
      <c r="H75" s="6"/>
    </row>
    <row r="76" spans="2:8" x14ac:dyDescent="0.45">
      <c r="B76" s="4" t="s">
        <v>6</v>
      </c>
      <c r="C76" s="4">
        <v>1</v>
      </c>
      <c r="D76" s="4">
        <v>1.0937713627221513E-3</v>
      </c>
      <c r="E76" s="4"/>
      <c r="F76" s="9" t="s">
        <v>29</v>
      </c>
      <c r="G76" s="9">
        <v>1</v>
      </c>
      <c r="H76" s="9">
        <v>1.0937713627221513E-3</v>
      </c>
    </row>
    <row r="77" spans="2:8" x14ac:dyDescent="0.45">
      <c r="B77" s="4" t="s">
        <v>6</v>
      </c>
      <c r="C77" s="4">
        <v>2</v>
      </c>
      <c r="D77" s="4">
        <v>9.3751831090393978E-4</v>
      </c>
      <c r="E77" s="4"/>
      <c r="F77" s="9" t="s">
        <v>29</v>
      </c>
      <c r="G77" s="9">
        <v>2</v>
      </c>
      <c r="H77" s="9">
        <v>9.7658157385893674E-4</v>
      </c>
    </row>
    <row r="78" spans="2:8" x14ac:dyDescent="0.45">
      <c r="B78" s="4" t="s">
        <v>6</v>
      </c>
      <c r="C78" s="4">
        <v>3</v>
      </c>
      <c r="D78" s="4">
        <v>9.1798667942910583E-4</v>
      </c>
      <c r="E78" s="4"/>
      <c r="F78" s="9" t="s">
        <v>29</v>
      </c>
      <c r="G78" s="9">
        <v>3</v>
      </c>
      <c r="H78" s="9">
        <v>9.9611320533199432E-4</v>
      </c>
    </row>
    <row r="79" spans="2:8" x14ac:dyDescent="0.45">
      <c r="B79" s="4" t="s">
        <v>6</v>
      </c>
      <c r="C79" s="4">
        <v>4</v>
      </c>
      <c r="D79" s="4">
        <v>8.7892341647233252E-4</v>
      </c>
      <c r="E79" s="4"/>
      <c r="F79" s="9" t="s">
        <v>29</v>
      </c>
      <c r="G79" s="9">
        <v>4</v>
      </c>
      <c r="H79" s="9">
        <v>9.7658157385893674E-4</v>
      </c>
    </row>
    <row r="80" spans="2:8" x14ac:dyDescent="0.45">
      <c r="B80" s="4" t="s">
        <v>16</v>
      </c>
      <c r="C80" s="4">
        <v>1</v>
      </c>
      <c r="D80" s="4">
        <v>8.0079689056411496E-4</v>
      </c>
      <c r="E80" s="4"/>
      <c r="F80" s="9" t="s">
        <v>29</v>
      </c>
      <c r="G80" s="9">
        <v>5</v>
      </c>
      <c r="H80" s="9">
        <v>1.0156448368121573E-3</v>
      </c>
    </row>
    <row r="81" spans="2:8" x14ac:dyDescent="0.45">
      <c r="B81" s="4" t="s">
        <v>16</v>
      </c>
      <c r="C81" s="4">
        <v>2</v>
      </c>
      <c r="D81" s="4">
        <v>7.812652590857283E-4</v>
      </c>
      <c r="E81" s="4"/>
      <c r="F81" s="4"/>
      <c r="G81" s="4"/>
      <c r="H81" s="4"/>
    </row>
    <row r="82" spans="2:8" x14ac:dyDescent="0.45">
      <c r="B82" s="4" t="s">
        <v>16</v>
      </c>
      <c r="C82" s="4">
        <v>3</v>
      </c>
      <c r="D82" s="4">
        <v>7.8126525908928102E-4</v>
      </c>
      <c r="E82" s="4"/>
      <c r="F82" s="4"/>
      <c r="G82" s="4"/>
      <c r="H82" s="4"/>
    </row>
    <row r="83" spans="2:8" x14ac:dyDescent="0.45">
      <c r="B83" s="4" t="s">
        <v>16</v>
      </c>
      <c r="C83" s="4">
        <v>4</v>
      </c>
      <c r="D83" s="4">
        <v>7.812652590857283E-4</v>
      </c>
      <c r="E83" s="4"/>
      <c r="F83" s="4"/>
      <c r="G83" s="4"/>
      <c r="H83" s="4"/>
    </row>
    <row r="84" spans="2:8" x14ac:dyDescent="0.45">
      <c r="B84" s="4" t="s">
        <v>16</v>
      </c>
      <c r="C84" s="4">
        <v>5</v>
      </c>
      <c r="D84" s="4">
        <v>7.8126525908928102E-4</v>
      </c>
      <c r="E84" s="4"/>
      <c r="F84" s="4"/>
      <c r="G84" s="4"/>
      <c r="H84" s="4"/>
    </row>
  </sheetData>
  <mergeCells count="26">
    <mergeCell ref="F57:H57"/>
    <mergeCell ref="F63:H63"/>
    <mergeCell ref="F69:H69"/>
    <mergeCell ref="F75:H75"/>
    <mergeCell ref="B67:D67"/>
    <mergeCell ref="B75:D75"/>
    <mergeCell ref="F4:H4"/>
    <mergeCell ref="F10:H10"/>
    <mergeCell ref="F16:H16"/>
    <mergeCell ref="F22:H22"/>
    <mergeCell ref="F28:H28"/>
    <mergeCell ref="F34:H34"/>
    <mergeCell ref="F40:H40"/>
    <mergeCell ref="F51:H51"/>
    <mergeCell ref="B20:D20"/>
    <mergeCell ref="B24:D24"/>
    <mergeCell ref="B28:D28"/>
    <mergeCell ref="B33:D33"/>
    <mergeCell ref="B52:D52"/>
    <mergeCell ref="B59:D59"/>
    <mergeCell ref="B2:D2"/>
    <mergeCell ref="F2:H2"/>
    <mergeCell ref="B4:D4"/>
    <mergeCell ref="B8:D8"/>
    <mergeCell ref="B12:D12"/>
    <mergeCell ref="B16:D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Sebastián Alvarado Sarmiento</cp:lastModifiedBy>
  <dcterms:modified xsi:type="dcterms:W3CDTF">2025-04-10T01:24:51Z</dcterms:modified>
</cp:coreProperties>
</file>